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64B9AEA-6BD1-439D-B512-5E66D6D6803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5" i="1" l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E1" i="1"/>
</calcChain>
</file>

<file path=xl/sharedStrings.xml><?xml version="1.0" encoding="utf-8"?>
<sst xmlns="http://schemas.openxmlformats.org/spreadsheetml/2006/main" count="56" uniqueCount="30">
  <si>
    <t xml:space="preserve"> </t>
  </si>
  <si>
    <t>Peninsular</t>
  </si>
  <si>
    <t>A/A MARIA JOSÉ LEÓN</t>
  </si>
  <si>
    <t>Entrega el día siguiente antes de:</t>
  </si>
  <si>
    <t>SERVICIOS VÍA TERRESTRE</t>
  </si>
  <si>
    <t>NACEX 19:00H</t>
  </si>
  <si>
    <t>Provincial</t>
  </si>
  <si>
    <t>BAG 2 kg</t>
  </si>
  <si>
    <t>PACK de 0 a 2 kg</t>
  </si>
  <si>
    <t>PACK de 2 a 5 kg</t>
  </si>
  <si>
    <t>PACK de 5 a 10 kg</t>
  </si>
  <si>
    <t>PACK de 10 a 15 kg</t>
  </si>
  <si>
    <t>PACK de 15 a 20 kg</t>
  </si>
  <si>
    <t>PACK de 20 a 25 kg</t>
  </si>
  <si>
    <t>PACK de 25 a 30 kg</t>
  </si>
  <si>
    <t>PACK de 30 a 35 kg</t>
  </si>
  <si>
    <t>PACK de 35 a 40 kg</t>
  </si>
  <si>
    <t>Fracción adicional (cada 5 kg)</t>
  </si>
  <si>
    <t xml:space="preserve">Primer Exceso Medidas </t>
  </si>
  <si>
    <t>Excesos Medidas</t>
  </si>
  <si>
    <t>Regional</t>
  </si>
  <si>
    <t>Nacional Peninsular
+
Andorra</t>
  </si>
  <si>
    <t>Ver y Firmar las Condiciones Generales.</t>
  </si>
  <si>
    <t>Tarifas en envíos vía terrestre para expediciones de paquetes que no superen los 100 cm sumando ancho + largo + alto.</t>
  </si>
  <si>
    <t>Estos precios pueden verse afectados por el aumento de combustible.</t>
  </si>
  <si>
    <t xml:space="preserve">Comisión de reembolso de________ %, mínimo________ €. </t>
  </si>
  <si>
    <t>La validez de este presupuesto es de 30 días a partir de la fecha del mismo.</t>
  </si>
  <si>
    <t>TARIFA VÁLIDA PARA MÁS DE ________________ ENVÍOS/MES, ____________________ ENVÍOS/AÑO.</t>
  </si>
  <si>
    <t>Conforme NACEX</t>
  </si>
  <si>
    <t>Conforme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</si>
</sst>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C0A];[Red]\-#,##0.00\ [$€-C0A]"/>
  </numFmts>
  <fonts count="26" x14ac:knownFonts="1">
    <font>
      <sz val="11"/>
      <color theme="1"/>
      <name val="Calibri"/>
      <family val="2"/>
      <scheme val="minor"/>
    </font>
    <font>
      <sz val="10"/>
      <name val="Calibri"/>
      <family val="2"/>
      <charset val="1"/>
    </font>
    <font>
      <sz val="25"/>
      <color indexed="8"/>
      <name val="Calibri"/>
      <family val="2"/>
      <charset val="1"/>
    </font>
    <font>
      <sz val="25"/>
      <name val="Calibri"/>
      <family val="2"/>
      <charset val="1"/>
    </font>
    <font>
      <b/>
      <sz val="30"/>
      <color indexed="59"/>
      <name val="Calibri"/>
      <family val="2"/>
      <charset val="1"/>
    </font>
    <font>
      <b/>
      <sz val="28"/>
      <color indexed="59"/>
      <name val="Calibri"/>
      <family val="2"/>
    </font>
    <font>
      <sz val="15"/>
      <name val="Calibri"/>
      <family val="2"/>
      <charset val="1"/>
    </font>
    <font>
      <sz val="12"/>
      <name val="Calibri"/>
      <family val="2"/>
      <charset val="1"/>
    </font>
    <font>
      <sz val="7"/>
      <color indexed="8"/>
      <name val="Calibri"/>
      <family val="2"/>
    </font>
    <font>
      <sz val="12"/>
      <color indexed="28"/>
      <name val="Calibri"/>
      <family val="2"/>
      <charset val="1"/>
    </font>
    <font>
      <b/>
      <sz val="8"/>
      <color indexed="54"/>
      <name val="Calibri"/>
      <family val="2"/>
      <charset val="1"/>
    </font>
    <font>
      <sz val="8"/>
      <color indexed="8"/>
      <name val="Calibri"/>
      <family val="2"/>
      <charset val="1"/>
    </font>
    <font>
      <sz val="11"/>
      <color indexed="63"/>
      <name val="Calibri"/>
      <family val="2"/>
      <charset val="1"/>
    </font>
    <font>
      <b/>
      <sz val="10"/>
      <color indexed="9"/>
      <name val="Calibri"/>
      <family val="2"/>
      <charset val="1"/>
    </font>
    <font>
      <sz val="7"/>
      <color indexed="9"/>
      <name val="Calibri"/>
      <family val="2"/>
      <charset val="1"/>
    </font>
    <font>
      <b/>
      <sz val="10"/>
      <color indexed="63"/>
      <name val="Calibri"/>
      <family val="2"/>
      <charset val="1"/>
    </font>
    <font>
      <b/>
      <sz val="9"/>
      <color indexed="8"/>
      <name val="Calibri"/>
      <family val="2"/>
      <charset val="1"/>
    </font>
    <font>
      <sz val="10"/>
      <color indexed="12"/>
      <name val="Calibri"/>
      <family val="2"/>
      <charset val="1"/>
    </font>
    <font>
      <sz val="7"/>
      <color indexed="8"/>
      <name val="Calibri"/>
      <family val="2"/>
      <charset val="1"/>
    </font>
    <font>
      <sz val="11"/>
      <color indexed="59"/>
      <name val="Calibri"/>
      <family val="2"/>
      <charset val="1"/>
    </font>
    <font>
      <sz val="10"/>
      <color indexed="38"/>
      <name val="Calibri"/>
      <family val="2"/>
      <charset val="1"/>
    </font>
    <font>
      <sz val="9"/>
      <name val="Calibri"/>
      <family val="2"/>
    </font>
    <font>
      <sz val="8"/>
      <name val="Calibri"/>
      <family val="2"/>
      <charset val="1"/>
    </font>
    <font>
      <sz val="9"/>
      <color indexed="8"/>
      <name val="Calibri"/>
      <family val="2"/>
    </font>
    <font>
      <sz val="8"/>
      <color indexed="8"/>
      <name val="Calibri"/>
      <family val="2"/>
    </font>
    <font>
      <sz val="6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54"/>
      </bottom>
      <diagonal/>
    </border>
    <border>
      <left/>
      <right/>
      <top style="thick">
        <color indexed="54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54"/>
      </bottom>
      <diagonal/>
    </border>
    <border>
      <left/>
      <right style="medium">
        <color indexed="9"/>
      </right>
      <top/>
      <bottom style="medium">
        <color indexed="54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54"/>
      </top>
      <bottom style="thin">
        <color indexed="54"/>
      </bottom>
      <diagonal/>
    </border>
    <border>
      <left/>
      <right/>
      <top style="thin">
        <color indexed="5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horizontal="right" vertical="top"/>
    </xf>
    <xf numFmtId="0" fontId="3" fillId="0" borderId="0" xfId="0" applyFont="1" applyFill="1" applyBorder="1" applyAlignment="1"/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4" fillId="0" borderId="1" xfId="0" applyFont="1" applyBorder="1" applyAlignment="1">
      <alignment horizontal="right" vertical="top"/>
    </xf>
    <xf numFmtId="0" fontId="5" fillId="0" borderId="1" xfId="0" applyFont="1" applyFill="1" applyBorder="1" applyAlignment="1">
      <alignment horizontal="right"/>
    </xf>
    <xf numFmtId="0" fontId="1" fillId="0" borderId="1" xfId="0" applyFont="1" applyBorder="1" applyAlignment="1"/>
    <xf numFmtId="0" fontId="5" fillId="0" borderId="0" xfId="0" applyFont="1" applyFill="1" applyBorder="1" applyAlignment="1"/>
    <xf numFmtId="0" fontId="1" fillId="0" borderId="2" xfId="0" applyFont="1" applyBorder="1"/>
    <xf numFmtId="0" fontId="1" fillId="0" borderId="0" xfId="0" applyFont="1" applyBorder="1"/>
    <xf numFmtId="0" fontId="0" fillId="0" borderId="0" xfId="0" applyFill="1"/>
    <xf numFmtId="0" fontId="6" fillId="0" borderId="3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Fill="1" applyBorder="1" applyAlignment="1">
      <alignment horizontal="left" vertical="top" wrapText="1"/>
    </xf>
    <xf numFmtId="0" fontId="9" fillId="2" borderId="0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13" fillId="3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right" vertical="center" wrapText="1"/>
    </xf>
    <xf numFmtId="164" fontId="17" fillId="0" borderId="8" xfId="0" applyNumberFormat="1" applyFont="1" applyBorder="1" applyAlignment="1">
      <alignment horizontal="center" vertical="center" wrapText="1"/>
    </xf>
    <xf numFmtId="0" fontId="18" fillId="2" borderId="0" xfId="0" applyFont="1" applyFill="1" applyAlignment="1">
      <alignment vertical="center" wrapText="1"/>
    </xf>
    <xf numFmtId="0" fontId="16" fillId="0" borderId="9" xfId="0" applyFont="1" applyFill="1" applyBorder="1" applyAlignment="1">
      <alignment horizontal="right" vertical="center" wrapText="1"/>
    </xf>
    <xf numFmtId="164" fontId="17" fillId="0" borderId="9" xfId="0" applyNumberFormat="1" applyFont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right" vertical="center" wrapText="1"/>
    </xf>
    <xf numFmtId="0" fontId="11" fillId="0" borderId="10" xfId="0" applyFont="1" applyFill="1" applyBorder="1" applyAlignment="1">
      <alignment horizontal="right" vertical="center" wrapText="1"/>
    </xf>
    <xf numFmtId="164" fontId="17" fillId="0" borderId="10" xfId="0" applyNumberFormat="1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164" fontId="20" fillId="0" borderId="4" xfId="0" applyNumberFormat="1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right" vertical="center" wrapText="1"/>
    </xf>
    <xf numFmtId="164" fontId="17" fillId="0" borderId="0" xfId="0" applyNumberFormat="1" applyFont="1" applyBorder="1" applyAlignment="1">
      <alignment horizontal="center" vertical="center" wrapText="1"/>
    </xf>
    <xf numFmtId="0" fontId="1" fillId="0" borderId="0" xfId="0" applyFont="1" applyFill="1"/>
    <xf numFmtId="0" fontId="21" fillId="4" borderId="0" xfId="0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23" fillId="4" borderId="0" xfId="0" applyFont="1" applyFill="1" applyBorder="1" applyAlignment="1">
      <alignment vertical="center"/>
    </xf>
    <xf numFmtId="0" fontId="23" fillId="4" borderId="0" xfId="0" applyFont="1" applyFill="1" applyBorder="1" applyAlignment="1">
      <alignment vertical="center"/>
    </xf>
    <xf numFmtId="0" fontId="21" fillId="4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1" xfId="0" applyFont="1" applyFill="1" applyBorder="1" applyAlignment="1">
      <alignment vertical="center"/>
    </xf>
    <xf numFmtId="0" fontId="22" fillId="0" borderId="12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95250</xdr:rowOff>
    </xdr:from>
    <xdr:to>
      <xdr:col>1</xdr:col>
      <xdr:colOff>447675</xdr:colOff>
      <xdr:row>1</xdr:row>
      <xdr:rowOff>276225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8AC215B8-2CFA-4678-8BA0-8E51262E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0"/>
          <a:ext cx="1323975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914400</xdr:colOff>
      <xdr:row>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1D8628-889A-4386-84C1-1211B1B8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0"/>
          <a:ext cx="914400" cy="942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552450</xdr:colOff>
      <xdr:row>2</xdr:row>
      <xdr:rowOff>66675</xdr:rowOff>
    </xdr:from>
    <xdr:to>
      <xdr:col>4</xdr:col>
      <xdr:colOff>714375</xdr:colOff>
      <xdr:row>3</xdr:row>
      <xdr:rowOff>620199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D42A482-D888-4559-9418-E0A36E67D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9950" y="847725"/>
          <a:ext cx="1076325" cy="8011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tarifa%20-%202026-04-22T165344.6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ICIONES "/>
      <sheetName val="Datos"/>
      <sheetName val="Tarifa"/>
      <sheetName val="Portugal"/>
      <sheetName val="SÁBADOS"/>
      <sheetName val="BALEARES (PEN-MALLORCA)"/>
      <sheetName val="BALEARES (PEN-IBIZA-MENORCA)"/>
      <sheetName val="Baleares Marítimo"/>
      <sheetName val="INTER Baleares Marítimo "/>
      <sheetName val="Canarias"/>
      <sheetName val="Canarias Marítimo"/>
      <sheetName val="PLUSBAG"/>
      <sheetName val="DOCS"/>
      <sheetName val="PLUSPACK"/>
      <sheetName val="eNACEX_1"/>
      <sheetName val="eNACEX_2"/>
      <sheetName val="eNACEXSHOP"/>
      <sheetName val="Economy"/>
      <sheetName val="NACEX Pharma"/>
      <sheetName val="VALIJA"/>
      <sheetName val="PROMO EQUIPAJE"/>
      <sheetName val="PROMO BICI"/>
      <sheetName val="SERVICIO URBANO"/>
      <sheetName val="Condiciones INT"/>
      <sheetName val="INTERNACIONAL EXPRÉS"/>
      <sheetName val="BUSINESS EUROPA"/>
      <sheetName val="ECOMMERCE EUROPA"/>
      <sheetName val="Tránsitos INT EXPRÉS"/>
    </sheetNames>
    <sheetDataSet>
      <sheetData sheetId="0"/>
      <sheetData sheetId="1">
        <row r="1">
          <cell r="A1" t="str">
            <v>Anyo</v>
          </cell>
          <cell r="B1" t="str">
            <v>iniVigencia</v>
          </cell>
          <cell r="C1" t="str">
            <v>finVigenciaCalc</v>
          </cell>
          <cell r="D1" t="str">
            <v>nombreCliente</v>
          </cell>
          <cell r="E1" t="str">
            <v>nombreTarifa</v>
          </cell>
        </row>
        <row r="2">
          <cell r="A2" t="str">
            <v>2026</v>
          </cell>
          <cell r="B2" t="str">
            <v>01/01/2026</v>
          </cell>
          <cell r="C2" t="str">
            <v>31/12/2026</v>
          </cell>
          <cell r="D2" t="str">
            <v>NOMBRE_CLIENTE</v>
          </cell>
          <cell r="E2" t="str">
            <v>NATUSAL</v>
          </cell>
        </row>
        <row r="3">
          <cell r="A3" t="str">
            <v>CLAVE</v>
          </cell>
          <cell r="B3" t="str">
            <v>TARI_NUMERO</v>
          </cell>
          <cell r="C3" t="str">
            <v>AMBI_CODIGO</v>
          </cell>
          <cell r="D3" t="str">
            <v>AMBI_NOMBRE</v>
          </cell>
          <cell r="E3" t="str">
            <v>PRSE_CODIGO</v>
          </cell>
          <cell r="F3" t="str">
            <v>TIBU_CODIGO</v>
          </cell>
          <cell r="G3" t="str">
            <v>TAES_MODO</v>
          </cell>
          <cell r="H3" t="str">
            <v>IMPORTE</v>
          </cell>
        </row>
        <row r="4">
          <cell r="A4" t="str">
            <v>1;E;A;B;BAG</v>
          </cell>
          <cell r="B4">
            <v>730069</v>
          </cell>
          <cell r="C4" t="str">
            <v>A</v>
          </cell>
          <cell r="D4" t="str">
            <v>ANDORRA</v>
          </cell>
          <cell r="E4" t="str">
            <v>E</v>
          </cell>
          <cell r="F4" t="str">
            <v>BAG</v>
          </cell>
          <cell r="G4" t="str">
            <v>B</v>
          </cell>
          <cell r="H4">
            <v>0</v>
          </cell>
        </row>
        <row r="5">
          <cell r="A5" t="str">
            <v>1;E;A;B;PAQ00a05</v>
          </cell>
          <cell r="B5">
            <v>730069</v>
          </cell>
          <cell r="C5" t="str">
            <v>A</v>
          </cell>
          <cell r="D5" t="str">
            <v>ANDORRA</v>
          </cell>
          <cell r="E5" t="str">
            <v>E</v>
          </cell>
          <cell r="F5" t="str">
            <v>PAQ00a05</v>
          </cell>
          <cell r="G5" t="str">
            <v>B</v>
          </cell>
          <cell r="H5">
            <v>0</v>
          </cell>
        </row>
        <row r="6">
          <cell r="A6" t="str">
            <v>1;E;A;B;PAQ05a10</v>
          </cell>
          <cell r="B6">
            <v>730069</v>
          </cell>
          <cell r="C6" t="str">
            <v>A</v>
          </cell>
          <cell r="D6" t="str">
            <v>ANDORRA</v>
          </cell>
          <cell r="E6" t="str">
            <v>E</v>
          </cell>
          <cell r="F6" t="str">
            <v>PAQ05a10</v>
          </cell>
          <cell r="G6" t="str">
            <v>B</v>
          </cell>
          <cell r="H6">
            <v>0</v>
          </cell>
        </row>
        <row r="7">
          <cell r="A7" t="str">
            <v>1;E;A;B;PAQ10a15</v>
          </cell>
          <cell r="B7">
            <v>730069</v>
          </cell>
          <cell r="C7" t="str">
            <v>A</v>
          </cell>
          <cell r="D7" t="str">
            <v>ANDORRA</v>
          </cell>
          <cell r="E7" t="str">
            <v>E</v>
          </cell>
          <cell r="F7" t="str">
            <v>PAQ10a15</v>
          </cell>
          <cell r="G7" t="str">
            <v>B</v>
          </cell>
          <cell r="H7">
            <v>0</v>
          </cell>
        </row>
        <row r="8">
          <cell r="A8" t="str">
            <v>1;E;A;B;PAQ15a20</v>
          </cell>
          <cell r="B8">
            <v>730069</v>
          </cell>
          <cell r="C8" t="str">
            <v>A</v>
          </cell>
          <cell r="D8" t="str">
            <v>ANDORRA</v>
          </cell>
          <cell r="E8" t="str">
            <v>E</v>
          </cell>
          <cell r="F8" t="str">
            <v>PAQ15a20</v>
          </cell>
          <cell r="G8" t="str">
            <v>B</v>
          </cell>
          <cell r="H8">
            <v>0</v>
          </cell>
        </row>
        <row r="9">
          <cell r="A9" t="str">
            <v>1;E;A;B;PAQ20a25</v>
          </cell>
          <cell r="B9">
            <v>730069</v>
          </cell>
          <cell r="C9" t="str">
            <v>A</v>
          </cell>
          <cell r="D9" t="str">
            <v>ANDORRA</v>
          </cell>
          <cell r="E9" t="str">
            <v>E</v>
          </cell>
          <cell r="F9" t="str">
            <v>PAQ20a25</v>
          </cell>
          <cell r="G9" t="str">
            <v>B</v>
          </cell>
          <cell r="H9">
            <v>0</v>
          </cell>
        </row>
        <row r="10">
          <cell r="A10" t="str">
            <v>1;E;A;B;PAQ25a30</v>
          </cell>
          <cell r="B10">
            <v>730069</v>
          </cell>
          <cell r="C10" t="str">
            <v>A</v>
          </cell>
          <cell r="D10" t="str">
            <v>ANDORRA</v>
          </cell>
          <cell r="E10" t="str">
            <v>E</v>
          </cell>
          <cell r="F10" t="str">
            <v>PAQ25a30</v>
          </cell>
          <cell r="G10" t="str">
            <v>B</v>
          </cell>
          <cell r="H10">
            <v>0</v>
          </cell>
        </row>
        <row r="11">
          <cell r="A11" t="str">
            <v>1;E;A;B;PAQ30a35</v>
          </cell>
          <cell r="B11">
            <v>730069</v>
          </cell>
          <cell r="C11" t="str">
            <v>A</v>
          </cell>
          <cell r="D11" t="str">
            <v>ANDORRA</v>
          </cell>
          <cell r="E11" t="str">
            <v>E</v>
          </cell>
          <cell r="F11" t="str">
            <v>PAQ30a35</v>
          </cell>
          <cell r="G11" t="str">
            <v>B</v>
          </cell>
          <cell r="H11">
            <v>0</v>
          </cell>
        </row>
        <row r="12">
          <cell r="A12" t="str">
            <v>1;E;A;B;PAQ35a40</v>
          </cell>
          <cell r="B12">
            <v>730069</v>
          </cell>
          <cell r="C12" t="str">
            <v>A</v>
          </cell>
          <cell r="D12" t="str">
            <v>ANDORRA</v>
          </cell>
          <cell r="E12" t="str">
            <v>E</v>
          </cell>
          <cell r="F12" t="str">
            <v>PAQ35a40</v>
          </cell>
          <cell r="G12" t="str">
            <v>B</v>
          </cell>
          <cell r="H12">
            <v>0</v>
          </cell>
        </row>
        <row r="13">
          <cell r="A13" t="str">
            <v>1;E;A;F;</v>
          </cell>
          <cell r="B13">
            <v>730069</v>
          </cell>
          <cell r="C13" t="str">
            <v>A</v>
          </cell>
          <cell r="D13" t="str">
            <v>ANDORRA</v>
          </cell>
          <cell r="E13" t="str">
            <v>E</v>
          </cell>
          <cell r="F13" t="str">
            <v/>
          </cell>
          <cell r="G13" t="str">
            <v>F</v>
          </cell>
          <cell r="H13">
            <v>0</v>
          </cell>
        </row>
        <row r="14">
          <cell r="A14" t="str">
            <v>1;E;A;E;</v>
          </cell>
          <cell r="B14">
            <v>730069</v>
          </cell>
          <cell r="C14" t="str">
            <v>A</v>
          </cell>
          <cell r="D14" t="str">
            <v>ANDORRA</v>
          </cell>
          <cell r="E14" t="str">
            <v>E</v>
          </cell>
          <cell r="F14" t="str">
            <v/>
          </cell>
          <cell r="G14" t="str">
            <v>E</v>
          </cell>
          <cell r="H14">
            <v>0</v>
          </cell>
        </row>
        <row r="15">
          <cell r="A15" t="str">
            <v>1;E;A;P;</v>
          </cell>
          <cell r="B15">
            <v>730069</v>
          </cell>
          <cell r="C15" t="str">
            <v>A</v>
          </cell>
          <cell r="D15" t="str">
            <v>ANDORRA</v>
          </cell>
          <cell r="E15" t="str">
            <v>E</v>
          </cell>
          <cell r="F15" t="str">
            <v/>
          </cell>
          <cell r="G15" t="str">
            <v>P</v>
          </cell>
          <cell r="H15">
            <v>0</v>
          </cell>
        </row>
        <row r="16">
          <cell r="A16" t="str">
            <v>1;F;A;B;BAG</v>
          </cell>
          <cell r="B16">
            <v>730069</v>
          </cell>
          <cell r="C16" t="str">
            <v>A</v>
          </cell>
          <cell r="D16" t="str">
            <v>ANDORRA</v>
          </cell>
          <cell r="E16" t="str">
            <v>F</v>
          </cell>
          <cell r="F16" t="str">
            <v>BAG</v>
          </cell>
          <cell r="G16" t="str">
            <v>B</v>
          </cell>
          <cell r="H16">
            <v>0</v>
          </cell>
        </row>
        <row r="17">
          <cell r="A17" t="str">
            <v>1;F;A;B;PAQ00a05</v>
          </cell>
          <cell r="B17">
            <v>730069</v>
          </cell>
          <cell r="C17" t="str">
            <v>A</v>
          </cell>
          <cell r="D17" t="str">
            <v>ANDORRA</v>
          </cell>
          <cell r="E17" t="str">
            <v>F</v>
          </cell>
          <cell r="F17" t="str">
            <v>PAQ00a05</v>
          </cell>
          <cell r="G17" t="str">
            <v>B</v>
          </cell>
          <cell r="H17">
            <v>0</v>
          </cell>
        </row>
        <row r="18">
          <cell r="A18" t="str">
            <v>1;F;A;B;PAQ05a10</v>
          </cell>
          <cell r="B18">
            <v>730069</v>
          </cell>
          <cell r="C18" t="str">
            <v>A</v>
          </cell>
          <cell r="D18" t="str">
            <v>ANDORRA</v>
          </cell>
          <cell r="E18" t="str">
            <v>F</v>
          </cell>
          <cell r="F18" t="str">
            <v>PAQ05a10</v>
          </cell>
          <cell r="G18" t="str">
            <v>B</v>
          </cell>
          <cell r="H18">
            <v>0</v>
          </cell>
        </row>
        <row r="19">
          <cell r="A19" t="str">
            <v>1;F;A;B;PAQ10a15</v>
          </cell>
          <cell r="B19">
            <v>730069</v>
          </cell>
          <cell r="C19" t="str">
            <v>A</v>
          </cell>
          <cell r="D19" t="str">
            <v>ANDORRA</v>
          </cell>
          <cell r="E19" t="str">
            <v>F</v>
          </cell>
          <cell r="F19" t="str">
            <v>PAQ10a15</v>
          </cell>
          <cell r="G19" t="str">
            <v>B</v>
          </cell>
          <cell r="H19">
            <v>0</v>
          </cell>
        </row>
        <row r="20">
          <cell r="A20" t="str">
            <v>1;F;A;B;PAQ15a20</v>
          </cell>
          <cell r="B20">
            <v>730069</v>
          </cell>
          <cell r="C20" t="str">
            <v>A</v>
          </cell>
          <cell r="D20" t="str">
            <v>ANDORRA</v>
          </cell>
          <cell r="E20" t="str">
            <v>F</v>
          </cell>
          <cell r="F20" t="str">
            <v>PAQ15a20</v>
          </cell>
          <cell r="G20" t="str">
            <v>B</v>
          </cell>
          <cell r="H20">
            <v>0</v>
          </cell>
        </row>
        <row r="21">
          <cell r="A21" t="str">
            <v>1;F;A;B;PAQ20a25</v>
          </cell>
          <cell r="B21">
            <v>730069</v>
          </cell>
          <cell r="C21" t="str">
            <v>A</v>
          </cell>
          <cell r="D21" t="str">
            <v>ANDORRA</v>
          </cell>
          <cell r="E21" t="str">
            <v>F</v>
          </cell>
          <cell r="F21" t="str">
            <v>PAQ20a25</v>
          </cell>
          <cell r="G21" t="str">
            <v>B</v>
          </cell>
          <cell r="H21">
            <v>0</v>
          </cell>
        </row>
        <row r="22">
          <cell r="A22" t="str">
            <v>1;F;A;B;PAQ25a30</v>
          </cell>
          <cell r="B22">
            <v>730069</v>
          </cell>
          <cell r="C22" t="str">
            <v>A</v>
          </cell>
          <cell r="D22" t="str">
            <v>ANDORRA</v>
          </cell>
          <cell r="E22" t="str">
            <v>F</v>
          </cell>
          <cell r="F22" t="str">
            <v>PAQ25a30</v>
          </cell>
          <cell r="G22" t="str">
            <v>B</v>
          </cell>
          <cell r="H22">
            <v>0</v>
          </cell>
        </row>
        <row r="23">
          <cell r="A23" t="str">
            <v>1;F;A;B;PAQ30a35</v>
          </cell>
          <cell r="B23">
            <v>730069</v>
          </cell>
          <cell r="C23" t="str">
            <v>A</v>
          </cell>
          <cell r="D23" t="str">
            <v>ANDORRA</v>
          </cell>
          <cell r="E23" t="str">
            <v>F</v>
          </cell>
          <cell r="F23" t="str">
            <v>PAQ30a35</v>
          </cell>
          <cell r="G23" t="str">
            <v>B</v>
          </cell>
          <cell r="H23">
            <v>0</v>
          </cell>
        </row>
        <row r="24">
          <cell r="A24" t="str">
            <v>1;F;A;F;</v>
          </cell>
          <cell r="B24">
            <v>730069</v>
          </cell>
          <cell r="C24" t="str">
            <v>A</v>
          </cell>
          <cell r="D24" t="str">
            <v>ANDORRA</v>
          </cell>
          <cell r="E24" t="str">
            <v>F</v>
          </cell>
          <cell r="F24" t="str">
            <v/>
          </cell>
          <cell r="G24" t="str">
            <v>F</v>
          </cell>
          <cell r="H24">
            <v>0</v>
          </cell>
        </row>
        <row r="25">
          <cell r="A25" t="str">
            <v>1;F;A;B;PAQ35a40</v>
          </cell>
          <cell r="B25">
            <v>730069</v>
          </cell>
          <cell r="C25" t="str">
            <v>A</v>
          </cell>
          <cell r="D25" t="str">
            <v>ANDORRA</v>
          </cell>
          <cell r="E25" t="str">
            <v>F</v>
          </cell>
          <cell r="F25" t="str">
            <v>PAQ35a40</v>
          </cell>
          <cell r="G25" t="str">
            <v>B</v>
          </cell>
          <cell r="H25">
            <v>0</v>
          </cell>
        </row>
        <row r="26">
          <cell r="A26" t="str">
            <v>1;F;A;P;</v>
          </cell>
          <cell r="B26">
            <v>730069</v>
          </cell>
          <cell r="C26" t="str">
            <v>A</v>
          </cell>
          <cell r="D26" t="str">
            <v>ANDORRA</v>
          </cell>
          <cell r="E26" t="str">
            <v>F</v>
          </cell>
          <cell r="F26" t="str">
            <v/>
          </cell>
          <cell r="G26" t="str">
            <v>P</v>
          </cell>
          <cell r="H26">
            <v>0</v>
          </cell>
        </row>
        <row r="27">
          <cell r="A27" t="str">
            <v>1;F;A;E;</v>
          </cell>
          <cell r="B27">
            <v>730069</v>
          </cell>
          <cell r="C27" t="str">
            <v>A</v>
          </cell>
          <cell r="D27" t="str">
            <v>ANDORRA</v>
          </cell>
          <cell r="E27" t="str">
            <v>F</v>
          </cell>
          <cell r="F27" t="str">
            <v/>
          </cell>
          <cell r="G27" t="str">
            <v>E</v>
          </cell>
          <cell r="H27">
            <v>0</v>
          </cell>
        </row>
        <row r="28">
          <cell r="A28" t="str">
            <v>1;G;A;B;BAG</v>
          </cell>
          <cell r="B28">
            <v>730069</v>
          </cell>
          <cell r="C28" t="str">
            <v>A</v>
          </cell>
          <cell r="D28" t="str">
            <v>ANDORRA</v>
          </cell>
          <cell r="E28" t="str">
            <v>G</v>
          </cell>
          <cell r="F28" t="str">
            <v>BAG</v>
          </cell>
          <cell r="G28" t="str">
            <v>B</v>
          </cell>
          <cell r="H28">
            <v>0</v>
          </cell>
        </row>
        <row r="29">
          <cell r="A29" t="str">
            <v>1;G;A;B;PAQ00a05</v>
          </cell>
          <cell r="B29">
            <v>730069</v>
          </cell>
          <cell r="C29" t="str">
            <v>A</v>
          </cell>
          <cell r="D29" t="str">
            <v>ANDORRA</v>
          </cell>
          <cell r="E29" t="str">
            <v>G</v>
          </cell>
          <cell r="F29" t="str">
            <v>PAQ00a05</v>
          </cell>
          <cell r="G29" t="str">
            <v>B</v>
          </cell>
          <cell r="H29">
            <v>0</v>
          </cell>
        </row>
        <row r="30">
          <cell r="A30" t="str">
            <v>1;G;A;B;PAQ05a10</v>
          </cell>
          <cell r="B30">
            <v>730069</v>
          </cell>
          <cell r="C30" t="str">
            <v>A</v>
          </cell>
          <cell r="D30" t="str">
            <v>ANDORRA</v>
          </cell>
          <cell r="E30" t="str">
            <v>G</v>
          </cell>
          <cell r="F30" t="str">
            <v>PAQ05a10</v>
          </cell>
          <cell r="G30" t="str">
            <v>B</v>
          </cell>
          <cell r="H30">
            <v>0</v>
          </cell>
        </row>
        <row r="31">
          <cell r="A31" t="str">
            <v>1;G;A;B;PAQ10a15</v>
          </cell>
          <cell r="B31">
            <v>730069</v>
          </cell>
          <cell r="C31" t="str">
            <v>A</v>
          </cell>
          <cell r="D31" t="str">
            <v>ANDORRA</v>
          </cell>
          <cell r="E31" t="str">
            <v>G</v>
          </cell>
          <cell r="F31" t="str">
            <v>PAQ10a15</v>
          </cell>
          <cell r="G31" t="str">
            <v>B</v>
          </cell>
          <cell r="H31">
            <v>0</v>
          </cell>
        </row>
        <row r="32">
          <cell r="A32" t="str">
            <v>1;G;A;B;PAQ15a20</v>
          </cell>
          <cell r="B32">
            <v>730069</v>
          </cell>
          <cell r="C32" t="str">
            <v>A</v>
          </cell>
          <cell r="D32" t="str">
            <v>ANDORRA</v>
          </cell>
          <cell r="E32" t="str">
            <v>G</v>
          </cell>
          <cell r="F32" t="str">
            <v>PAQ15a20</v>
          </cell>
          <cell r="G32" t="str">
            <v>B</v>
          </cell>
          <cell r="H32">
            <v>0</v>
          </cell>
        </row>
        <row r="33">
          <cell r="A33" t="str">
            <v>1;G;A;B;PAQ20a25</v>
          </cell>
          <cell r="B33">
            <v>730069</v>
          </cell>
          <cell r="C33" t="str">
            <v>A</v>
          </cell>
          <cell r="D33" t="str">
            <v>ANDORRA</v>
          </cell>
          <cell r="E33" t="str">
            <v>G</v>
          </cell>
          <cell r="F33" t="str">
            <v>PAQ20a25</v>
          </cell>
          <cell r="G33" t="str">
            <v>B</v>
          </cell>
          <cell r="H33">
            <v>0</v>
          </cell>
        </row>
        <row r="34">
          <cell r="A34" t="str">
            <v>1;G;A;B;PAQ25a30</v>
          </cell>
          <cell r="B34">
            <v>730069</v>
          </cell>
          <cell r="C34" t="str">
            <v>A</v>
          </cell>
          <cell r="D34" t="str">
            <v>ANDORRA</v>
          </cell>
          <cell r="E34" t="str">
            <v>G</v>
          </cell>
          <cell r="F34" t="str">
            <v>PAQ25a30</v>
          </cell>
          <cell r="G34" t="str">
            <v>B</v>
          </cell>
          <cell r="H34">
            <v>0</v>
          </cell>
        </row>
        <row r="35">
          <cell r="A35" t="str">
            <v>1;G;A;B;PAQ30a35</v>
          </cell>
          <cell r="B35">
            <v>730069</v>
          </cell>
          <cell r="C35" t="str">
            <v>A</v>
          </cell>
          <cell r="D35" t="str">
            <v>ANDORRA</v>
          </cell>
          <cell r="E35" t="str">
            <v>G</v>
          </cell>
          <cell r="F35" t="str">
            <v>PAQ30a35</v>
          </cell>
          <cell r="G35" t="str">
            <v>B</v>
          </cell>
          <cell r="H35">
            <v>0</v>
          </cell>
        </row>
        <row r="36">
          <cell r="A36" t="str">
            <v>1;G;A;B;PAQ35a40</v>
          </cell>
          <cell r="B36">
            <v>730069</v>
          </cell>
          <cell r="C36" t="str">
            <v>A</v>
          </cell>
          <cell r="D36" t="str">
            <v>ANDORRA</v>
          </cell>
          <cell r="E36" t="str">
            <v>G</v>
          </cell>
          <cell r="F36" t="str">
            <v>PAQ35a40</v>
          </cell>
          <cell r="G36" t="str">
            <v>B</v>
          </cell>
          <cell r="H36">
            <v>0</v>
          </cell>
        </row>
        <row r="37">
          <cell r="A37" t="str">
            <v>1;G;A;F;</v>
          </cell>
          <cell r="B37">
            <v>730069</v>
          </cell>
          <cell r="C37" t="str">
            <v>A</v>
          </cell>
          <cell r="D37" t="str">
            <v>ANDORRA</v>
          </cell>
          <cell r="E37" t="str">
            <v>G</v>
          </cell>
          <cell r="F37" t="str">
            <v/>
          </cell>
          <cell r="G37" t="str">
            <v>F</v>
          </cell>
          <cell r="H37">
            <v>0</v>
          </cell>
        </row>
        <row r="38">
          <cell r="A38" t="str">
            <v>1;G;A;E;</v>
          </cell>
          <cell r="B38">
            <v>730069</v>
          </cell>
          <cell r="C38" t="str">
            <v>A</v>
          </cell>
          <cell r="D38" t="str">
            <v>ANDORRA</v>
          </cell>
          <cell r="E38" t="str">
            <v>G</v>
          </cell>
          <cell r="F38" t="str">
            <v/>
          </cell>
          <cell r="G38" t="str">
            <v>E</v>
          </cell>
          <cell r="H38">
            <v>0</v>
          </cell>
        </row>
        <row r="39">
          <cell r="A39" t="str">
            <v>1;G;A;P;</v>
          </cell>
          <cell r="B39">
            <v>730069</v>
          </cell>
          <cell r="C39" t="str">
            <v>A</v>
          </cell>
          <cell r="D39" t="str">
            <v>ANDORRA</v>
          </cell>
          <cell r="E39" t="str">
            <v>G</v>
          </cell>
          <cell r="F39" t="str">
            <v/>
          </cell>
          <cell r="G39" t="str">
            <v>P</v>
          </cell>
          <cell r="H39">
            <v>0</v>
          </cell>
        </row>
        <row r="40">
          <cell r="A40" t="str">
            <v>1;01;A;B;BAG</v>
          </cell>
          <cell r="B40">
            <v>730069</v>
          </cell>
          <cell r="C40" t="str">
            <v>A</v>
          </cell>
          <cell r="D40" t="str">
            <v>ANDORRA</v>
          </cell>
          <cell r="E40" t="str">
            <v>01</v>
          </cell>
          <cell r="F40" t="str">
            <v>BAG</v>
          </cell>
          <cell r="G40" t="str">
            <v>B</v>
          </cell>
          <cell r="H40">
            <v>19.02</v>
          </cell>
        </row>
        <row r="41">
          <cell r="A41" t="str">
            <v>1;01;A;B;DOCS</v>
          </cell>
          <cell r="B41">
            <v>730069</v>
          </cell>
          <cell r="C41" t="str">
            <v>A</v>
          </cell>
          <cell r="D41" t="str">
            <v>ANDORRA</v>
          </cell>
          <cell r="E41" t="str">
            <v>01</v>
          </cell>
          <cell r="F41" t="str">
            <v>DOCS</v>
          </cell>
          <cell r="G41" t="str">
            <v>B</v>
          </cell>
          <cell r="H41">
            <v>13.93</v>
          </cell>
        </row>
        <row r="42">
          <cell r="A42" t="str">
            <v>1;01;A;B;PAQ00a02</v>
          </cell>
          <cell r="B42">
            <v>730069</v>
          </cell>
          <cell r="C42" t="str">
            <v>A</v>
          </cell>
          <cell r="D42" t="str">
            <v>ANDORRA</v>
          </cell>
          <cell r="E42" t="str">
            <v>01</v>
          </cell>
          <cell r="F42" t="str">
            <v>PAQ00a02</v>
          </cell>
          <cell r="G42" t="str">
            <v>B</v>
          </cell>
          <cell r="H42">
            <v>23.64</v>
          </cell>
        </row>
        <row r="43">
          <cell r="A43" t="str">
            <v>1;01;A;B;PAQ02a05</v>
          </cell>
          <cell r="B43">
            <v>730069</v>
          </cell>
          <cell r="C43" t="str">
            <v>A</v>
          </cell>
          <cell r="D43" t="str">
            <v>ANDORRA</v>
          </cell>
          <cell r="E43" t="str">
            <v>01</v>
          </cell>
          <cell r="F43" t="str">
            <v>PAQ02a05</v>
          </cell>
          <cell r="G43" t="str">
            <v>B</v>
          </cell>
          <cell r="H43">
            <v>23.64</v>
          </cell>
        </row>
        <row r="44">
          <cell r="A44" t="str">
            <v>1;01;A;B;PAQ05a10</v>
          </cell>
          <cell r="B44">
            <v>730069</v>
          </cell>
          <cell r="C44" t="str">
            <v>A</v>
          </cell>
          <cell r="D44" t="str">
            <v>ANDORRA</v>
          </cell>
          <cell r="E44" t="str">
            <v>01</v>
          </cell>
          <cell r="F44" t="str">
            <v>PAQ05a10</v>
          </cell>
          <cell r="G44" t="str">
            <v>B</v>
          </cell>
          <cell r="H44">
            <v>41.23</v>
          </cell>
        </row>
        <row r="45">
          <cell r="A45" t="str">
            <v>1;01;A;B;PAQ10a15</v>
          </cell>
          <cell r="B45">
            <v>730069</v>
          </cell>
          <cell r="C45" t="str">
            <v>A</v>
          </cell>
          <cell r="D45" t="str">
            <v>ANDORRA</v>
          </cell>
          <cell r="E45" t="str">
            <v>01</v>
          </cell>
          <cell r="F45" t="str">
            <v>PAQ10a15</v>
          </cell>
          <cell r="G45" t="str">
            <v>B</v>
          </cell>
          <cell r="H45">
            <v>60.87</v>
          </cell>
        </row>
        <row r="46">
          <cell r="A46" t="str">
            <v>1;01;A;B;PAQ15a20</v>
          </cell>
          <cell r="B46">
            <v>730069</v>
          </cell>
          <cell r="C46" t="str">
            <v>A</v>
          </cell>
          <cell r="D46" t="str">
            <v>ANDORRA</v>
          </cell>
          <cell r="E46" t="str">
            <v>01</v>
          </cell>
          <cell r="F46" t="str">
            <v>PAQ15a20</v>
          </cell>
          <cell r="G46" t="str">
            <v>B</v>
          </cell>
          <cell r="H46">
            <v>80.489999999999995</v>
          </cell>
        </row>
        <row r="47">
          <cell r="A47" t="str">
            <v>1;01;A;B;PAQ20a25</v>
          </cell>
          <cell r="B47">
            <v>730069</v>
          </cell>
          <cell r="C47" t="str">
            <v>A</v>
          </cell>
          <cell r="D47" t="str">
            <v>ANDORRA</v>
          </cell>
          <cell r="E47" t="str">
            <v>01</v>
          </cell>
          <cell r="F47" t="str">
            <v>PAQ20a25</v>
          </cell>
          <cell r="G47" t="str">
            <v>B</v>
          </cell>
          <cell r="H47">
            <v>100.13</v>
          </cell>
        </row>
        <row r="48">
          <cell r="A48" t="str">
            <v>1;01;A;B;PAQ25a30</v>
          </cell>
          <cell r="B48">
            <v>730069</v>
          </cell>
          <cell r="C48" t="str">
            <v>A</v>
          </cell>
          <cell r="D48" t="str">
            <v>ANDORRA</v>
          </cell>
          <cell r="E48" t="str">
            <v>01</v>
          </cell>
          <cell r="F48" t="str">
            <v>PAQ25a30</v>
          </cell>
          <cell r="G48" t="str">
            <v>B</v>
          </cell>
          <cell r="H48">
            <v>119.75</v>
          </cell>
        </row>
        <row r="49">
          <cell r="A49" t="str">
            <v>1;01;A;B;PAQ30a35</v>
          </cell>
          <cell r="B49">
            <v>730069</v>
          </cell>
          <cell r="C49" t="str">
            <v>A</v>
          </cell>
          <cell r="D49" t="str">
            <v>ANDORRA</v>
          </cell>
          <cell r="E49" t="str">
            <v>01</v>
          </cell>
          <cell r="F49" t="str">
            <v>PAQ30a35</v>
          </cell>
          <cell r="G49" t="str">
            <v>B</v>
          </cell>
          <cell r="H49">
            <v>139.38999999999999</v>
          </cell>
        </row>
        <row r="50">
          <cell r="A50" t="str">
            <v>1;01;A;B;PAQ35a40</v>
          </cell>
          <cell r="B50">
            <v>730069</v>
          </cell>
          <cell r="C50" t="str">
            <v>A</v>
          </cell>
          <cell r="D50" t="str">
            <v>ANDORRA</v>
          </cell>
          <cell r="E50" t="str">
            <v>01</v>
          </cell>
          <cell r="F50" t="str">
            <v>PAQ35a40</v>
          </cell>
          <cell r="G50" t="str">
            <v>B</v>
          </cell>
          <cell r="H50">
            <v>159.01</v>
          </cell>
        </row>
        <row r="51">
          <cell r="A51" t="str">
            <v>1;01;A;F;</v>
          </cell>
          <cell r="B51">
            <v>730069</v>
          </cell>
          <cell r="C51" t="str">
            <v>A</v>
          </cell>
          <cell r="D51" t="str">
            <v>ANDORRA</v>
          </cell>
          <cell r="E51" t="str">
            <v>01</v>
          </cell>
          <cell r="F51" t="str">
            <v/>
          </cell>
          <cell r="G51" t="str">
            <v>F</v>
          </cell>
          <cell r="H51">
            <v>19.62</v>
          </cell>
        </row>
        <row r="52">
          <cell r="A52" t="str">
            <v>1;01;A;E;</v>
          </cell>
          <cell r="B52">
            <v>730069</v>
          </cell>
          <cell r="C52" t="str">
            <v>A</v>
          </cell>
          <cell r="D52" t="str">
            <v>ANDORRA</v>
          </cell>
          <cell r="E52" t="str">
            <v>01</v>
          </cell>
          <cell r="F52" t="str">
            <v/>
          </cell>
          <cell r="G52" t="str">
            <v>E</v>
          </cell>
          <cell r="H52">
            <v>23.64</v>
          </cell>
        </row>
        <row r="53">
          <cell r="A53" t="str">
            <v>1;01;A;P;</v>
          </cell>
          <cell r="B53">
            <v>730069</v>
          </cell>
          <cell r="C53" t="str">
            <v>A</v>
          </cell>
          <cell r="D53" t="str">
            <v>ANDORRA</v>
          </cell>
          <cell r="E53" t="str">
            <v>01</v>
          </cell>
          <cell r="F53" t="str">
            <v/>
          </cell>
          <cell r="G53" t="str">
            <v>P</v>
          </cell>
          <cell r="H53">
            <v>23.64</v>
          </cell>
        </row>
        <row r="54">
          <cell r="A54" t="str">
            <v>1;02;A;B;BAG</v>
          </cell>
          <cell r="B54">
            <v>730069</v>
          </cell>
          <cell r="C54" t="str">
            <v>A</v>
          </cell>
          <cell r="D54" t="str">
            <v>ANDORRA</v>
          </cell>
          <cell r="E54" t="str">
            <v>02</v>
          </cell>
          <cell r="F54" t="str">
            <v>BAG</v>
          </cell>
          <cell r="G54" t="str">
            <v>B</v>
          </cell>
          <cell r="H54">
            <v>13.99</v>
          </cell>
        </row>
        <row r="55">
          <cell r="A55" t="str">
            <v>1;02;A;B;DOCS</v>
          </cell>
          <cell r="B55">
            <v>730069</v>
          </cell>
          <cell r="C55" t="str">
            <v>A</v>
          </cell>
          <cell r="D55" t="str">
            <v>ANDORRA</v>
          </cell>
          <cell r="E55" t="str">
            <v>02</v>
          </cell>
          <cell r="F55" t="str">
            <v>DOCS</v>
          </cell>
          <cell r="G55" t="str">
            <v>B</v>
          </cell>
          <cell r="H55">
            <v>10</v>
          </cell>
        </row>
        <row r="56">
          <cell r="A56" t="str">
            <v>1;02;A;B;PAQ00a02</v>
          </cell>
          <cell r="B56">
            <v>730069</v>
          </cell>
          <cell r="C56" t="str">
            <v>A</v>
          </cell>
          <cell r="D56" t="str">
            <v>ANDORRA</v>
          </cell>
          <cell r="E56" t="str">
            <v>02</v>
          </cell>
          <cell r="F56" t="str">
            <v>PAQ00a02</v>
          </cell>
          <cell r="G56" t="str">
            <v>B</v>
          </cell>
          <cell r="H56">
            <v>16.66</v>
          </cell>
        </row>
        <row r="57">
          <cell r="A57" t="str">
            <v>1;02;A;B;PAQ02a05</v>
          </cell>
          <cell r="B57">
            <v>730069</v>
          </cell>
          <cell r="C57" t="str">
            <v>A</v>
          </cell>
          <cell r="D57" t="str">
            <v>ANDORRA</v>
          </cell>
          <cell r="E57" t="str">
            <v>02</v>
          </cell>
          <cell r="F57" t="str">
            <v>PAQ02a05</v>
          </cell>
          <cell r="G57" t="str">
            <v>B</v>
          </cell>
          <cell r="H57">
            <v>16.66</v>
          </cell>
        </row>
        <row r="58">
          <cell r="A58" t="str">
            <v>1;02;A;B;PAQ05a10</v>
          </cell>
          <cell r="B58">
            <v>730069</v>
          </cell>
          <cell r="C58" t="str">
            <v>A</v>
          </cell>
          <cell r="D58" t="str">
            <v>ANDORRA</v>
          </cell>
          <cell r="E58" t="str">
            <v>02</v>
          </cell>
          <cell r="F58" t="str">
            <v>PAQ05a10</v>
          </cell>
          <cell r="G58" t="str">
            <v>B</v>
          </cell>
          <cell r="H58">
            <v>24.9</v>
          </cell>
        </row>
        <row r="59">
          <cell r="A59" t="str">
            <v>1;02;A;B;PAQ10a15</v>
          </cell>
          <cell r="B59">
            <v>730069</v>
          </cell>
          <cell r="C59" t="str">
            <v>A</v>
          </cell>
          <cell r="D59" t="str">
            <v>ANDORRA</v>
          </cell>
          <cell r="E59" t="str">
            <v>02</v>
          </cell>
          <cell r="F59" t="str">
            <v>PAQ10a15</v>
          </cell>
          <cell r="G59" t="str">
            <v>B</v>
          </cell>
          <cell r="H59">
            <v>33.049999999999997</v>
          </cell>
        </row>
        <row r="60">
          <cell r="A60" t="str">
            <v>1;02;A;B;PAQ15a20</v>
          </cell>
          <cell r="B60">
            <v>730069</v>
          </cell>
          <cell r="C60" t="str">
            <v>A</v>
          </cell>
          <cell r="D60" t="str">
            <v>ANDORRA</v>
          </cell>
          <cell r="E60" t="str">
            <v>02</v>
          </cell>
          <cell r="F60" t="str">
            <v>PAQ15a20</v>
          </cell>
          <cell r="G60" t="str">
            <v>B</v>
          </cell>
          <cell r="H60">
            <v>41.19</v>
          </cell>
        </row>
        <row r="61">
          <cell r="A61" t="str">
            <v>1;02;A;B;PAQ20a25</v>
          </cell>
          <cell r="B61">
            <v>730069</v>
          </cell>
          <cell r="C61" t="str">
            <v>A</v>
          </cell>
          <cell r="D61" t="str">
            <v>ANDORRA</v>
          </cell>
          <cell r="E61" t="str">
            <v>02</v>
          </cell>
          <cell r="F61" t="str">
            <v>PAQ20a25</v>
          </cell>
          <cell r="G61" t="str">
            <v>B</v>
          </cell>
          <cell r="H61">
            <v>49.35</v>
          </cell>
        </row>
        <row r="62">
          <cell r="A62" t="str">
            <v>1;02;A;B;PAQ25a30</v>
          </cell>
          <cell r="B62">
            <v>730069</v>
          </cell>
          <cell r="C62" t="str">
            <v>A</v>
          </cell>
          <cell r="D62" t="str">
            <v>ANDORRA</v>
          </cell>
          <cell r="E62" t="str">
            <v>02</v>
          </cell>
          <cell r="F62" t="str">
            <v>PAQ25a30</v>
          </cell>
          <cell r="G62" t="str">
            <v>B</v>
          </cell>
          <cell r="H62">
            <v>57.51</v>
          </cell>
        </row>
        <row r="63">
          <cell r="A63" t="str">
            <v>1;02;A;B;PAQ30a35</v>
          </cell>
          <cell r="B63">
            <v>730069</v>
          </cell>
          <cell r="C63" t="str">
            <v>A</v>
          </cell>
          <cell r="D63" t="str">
            <v>ANDORRA</v>
          </cell>
          <cell r="E63" t="str">
            <v>02</v>
          </cell>
          <cell r="F63" t="str">
            <v>PAQ30a35</v>
          </cell>
          <cell r="G63" t="str">
            <v>B</v>
          </cell>
          <cell r="H63">
            <v>65.66</v>
          </cell>
        </row>
        <row r="64">
          <cell r="A64" t="str">
            <v>1;02;A;F;</v>
          </cell>
          <cell r="B64">
            <v>730069</v>
          </cell>
          <cell r="C64" t="str">
            <v>A</v>
          </cell>
          <cell r="D64" t="str">
            <v>ANDORRA</v>
          </cell>
          <cell r="E64" t="str">
            <v>02</v>
          </cell>
          <cell r="F64" t="str">
            <v/>
          </cell>
          <cell r="G64" t="str">
            <v>F</v>
          </cell>
          <cell r="H64">
            <v>8.16</v>
          </cell>
        </row>
        <row r="65">
          <cell r="A65" t="str">
            <v>1;02;A;B;PAQ35a40</v>
          </cell>
          <cell r="B65">
            <v>730069</v>
          </cell>
          <cell r="C65" t="str">
            <v>A</v>
          </cell>
          <cell r="D65" t="str">
            <v>ANDORRA</v>
          </cell>
          <cell r="E65" t="str">
            <v>02</v>
          </cell>
          <cell r="F65" t="str">
            <v>PAQ35a40</v>
          </cell>
          <cell r="G65" t="str">
            <v>B</v>
          </cell>
          <cell r="H65">
            <v>73.819999999999993</v>
          </cell>
        </row>
        <row r="66">
          <cell r="A66" t="str">
            <v>1;02;A;E;</v>
          </cell>
          <cell r="B66">
            <v>730069</v>
          </cell>
          <cell r="C66" t="str">
            <v>A</v>
          </cell>
          <cell r="D66" t="str">
            <v>ANDORRA</v>
          </cell>
          <cell r="E66" t="str">
            <v>02</v>
          </cell>
          <cell r="F66" t="str">
            <v/>
          </cell>
          <cell r="G66" t="str">
            <v>E</v>
          </cell>
          <cell r="H66">
            <v>16.66</v>
          </cell>
        </row>
        <row r="67">
          <cell r="A67" t="str">
            <v>1;02;A;P;</v>
          </cell>
          <cell r="B67">
            <v>730069</v>
          </cell>
          <cell r="C67" t="str">
            <v>A</v>
          </cell>
          <cell r="D67" t="str">
            <v>ANDORRA</v>
          </cell>
          <cell r="E67" t="str">
            <v>02</v>
          </cell>
          <cell r="F67" t="str">
            <v/>
          </cell>
          <cell r="G67" t="str">
            <v>P</v>
          </cell>
          <cell r="H67">
            <v>16.66</v>
          </cell>
        </row>
        <row r="68">
          <cell r="A68" t="str">
            <v>1;02;A;X;</v>
          </cell>
          <cell r="B68">
            <v>730069</v>
          </cell>
          <cell r="C68" t="str">
            <v>A</v>
          </cell>
          <cell r="D68" t="str">
            <v>ANDORRA</v>
          </cell>
          <cell r="E68" t="str">
            <v>02</v>
          </cell>
          <cell r="F68" t="str">
            <v/>
          </cell>
          <cell r="G68" t="str">
            <v>X</v>
          </cell>
          <cell r="H68">
            <v>23.8</v>
          </cell>
        </row>
        <row r="69">
          <cell r="A69" t="str">
            <v>1;02;A;C;</v>
          </cell>
          <cell r="B69">
            <v>730069</v>
          </cell>
          <cell r="C69" t="str">
            <v>A</v>
          </cell>
          <cell r="D69" t="str">
            <v>ANDORRA</v>
          </cell>
          <cell r="E69" t="str">
            <v>02</v>
          </cell>
          <cell r="F69" t="str">
            <v/>
          </cell>
          <cell r="G69" t="str">
            <v>C</v>
          </cell>
          <cell r="H69">
            <v>11.91</v>
          </cell>
        </row>
        <row r="70">
          <cell r="A70" t="str">
            <v>1;03;A;B;BAG</v>
          </cell>
          <cell r="B70">
            <v>730069</v>
          </cell>
          <cell r="C70" t="str">
            <v>A</v>
          </cell>
          <cell r="D70" t="str">
            <v>ANDORRA</v>
          </cell>
          <cell r="E70" t="str">
            <v>03</v>
          </cell>
          <cell r="F70" t="str">
            <v>BAG</v>
          </cell>
          <cell r="G70" t="str">
            <v>B</v>
          </cell>
          <cell r="H70">
            <v>19.02</v>
          </cell>
        </row>
        <row r="71">
          <cell r="A71" t="str">
            <v>1;03;A;B;DOCS</v>
          </cell>
          <cell r="B71">
            <v>730069</v>
          </cell>
          <cell r="C71" t="str">
            <v>A</v>
          </cell>
          <cell r="D71" t="str">
            <v>ANDORRA</v>
          </cell>
          <cell r="E71" t="str">
            <v>03</v>
          </cell>
          <cell r="F71" t="str">
            <v>DOCS</v>
          </cell>
          <cell r="G71" t="str">
            <v>B</v>
          </cell>
          <cell r="H71">
            <v>13.93</v>
          </cell>
        </row>
        <row r="72">
          <cell r="A72" t="str">
            <v>1;03;A;B;PAQ00a02</v>
          </cell>
          <cell r="B72">
            <v>730069</v>
          </cell>
          <cell r="C72" t="str">
            <v>A</v>
          </cell>
          <cell r="D72" t="str">
            <v>ANDORRA</v>
          </cell>
          <cell r="E72" t="str">
            <v>03</v>
          </cell>
          <cell r="F72" t="str">
            <v>PAQ00a02</v>
          </cell>
          <cell r="G72" t="str">
            <v>B</v>
          </cell>
          <cell r="H72">
            <v>23.64</v>
          </cell>
        </row>
        <row r="73">
          <cell r="A73" t="str">
            <v>1;03;A;B;PAQ02a05</v>
          </cell>
          <cell r="B73">
            <v>730069</v>
          </cell>
          <cell r="C73" t="str">
            <v>A</v>
          </cell>
          <cell r="D73" t="str">
            <v>ANDORRA</v>
          </cell>
          <cell r="E73" t="str">
            <v>03</v>
          </cell>
          <cell r="F73" t="str">
            <v>PAQ02a05</v>
          </cell>
          <cell r="G73" t="str">
            <v>B</v>
          </cell>
          <cell r="H73">
            <v>23.64</v>
          </cell>
        </row>
        <row r="74">
          <cell r="A74" t="str">
            <v>1;03;A;B;PAQ05a10</v>
          </cell>
          <cell r="B74">
            <v>730069</v>
          </cell>
          <cell r="C74" t="str">
            <v>A</v>
          </cell>
          <cell r="D74" t="str">
            <v>ANDORRA</v>
          </cell>
          <cell r="E74" t="str">
            <v>03</v>
          </cell>
          <cell r="F74" t="str">
            <v>PAQ05a10</v>
          </cell>
          <cell r="G74" t="str">
            <v>B</v>
          </cell>
          <cell r="H74">
            <v>41.23</v>
          </cell>
        </row>
        <row r="75">
          <cell r="A75" t="str">
            <v>1;03;A;B;PAQ10a15</v>
          </cell>
          <cell r="B75">
            <v>730069</v>
          </cell>
          <cell r="C75" t="str">
            <v>A</v>
          </cell>
          <cell r="D75" t="str">
            <v>ANDORRA</v>
          </cell>
          <cell r="E75" t="str">
            <v>03</v>
          </cell>
          <cell r="F75" t="str">
            <v>PAQ10a15</v>
          </cell>
          <cell r="G75" t="str">
            <v>B</v>
          </cell>
          <cell r="H75">
            <v>60.87</v>
          </cell>
        </row>
        <row r="76">
          <cell r="A76" t="str">
            <v>1;03;A;B;PAQ15a20</v>
          </cell>
          <cell r="B76">
            <v>730069</v>
          </cell>
          <cell r="C76" t="str">
            <v>A</v>
          </cell>
          <cell r="D76" t="str">
            <v>ANDORRA</v>
          </cell>
          <cell r="E76" t="str">
            <v>03</v>
          </cell>
          <cell r="F76" t="str">
            <v>PAQ15a20</v>
          </cell>
          <cell r="G76" t="str">
            <v>B</v>
          </cell>
          <cell r="H76">
            <v>80.489999999999995</v>
          </cell>
        </row>
        <row r="77">
          <cell r="A77" t="str">
            <v>1;03;A;B;PAQ20a25</v>
          </cell>
          <cell r="B77">
            <v>730069</v>
          </cell>
          <cell r="C77" t="str">
            <v>A</v>
          </cell>
          <cell r="D77" t="str">
            <v>ANDORRA</v>
          </cell>
          <cell r="E77" t="str">
            <v>03</v>
          </cell>
          <cell r="F77" t="str">
            <v>PAQ20a25</v>
          </cell>
          <cell r="G77" t="str">
            <v>B</v>
          </cell>
          <cell r="H77">
            <v>100.13</v>
          </cell>
        </row>
        <row r="78">
          <cell r="A78" t="str">
            <v>1;03;A;B;PAQ25a30</v>
          </cell>
          <cell r="B78">
            <v>730069</v>
          </cell>
          <cell r="C78" t="str">
            <v>A</v>
          </cell>
          <cell r="D78" t="str">
            <v>ANDORRA</v>
          </cell>
          <cell r="E78" t="str">
            <v>03</v>
          </cell>
          <cell r="F78" t="str">
            <v>PAQ25a30</v>
          </cell>
          <cell r="G78" t="str">
            <v>B</v>
          </cell>
          <cell r="H78">
            <v>119.75</v>
          </cell>
        </row>
        <row r="79">
          <cell r="A79" t="str">
            <v>1;03;A;B;PAQ30a35</v>
          </cell>
          <cell r="B79">
            <v>730069</v>
          </cell>
          <cell r="C79" t="str">
            <v>A</v>
          </cell>
          <cell r="D79" t="str">
            <v>ANDORRA</v>
          </cell>
          <cell r="E79" t="str">
            <v>03</v>
          </cell>
          <cell r="F79" t="str">
            <v>PAQ30a35</v>
          </cell>
          <cell r="G79" t="str">
            <v>B</v>
          </cell>
          <cell r="H79">
            <v>139.38999999999999</v>
          </cell>
        </row>
        <row r="80">
          <cell r="A80" t="str">
            <v>1;03;A;F;</v>
          </cell>
          <cell r="B80">
            <v>730069</v>
          </cell>
          <cell r="C80" t="str">
            <v>A</v>
          </cell>
          <cell r="D80" t="str">
            <v>ANDORRA</v>
          </cell>
          <cell r="E80" t="str">
            <v>03</v>
          </cell>
          <cell r="F80" t="str">
            <v/>
          </cell>
          <cell r="G80" t="str">
            <v>F</v>
          </cell>
          <cell r="H80">
            <v>19.62</v>
          </cell>
        </row>
        <row r="81">
          <cell r="A81" t="str">
            <v>1;03;A;B;PAQ35a40</v>
          </cell>
          <cell r="B81">
            <v>730069</v>
          </cell>
          <cell r="C81" t="str">
            <v>A</v>
          </cell>
          <cell r="D81" t="str">
            <v>ANDORRA</v>
          </cell>
          <cell r="E81" t="str">
            <v>03</v>
          </cell>
          <cell r="F81" t="str">
            <v>PAQ35a40</v>
          </cell>
          <cell r="G81" t="str">
            <v>B</v>
          </cell>
          <cell r="H81">
            <v>159.01</v>
          </cell>
        </row>
        <row r="82">
          <cell r="A82" t="str">
            <v>1;03;A;E;</v>
          </cell>
          <cell r="B82">
            <v>730069</v>
          </cell>
          <cell r="C82" t="str">
            <v>A</v>
          </cell>
          <cell r="D82" t="str">
            <v>ANDORRA</v>
          </cell>
          <cell r="E82" t="str">
            <v>03</v>
          </cell>
          <cell r="F82" t="str">
            <v/>
          </cell>
          <cell r="G82" t="str">
            <v>E</v>
          </cell>
          <cell r="H82">
            <v>23.64</v>
          </cell>
        </row>
        <row r="83">
          <cell r="A83" t="str">
            <v>1;03;A;P;</v>
          </cell>
          <cell r="B83">
            <v>730069</v>
          </cell>
          <cell r="C83" t="str">
            <v>A</v>
          </cell>
          <cell r="D83" t="str">
            <v>ANDORRA</v>
          </cell>
          <cell r="E83" t="str">
            <v>03</v>
          </cell>
          <cell r="F83" t="str">
            <v/>
          </cell>
          <cell r="G83" t="str">
            <v>P</v>
          </cell>
          <cell r="H83">
            <v>23.64</v>
          </cell>
        </row>
        <row r="84">
          <cell r="A84" t="str">
            <v>1;04;A;B;BAG</v>
          </cell>
          <cell r="B84">
            <v>730069</v>
          </cell>
          <cell r="C84" t="str">
            <v>A</v>
          </cell>
          <cell r="D84" t="str">
            <v>ANDORRA</v>
          </cell>
          <cell r="E84" t="str">
            <v>04</v>
          </cell>
          <cell r="F84" t="str">
            <v>BAG</v>
          </cell>
          <cell r="G84" t="str">
            <v>B</v>
          </cell>
          <cell r="H84">
            <v>5.66</v>
          </cell>
        </row>
        <row r="85">
          <cell r="A85" t="str">
            <v>1;05;A;B;BAG</v>
          </cell>
          <cell r="B85">
            <v>730069</v>
          </cell>
          <cell r="C85" t="str">
            <v>A</v>
          </cell>
          <cell r="D85" t="str">
            <v>ANDORRA</v>
          </cell>
          <cell r="E85" t="str">
            <v>05</v>
          </cell>
          <cell r="F85" t="str">
            <v>BAG</v>
          </cell>
          <cell r="G85" t="str">
            <v>B</v>
          </cell>
          <cell r="H85">
            <v>5.66</v>
          </cell>
        </row>
        <row r="86">
          <cell r="A86" t="str">
            <v>1;06;A;B;BAG</v>
          </cell>
          <cell r="B86">
            <v>730069</v>
          </cell>
          <cell r="C86" t="str">
            <v>A</v>
          </cell>
          <cell r="D86" t="str">
            <v>ANDORRA</v>
          </cell>
          <cell r="E86" t="str">
            <v>06</v>
          </cell>
          <cell r="F86" t="str">
            <v>BAG</v>
          </cell>
          <cell r="G86" t="str">
            <v>B</v>
          </cell>
          <cell r="H86">
            <v>0</v>
          </cell>
        </row>
        <row r="87">
          <cell r="A87" t="str">
            <v>1;06;A;B;DOCS</v>
          </cell>
          <cell r="B87">
            <v>730069</v>
          </cell>
          <cell r="C87" t="str">
            <v>A</v>
          </cell>
          <cell r="D87" t="str">
            <v>ANDORRA</v>
          </cell>
          <cell r="E87" t="str">
            <v>06</v>
          </cell>
          <cell r="F87" t="str">
            <v>DOCS</v>
          </cell>
          <cell r="G87" t="str">
            <v>B</v>
          </cell>
          <cell r="H87">
            <v>0</v>
          </cell>
        </row>
        <row r="88">
          <cell r="A88" t="str">
            <v>1;06;A;B;PAQ00a05</v>
          </cell>
          <cell r="B88">
            <v>730069</v>
          </cell>
          <cell r="C88" t="str">
            <v>A</v>
          </cell>
          <cell r="D88" t="str">
            <v>ANDORRA</v>
          </cell>
          <cell r="E88" t="str">
            <v>06</v>
          </cell>
          <cell r="F88" t="str">
            <v>PAQ00a05</v>
          </cell>
          <cell r="G88" t="str">
            <v>B</v>
          </cell>
          <cell r="H88">
            <v>0</v>
          </cell>
        </row>
        <row r="89">
          <cell r="A89" t="str">
            <v>1;06;A;B;PAQ05a10</v>
          </cell>
          <cell r="B89">
            <v>730069</v>
          </cell>
          <cell r="C89" t="str">
            <v>A</v>
          </cell>
          <cell r="D89" t="str">
            <v>ANDORRA</v>
          </cell>
          <cell r="E89" t="str">
            <v>06</v>
          </cell>
          <cell r="F89" t="str">
            <v>PAQ05a10</v>
          </cell>
          <cell r="G89" t="str">
            <v>B</v>
          </cell>
          <cell r="H89">
            <v>0</v>
          </cell>
        </row>
        <row r="90">
          <cell r="A90" t="str">
            <v>1;06;A;B;PAQ10a15</v>
          </cell>
          <cell r="B90">
            <v>730069</v>
          </cell>
          <cell r="C90" t="str">
            <v>A</v>
          </cell>
          <cell r="D90" t="str">
            <v>ANDORRA</v>
          </cell>
          <cell r="E90" t="str">
            <v>06</v>
          </cell>
          <cell r="F90" t="str">
            <v>PAQ10a15</v>
          </cell>
          <cell r="G90" t="str">
            <v>B</v>
          </cell>
          <cell r="H90">
            <v>0</v>
          </cell>
        </row>
        <row r="91">
          <cell r="A91" t="str">
            <v>1;06;A;B;PAQ15a20</v>
          </cell>
          <cell r="B91">
            <v>730069</v>
          </cell>
          <cell r="C91" t="str">
            <v>A</v>
          </cell>
          <cell r="D91" t="str">
            <v>ANDORRA</v>
          </cell>
          <cell r="E91" t="str">
            <v>06</v>
          </cell>
          <cell r="F91" t="str">
            <v>PAQ15a20</v>
          </cell>
          <cell r="G91" t="str">
            <v>B</v>
          </cell>
          <cell r="H91">
            <v>0</v>
          </cell>
        </row>
        <row r="92">
          <cell r="A92" t="str">
            <v>1;06;A;B;PAQ20a25</v>
          </cell>
          <cell r="B92">
            <v>730069</v>
          </cell>
          <cell r="C92" t="str">
            <v>A</v>
          </cell>
          <cell r="D92" t="str">
            <v>ANDORRA</v>
          </cell>
          <cell r="E92" t="str">
            <v>06</v>
          </cell>
          <cell r="F92" t="str">
            <v>PAQ20a25</v>
          </cell>
          <cell r="G92" t="str">
            <v>B</v>
          </cell>
          <cell r="H92">
            <v>0</v>
          </cell>
        </row>
        <row r="93">
          <cell r="A93" t="str">
            <v>1;06;A;B;PAQ25a30</v>
          </cell>
          <cell r="B93">
            <v>730069</v>
          </cell>
          <cell r="C93" t="str">
            <v>A</v>
          </cell>
          <cell r="D93" t="str">
            <v>ANDORRA</v>
          </cell>
          <cell r="E93" t="str">
            <v>06</v>
          </cell>
          <cell r="F93" t="str">
            <v>PAQ25a30</v>
          </cell>
          <cell r="G93" t="str">
            <v>B</v>
          </cell>
          <cell r="H93">
            <v>0</v>
          </cell>
        </row>
        <row r="94">
          <cell r="A94" t="str">
            <v>1;06;A;B;PAQ30a35</v>
          </cell>
          <cell r="B94">
            <v>730069</v>
          </cell>
          <cell r="C94" t="str">
            <v>A</v>
          </cell>
          <cell r="D94" t="str">
            <v>ANDORRA</v>
          </cell>
          <cell r="E94" t="str">
            <v>06</v>
          </cell>
          <cell r="F94" t="str">
            <v>PAQ30a35</v>
          </cell>
          <cell r="G94" t="str">
            <v>B</v>
          </cell>
          <cell r="H94">
            <v>0</v>
          </cell>
        </row>
        <row r="95">
          <cell r="A95" t="str">
            <v>1;06;A;B;PAQ35a40</v>
          </cell>
          <cell r="B95">
            <v>730069</v>
          </cell>
          <cell r="C95" t="str">
            <v>A</v>
          </cell>
          <cell r="D95" t="str">
            <v>ANDORRA</v>
          </cell>
          <cell r="E95" t="str">
            <v>06</v>
          </cell>
          <cell r="F95" t="str">
            <v>PAQ35a40</v>
          </cell>
          <cell r="G95" t="str">
            <v>B</v>
          </cell>
          <cell r="H95">
            <v>0</v>
          </cell>
        </row>
        <row r="96">
          <cell r="A96" t="str">
            <v>1;06;A;F;</v>
          </cell>
          <cell r="B96">
            <v>730069</v>
          </cell>
          <cell r="C96" t="str">
            <v>A</v>
          </cell>
          <cell r="D96" t="str">
            <v>ANDORRA</v>
          </cell>
          <cell r="E96" t="str">
            <v>06</v>
          </cell>
          <cell r="F96" t="str">
            <v/>
          </cell>
          <cell r="G96" t="str">
            <v>F</v>
          </cell>
          <cell r="H96">
            <v>0</v>
          </cell>
        </row>
        <row r="97">
          <cell r="A97" t="str">
            <v>1;06;A;E;</v>
          </cell>
          <cell r="B97">
            <v>730069</v>
          </cell>
          <cell r="C97" t="str">
            <v>A</v>
          </cell>
          <cell r="D97" t="str">
            <v>ANDORRA</v>
          </cell>
          <cell r="E97" t="str">
            <v>06</v>
          </cell>
          <cell r="F97" t="str">
            <v/>
          </cell>
          <cell r="G97" t="str">
            <v>E</v>
          </cell>
          <cell r="H97">
            <v>16.66</v>
          </cell>
        </row>
        <row r="98">
          <cell r="A98" t="str">
            <v>1;06;A;P;</v>
          </cell>
          <cell r="B98">
            <v>730069</v>
          </cell>
          <cell r="C98" t="str">
            <v>A</v>
          </cell>
          <cell r="D98" t="str">
            <v>ANDORRA</v>
          </cell>
          <cell r="E98" t="str">
            <v>06</v>
          </cell>
          <cell r="F98" t="str">
            <v/>
          </cell>
          <cell r="G98" t="str">
            <v>P</v>
          </cell>
          <cell r="H98">
            <v>16.66</v>
          </cell>
        </row>
        <row r="99">
          <cell r="A99" t="str">
            <v>1;07;A;B;BAG</v>
          </cell>
          <cell r="B99">
            <v>730069</v>
          </cell>
          <cell r="C99" t="str">
            <v>A</v>
          </cell>
          <cell r="D99" t="str">
            <v>ANDORRA</v>
          </cell>
          <cell r="E99" t="str">
            <v>07</v>
          </cell>
          <cell r="F99" t="str">
            <v>BAG</v>
          </cell>
          <cell r="G99" t="str">
            <v>B</v>
          </cell>
          <cell r="H99">
            <v>0</v>
          </cell>
        </row>
        <row r="100">
          <cell r="A100" t="str">
            <v>1;07;A;B;DOCS</v>
          </cell>
          <cell r="B100">
            <v>730069</v>
          </cell>
          <cell r="C100" t="str">
            <v>A</v>
          </cell>
          <cell r="D100" t="str">
            <v>ANDORRA</v>
          </cell>
          <cell r="E100" t="str">
            <v>07</v>
          </cell>
          <cell r="F100" t="str">
            <v>DOCS</v>
          </cell>
          <cell r="G100" t="str">
            <v>B</v>
          </cell>
          <cell r="H100">
            <v>0</v>
          </cell>
        </row>
        <row r="101">
          <cell r="A101" t="str">
            <v>1;07;A;B;PAQ00a05</v>
          </cell>
          <cell r="B101">
            <v>730069</v>
          </cell>
          <cell r="C101" t="str">
            <v>A</v>
          </cell>
          <cell r="D101" t="str">
            <v>ANDORRA</v>
          </cell>
          <cell r="E101" t="str">
            <v>07</v>
          </cell>
          <cell r="F101" t="str">
            <v>PAQ00a05</v>
          </cell>
          <cell r="G101" t="str">
            <v>B</v>
          </cell>
          <cell r="H101">
            <v>0</v>
          </cell>
        </row>
        <row r="102">
          <cell r="A102" t="str">
            <v>1;07;A;B;PAQ05a10</v>
          </cell>
          <cell r="B102">
            <v>730069</v>
          </cell>
          <cell r="C102" t="str">
            <v>A</v>
          </cell>
          <cell r="D102" t="str">
            <v>ANDORRA</v>
          </cell>
          <cell r="E102" t="str">
            <v>07</v>
          </cell>
          <cell r="F102" t="str">
            <v>PAQ05a10</v>
          </cell>
          <cell r="G102" t="str">
            <v>B</v>
          </cell>
          <cell r="H102">
            <v>0</v>
          </cell>
        </row>
        <row r="103">
          <cell r="A103" t="str">
            <v>1;07;A;B;PAQ10a15</v>
          </cell>
          <cell r="B103">
            <v>730069</v>
          </cell>
          <cell r="C103" t="str">
            <v>A</v>
          </cell>
          <cell r="D103" t="str">
            <v>ANDORRA</v>
          </cell>
          <cell r="E103" t="str">
            <v>07</v>
          </cell>
          <cell r="F103" t="str">
            <v>PAQ10a15</v>
          </cell>
          <cell r="G103" t="str">
            <v>B</v>
          </cell>
          <cell r="H103">
            <v>0</v>
          </cell>
        </row>
        <row r="104">
          <cell r="A104" t="str">
            <v>1;07;A;B;PAQ15a20</v>
          </cell>
          <cell r="B104">
            <v>730069</v>
          </cell>
          <cell r="C104" t="str">
            <v>A</v>
          </cell>
          <cell r="D104" t="str">
            <v>ANDORRA</v>
          </cell>
          <cell r="E104" t="str">
            <v>07</v>
          </cell>
          <cell r="F104" t="str">
            <v>PAQ15a20</v>
          </cell>
          <cell r="G104" t="str">
            <v>B</v>
          </cell>
          <cell r="H104">
            <v>0</v>
          </cell>
        </row>
        <row r="105">
          <cell r="A105" t="str">
            <v>1;07;A;B;PAQ20a25</v>
          </cell>
          <cell r="B105">
            <v>730069</v>
          </cell>
          <cell r="C105" t="str">
            <v>A</v>
          </cell>
          <cell r="D105" t="str">
            <v>ANDORRA</v>
          </cell>
          <cell r="E105" t="str">
            <v>07</v>
          </cell>
          <cell r="F105" t="str">
            <v>PAQ20a25</v>
          </cell>
          <cell r="G105" t="str">
            <v>B</v>
          </cell>
          <cell r="H105">
            <v>0</v>
          </cell>
        </row>
        <row r="106">
          <cell r="A106" t="str">
            <v>1;07;A;B;PAQ25a30</v>
          </cell>
          <cell r="B106">
            <v>730069</v>
          </cell>
          <cell r="C106" t="str">
            <v>A</v>
          </cell>
          <cell r="D106" t="str">
            <v>ANDORRA</v>
          </cell>
          <cell r="E106" t="str">
            <v>07</v>
          </cell>
          <cell r="F106" t="str">
            <v>PAQ25a30</v>
          </cell>
          <cell r="G106" t="str">
            <v>B</v>
          </cell>
          <cell r="H106">
            <v>0</v>
          </cell>
        </row>
        <row r="107">
          <cell r="A107" t="str">
            <v>1;07;A;B;PAQ30a35</v>
          </cell>
          <cell r="B107">
            <v>730069</v>
          </cell>
          <cell r="C107" t="str">
            <v>A</v>
          </cell>
          <cell r="D107" t="str">
            <v>ANDORRA</v>
          </cell>
          <cell r="E107" t="str">
            <v>07</v>
          </cell>
          <cell r="F107" t="str">
            <v>PAQ30a35</v>
          </cell>
          <cell r="G107" t="str">
            <v>B</v>
          </cell>
          <cell r="H107">
            <v>0</v>
          </cell>
        </row>
        <row r="108">
          <cell r="A108" t="str">
            <v>1;07;A;B;PAQ35a40</v>
          </cell>
          <cell r="B108">
            <v>730069</v>
          </cell>
          <cell r="C108" t="str">
            <v>A</v>
          </cell>
          <cell r="D108" t="str">
            <v>ANDORRA</v>
          </cell>
          <cell r="E108" t="str">
            <v>07</v>
          </cell>
          <cell r="F108" t="str">
            <v>PAQ35a40</v>
          </cell>
          <cell r="G108" t="str">
            <v>B</v>
          </cell>
          <cell r="H108">
            <v>0</v>
          </cell>
        </row>
        <row r="109">
          <cell r="A109" t="str">
            <v>1;07;A;F;</v>
          </cell>
          <cell r="B109">
            <v>730069</v>
          </cell>
          <cell r="C109" t="str">
            <v>A</v>
          </cell>
          <cell r="D109" t="str">
            <v>ANDORRA</v>
          </cell>
          <cell r="E109" t="str">
            <v>07</v>
          </cell>
          <cell r="F109" t="str">
            <v/>
          </cell>
          <cell r="G109" t="str">
            <v>F</v>
          </cell>
          <cell r="H109">
            <v>0</v>
          </cell>
        </row>
        <row r="110">
          <cell r="A110" t="str">
            <v>1;07;A;E;</v>
          </cell>
          <cell r="B110">
            <v>730069</v>
          </cell>
          <cell r="C110" t="str">
            <v>A</v>
          </cell>
          <cell r="D110" t="str">
            <v>ANDORRA</v>
          </cell>
          <cell r="E110" t="str">
            <v>07</v>
          </cell>
          <cell r="F110" t="str">
            <v/>
          </cell>
          <cell r="G110" t="str">
            <v>E</v>
          </cell>
          <cell r="H110">
            <v>16.66</v>
          </cell>
        </row>
        <row r="111">
          <cell r="A111" t="str">
            <v>1;07;A;P;</v>
          </cell>
          <cell r="B111">
            <v>730069</v>
          </cell>
          <cell r="C111" t="str">
            <v>A</v>
          </cell>
          <cell r="D111" t="str">
            <v>ANDORRA</v>
          </cell>
          <cell r="E111" t="str">
            <v>07</v>
          </cell>
          <cell r="F111" t="str">
            <v/>
          </cell>
          <cell r="G111" t="str">
            <v>P</v>
          </cell>
          <cell r="H111">
            <v>16.66</v>
          </cell>
        </row>
        <row r="112">
          <cell r="A112" t="str">
            <v>1;08;A;B;BAG</v>
          </cell>
          <cell r="B112">
            <v>730069</v>
          </cell>
          <cell r="C112" t="str">
            <v>A</v>
          </cell>
          <cell r="D112" t="str">
            <v>ANDORRA</v>
          </cell>
          <cell r="E112" t="str">
            <v>08</v>
          </cell>
          <cell r="F112" t="str">
            <v>BAG</v>
          </cell>
          <cell r="G112" t="str">
            <v>B</v>
          </cell>
          <cell r="H112">
            <v>4.2</v>
          </cell>
        </row>
        <row r="113">
          <cell r="A113" t="str">
            <v>1;08;A;B;DOCS</v>
          </cell>
          <cell r="B113">
            <v>730069</v>
          </cell>
          <cell r="C113" t="str">
            <v>A</v>
          </cell>
          <cell r="D113" t="str">
            <v>ANDORRA</v>
          </cell>
          <cell r="E113" t="str">
            <v>08</v>
          </cell>
          <cell r="F113" t="str">
            <v>DOCS</v>
          </cell>
          <cell r="G113" t="str">
            <v>B</v>
          </cell>
          <cell r="H113">
            <v>8.32</v>
          </cell>
        </row>
        <row r="114">
          <cell r="A114" t="str">
            <v>1;08;A;B;PAQ00a02</v>
          </cell>
          <cell r="B114">
            <v>730069</v>
          </cell>
          <cell r="C114" t="str">
            <v>A</v>
          </cell>
          <cell r="D114" t="str">
            <v>ANDORRA</v>
          </cell>
          <cell r="E114" t="str">
            <v>08</v>
          </cell>
          <cell r="F114" t="str">
            <v>PAQ00a02</v>
          </cell>
          <cell r="G114" t="str">
            <v>B</v>
          </cell>
          <cell r="H114">
            <v>4.2</v>
          </cell>
        </row>
        <row r="115">
          <cell r="A115" t="str">
            <v>1;08;A;B;PAQ02a05</v>
          </cell>
          <cell r="B115">
            <v>730069</v>
          </cell>
          <cell r="C115" t="str">
            <v>A</v>
          </cell>
          <cell r="D115" t="str">
            <v>ANDORRA</v>
          </cell>
          <cell r="E115" t="str">
            <v>08</v>
          </cell>
          <cell r="F115" t="str">
            <v>PAQ02a05</v>
          </cell>
          <cell r="G115" t="str">
            <v>B</v>
          </cell>
          <cell r="H115">
            <v>5.78</v>
          </cell>
        </row>
        <row r="116">
          <cell r="A116" t="str">
            <v>1;08;A;B;PAQ05a10</v>
          </cell>
          <cell r="B116">
            <v>730069</v>
          </cell>
          <cell r="C116" t="str">
            <v>A</v>
          </cell>
          <cell r="D116" t="str">
            <v>ANDORRA</v>
          </cell>
          <cell r="E116" t="str">
            <v>08</v>
          </cell>
          <cell r="F116" t="str">
            <v>PAQ05a10</v>
          </cell>
          <cell r="G116" t="str">
            <v>B</v>
          </cell>
          <cell r="H116">
            <v>7.25</v>
          </cell>
        </row>
        <row r="117">
          <cell r="A117" t="str">
            <v>1;08;A;B;PAQ10a15</v>
          </cell>
          <cell r="B117">
            <v>730069</v>
          </cell>
          <cell r="C117" t="str">
            <v>A</v>
          </cell>
          <cell r="D117" t="str">
            <v>ANDORRA</v>
          </cell>
          <cell r="E117" t="str">
            <v>08</v>
          </cell>
          <cell r="F117" t="str">
            <v>PAQ10a15</v>
          </cell>
          <cell r="G117" t="str">
            <v>B</v>
          </cell>
          <cell r="H117">
            <v>10.29</v>
          </cell>
        </row>
        <row r="118">
          <cell r="A118" t="str">
            <v>1;08;A;B;PAQ15a20</v>
          </cell>
          <cell r="B118">
            <v>730069</v>
          </cell>
          <cell r="C118" t="str">
            <v>A</v>
          </cell>
          <cell r="D118" t="str">
            <v>ANDORRA</v>
          </cell>
          <cell r="E118" t="str">
            <v>08</v>
          </cell>
          <cell r="F118" t="str">
            <v>PAQ15a20</v>
          </cell>
          <cell r="G118" t="str">
            <v>B</v>
          </cell>
          <cell r="H118">
            <v>13.02</v>
          </cell>
        </row>
        <row r="119">
          <cell r="A119" t="str">
            <v>1;08;A;B;PAQ20a25</v>
          </cell>
          <cell r="B119">
            <v>730069</v>
          </cell>
          <cell r="C119" t="str">
            <v>A</v>
          </cell>
          <cell r="D119" t="str">
            <v>ANDORRA</v>
          </cell>
          <cell r="E119" t="str">
            <v>08</v>
          </cell>
          <cell r="F119" t="str">
            <v>PAQ20a25</v>
          </cell>
          <cell r="G119" t="str">
            <v>B</v>
          </cell>
          <cell r="H119">
            <v>15.96</v>
          </cell>
        </row>
        <row r="120">
          <cell r="A120" t="str">
            <v>1;08;A;B;PAQ25a30</v>
          </cell>
          <cell r="B120">
            <v>730069</v>
          </cell>
          <cell r="C120" t="str">
            <v>A</v>
          </cell>
          <cell r="D120" t="str">
            <v>ANDORRA</v>
          </cell>
          <cell r="E120" t="str">
            <v>08</v>
          </cell>
          <cell r="F120" t="str">
            <v>PAQ25a30</v>
          </cell>
          <cell r="G120" t="str">
            <v>B</v>
          </cell>
          <cell r="H120">
            <v>18.899999999999999</v>
          </cell>
        </row>
        <row r="121">
          <cell r="A121" t="str">
            <v>1;08;A;B;PAQ30a35</v>
          </cell>
          <cell r="B121">
            <v>730069</v>
          </cell>
          <cell r="C121" t="str">
            <v>A</v>
          </cell>
          <cell r="D121" t="str">
            <v>ANDORRA</v>
          </cell>
          <cell r="E121" t="str">
            <v>08</v>
          </cell>
          <cell r="F121" t="str">
            <v>PAQ30a35</v>
          </cell>
          <cell r="G121" t="str">
            <v>B</v>
          </cell>
          <cell r="H121">
            <v>21.84</v>
          </cell>
        </row>
        <row r="122">
          <cell r="A122" t="str">
            <v>1;08;A;B;PAQ35a40</v>
          </cell>
          <cell r="B122">
            <v>730069</v>
          </cell>
          <cell r="C122" t="str">
            <v>A</v>
          </cell>
          <cell r="D122" t="str">
            <v>ANDORRA</v>
          </cell>
          <cell r="E122" t="str">
            <v>08</v>
          </cell>
          <cell r="F122" t="str">
            <v>PAQ35a40</v>
          </cell>
          <cell r="G122" t="str">
            <v>B</v>
          </cell>
          <cell r="H122">
            <v>24.78</v>
          </cell>
        </row>
        <row r="123">
          <cell r="A123" t="str">
            <v>1;08;A;F;</v>
          </cell>
          <cell r="B123">
            <v>730069</v>
          </cell>
          <cell r="C123" t="str">
            <v>A</v>
          </cell>
          <cell r="D123" t="str">
            <v>ANDORRA</v>
          </cell>
          <cell r="E123" t="str">
            <v>08</v>
          </cell>
          <cell r="F123" t="str">
            <v/>
          </cell>
          <cell r="G123" t="str">
            <v>F</v>
          </cell>
          <cell r="H123">
            <v>3.68</v>
          </cell>
        </row>
        <row r="124">
          <cell r="A124" t="str">
            <v>1;08;A;E;</v>
          </cell>
          <cell r="B124">
            <v>730069</v>
          </cell>
          <cell r="C124" t="str">
            <v>A</v>
          </cell>
          <cell r="D124" t="str">
            <v>ANDORRA</v>
          </cell>
          <cell r="E124" t="str">
            <v>08</v>
          </cell>
          <cell r="F124" t="str">
            <v/>
          </cell>
          <cell r="G124" t="str">
            <v>E</v>
          </cell>
          <cell r="H124">
            <v>4.7300000000000004</v>
          </cell>
        </row>
        <row r="125">
          <cell r="A125" t="str">
            <v>1;08;A;P;</v>
          </cell>
          <cell r="B125">
            <v>730069</v>
          </cell>
          <cell r="C125" t="str">
            <v>A</v>
          </cell>
          <cell r="D125" t="str">
            <v>ANDORRA</v>
          </cell>
          <cell r="E125" t="str">
            <v>08</v>
          </cell>
          <cell r="F125" t="str">
            <v/>
          </cell>
          <cell r="G125" t="str">
            <v>P</v>
          </cell>
          <cell r="H125">
            <v>3.68</v>
          </cell>
        </row>
        <row r="126">
          <cell r="A126" t="str">
            <v>1;10;A;B;BAG</v>
          </cell>
          <cell r="B126">
            <v>730069</v>
          </cell>
          <cell r="C126" t="str">
            <v>A</v>
          </cell>
          <cell r="D126" t="str">
            <v>ANDORRA</v>
          </cell>
          <cell r="E126" t="str">
            <v>10</v>
          </cell>
          <cell r="F126" t="str">
            <v>BAG</v>
          </cell>
          <cell r="G126" t="str">
            <v>B</v>
          </cell>
          <cell r="H126">
            <v>1.67</v>
          </cell>
        </row>
        <row r="127">
          <cell r="A127" t="str">
            <v>1;10;A;B;DOCS</v>
          </cell>
          <cell r="B127">
            <v>730069</v>
          </cell>
          <cell r="C127" t="str">
            <v>A</v>
          </cell>
          <cell r="D127" t="str">
            <v>ANDORRA</v>
          </cell>
          <cell r="E127" t="str">
            <v>10</v>
          </cell>
          <cell r="F127" t="str">
            <v>DOCS</v>
          </cell>
          <cell r="G127" t="str">
            <v>B</v>
          </cell>
          <cell r="H127">
            <v>1.67</v>
          </cell>
        </row>
        <row r="128">
          <cell r="A128" t="str">
            <v>1;11;A;B;BAG</v>
          </cell>
          <cell r="B128">
            <v>730069</v>
          </cell>
          <cell r="C128" t="str">
            <v>A</v>
          </cell>
          <cell r="D128" t="str">
            <v>ANDORRA</v>
          </cell>
          <cell r="E128" t="str">
            <v>11</v>
          </cell>
          <cell r="F128" t="str">
            <v>BAG</v>
          </cell>
          <cell r="G128" t="str">
            <v>B</v>
          </cell>
          <cell r="H128">
            <v>30.25</v>
          </cell>
        </row>
        <row r="129">
          <cell r="A129" t="str">
            <v>1;11;A;B;DOCS</v>
          </cell>
          <cell r="B129">
            <v>730069</v>
          </cell>
          <cell r="C129" t="str">
            <v>A</v>
          </cell>
          <cell r="D129" t="str">
            <v>ANDORRA</v>
          </cell>
          <cell r="E129" t="str">
            <v>11</v>
          </cell>
          <cell r="F129" t="str">
            <v>DOCS</v>
          </cell>
          <cell r="G129" t="str">
            <v>B</v>
          </cell>
          <cell r="H129">
            <v>25.18</v>
          </cell>
        </row>
        <row r="130">
          <cell r="A130" t="str">
            <v>1;11;A;B;PAQ00a02</v>
          </cell>
          <cell r="B130">
            <v>730069</v>
          </cell>
          <cell r="C130" t="str">
            <v>A</v>
          </cell>
          <cell r="D130" t="str">
            <v>ANDORRA</v>
          </cell>
          <cell r="E130" t="str">
            <v>11</v>
          </cell>
          <cell r="F130" t="str">
            <v>PAQ00a02</v>
          </cell>
          <cell r="G130" t="str">
            <v>B</v>
          </cell>
          <cell r="H130">
            <v>34.880000000000003</v>
          </cell>
        </row>
        <row r="131">
          <cell r="A131" t="str">
            <v>1;11;A;B;PAQ02a05</v>
          </cell>
          <cell r="B131">
            <v>730069</v>
          </cell>
          <cell r="C131" t="str">
            <v>A</v>
          </cell>
          <cell r="D131" t="str">
            <v>ANDORRA</v>
          </cell>
          <cell r="E131" t="str">
            <v>11</v>
          </cell>
          <cell r="F131" t="str">
            <v>PAQ02a05</v>
          </cell>
          <cell r="G131" t="str">
            <v>B</v>
          </cell>
          <cell r="H131">
            <v>34.880000000000003</v>
          </cell>
        </row>
        <row r="132">
          <cell r="A132" t="str">
            <v>1;11;A;B;PAQ05a10</v>
          </cell>
          <cell r="B132">
            <v>730069</v>
          </cell>
          <cell r="C132" t="str">
            <v>A</v>
          </cell>
          <cell r="D132" t="str">
            <v>ANDORRA</v>
          </cell>
          <cell r="E132" t="str">
            <v>11</v>
          </cell>
          <cell r="F132" t="str">
            <v>PAQ05a10</v>
          </cell>
          <cell r="G132" t="str">
            <v>B</v>
          </cell>
          <cell r="H132">
            <v>52.48</v>
          </cell>
        </row>
        <row r="133">
          <cell r="A133" t="str">
            <v>1;11;A;B;PAQ10a15</v>
          </cell>
          <cell r="B133">
            <v>730069</v>
          </cell>
          <cell r="C133" t="str">
            <v>A</v>
          </cell>
          <cell r="D133" t="str">
            <v>ANDORRA</v>
          </cell>
          <cell r="E133" t="str">
            <v>11</v>
          </cell>
          <cell r="F133" t="str">
            <v>PAQ10a15</v>
          </cell>
          <cell r="G133" t="str">
            <v>B</v>
          </cell>
          <cell r="H133">
            <v>72.099999999999994</v>
          </cell>
        </row>
        <row r="134">
          <cell r="A134" t="str">
            <v>1;11;A;B;PAQ15a20</v>
          </cell>
          <cell r="B134">
            <v>730069</v>
          </cell>
          <cell r="C134" t="str">
            <v>A</v>
          </cell>
          <cell r="D134" t="str">
            <v>ANDORRA</v>
          </cell>
          <cell r="E134" t="str">
            <v>11</v>
          </cell>
          <cell r="F134" t="str">
            <v>PAQ15a20</v>
          </cell>
          <cell r="G134" t="str">
            <v>B</v>
          </cell>
          <cell r="H134">
            <v>91.73</v>
          </cell>
        </row>
        <row r="135">
          <cell r="A135" t="str">
            <v>1;11;A;B;PAQ20a25</v>
          </cell>
          <cell r="B135">
            <v>730069</v>
          </cell>
          <cell r="C135" t="str">
            <v>A</v>
          </cell>
          <cell r="D135" t="str">
            <v>ANDORRA</v>
          </cell>
          <cell r="E135" t="str">
            <v>11</v>
          </cell>
          <cell r="F135" t="str">
            <v>PAQ20a25</v>
          </cell>
          <cell r="G135" t="str">
            <v>B</v>
          </cell>
          <cell r="H135">
            <v>111.36</v>
          </cell>
        </row>
        <row r="136">
          <cell r="A136" t="str">
            <v>1;11;A;B;PAQ25a30</v>
          </cell>
          <cell r="B136">
            <v>730069</v>
          </cell>
          <cell r="C136" t="str">
            <v>A</v>
          </cell>
          <cell r="D136" t="str">
            <v>ANDORRA</v>
          </cell>
          <cell r="E136" t="str">
            <v>11</v>
          </cell>
          <cell r="F136" t="str">
            <v>PAQ25a30</v>
          </cell>
          <cell r="G136" t="str">
            <v>B</v>
          </cell>
          <cell r="H136">
            <v>130.99</v>
          </cell>
        </row>
        <row r="137">
          <cell r="A137" t="str">
            <v>1;11;A;B;PAQ30a35</v>
          </cell>
          <cell r="B137">
            <v>730069</v>
          </cell>
          <cell r="C137" t="str">
            <v>A</v>
          </cell>
          <cell r="D137" t="str">
            <v>ANDORRA</v>
          </cell>
          <cell r="E137" t="str">
            <v>11</v>
          </cell>
          <cell r="F137" t="str">
            <v>PAQ30a35</v>
          </cell>
          <cell r="G137" t="str">
            <v>B</v>
          </cell>
          <cell r="H137">
            <v>150.62</v>
          </cell>
        </row>
        <row r="138">
          <cell r="A138" t="str">
            <v>1;11;A;F;</v>
          </cell>
          <cell r="B138">
            <v>730069</v>
          </cell>
          <cell r="C138" t="str">
            <v>A</v>
          </cell>
          <cell r="D138" t="str">
            <v>ANDORRA</v>
          </cell>
          <cell r="E138" t="str">
            <v>11</v>
          </cell>
          <cell r="F138" t="str">
            <v/>
          </cell>
          <cell r="G138" t="str">
            <v>F</v>
          </cell>
          <cell r="H138">
            <v>19.62</v>
          </cell>
        </row>
        <row r="139">
          <cell r="A139" t="str">
            <v>1;11;A;B;PAQ35a40</v>
          </cell>
          <cell r="B139">
            <v>730069</v>
          </cell>
          <cell r="C139" t="str">
            <v>A</v>
          </cell>
          <cell r="D139" t="str">
            <v>ANDORRA</v>
          </cell>
          <cell r="E139" t="str">
            <v>11</v>
          </cell>
          <cell r="F139" t="str">
            <v>PAQ35a40</v>
          </cell>
          <cell r="G139" t="str">
            <v>B</v>
          </cell>
          <cell r="H139">
            <v>170.25</v>
          </cell>
        </row>
        <row r="140">
          <cell r="A140" t="str">
            <v>1;11;A;P;</v>
          </cell>
          <cell r="B140">
            <v>730069</v>
          </cell>
          <cell r="C140" t="str">
            <v>A</v>
          </cell>
          <cell r="D140" t="str">
            <v>ANDORRA</v>
          </cell>
          <cell r="E140" t="str">
            <v>11</v>
          </cell>
          <cell r="F140" t="str">
            <v/>
          </cell>
          <cell r="G140" t="str">
            <v>P</v>
          </cell>
          <cell r="H140">
            <v>23.64</v>
          </cell>
        </row>
        <row r="141">
          <cell r="A141" t="str">
            <v>1;11;A;E;</v>
          </cell>
          <cell r="B141">
            <v>730069</v>
          </cell>
          <cell r="C141" t="str">
            <v>A</v>
          </cell>
          <cell r="D141" t="str">
            <v>ANDORRA</v>
          </cell>
          <cell r="E141" t="str">
            <v>11</v>
          </cell>
          <cell r="F141" t="str">
            <v/>
          </cell>
          <cell r="G141" t="str">
            <v>E</v>
          </cell>
          <cell r="H141">
            <v>23.64</v>
          </cell>
        </row>
        <row r="142">
          <cell r="A142" t="str">
            <v>1;14;A;B;BAG</v>
          </cell>
          <cell r="B142">
            <v>730069</v>
          </cell>
          <cell r="C142" t="str">
            <v>A</v>
          </cell>
          <cell r="D142" t="str">
            <v>ANDORRA</v>
          </cell>
          <cell r="E142" t="str">
            <v>14</v>
          </cell>
          <cell r="F142" t="str">
            <v>BAG</v>
          </cell>
          <cell r="G142" t="str">
            <v>B</v>
          </cell>
          <cell r="H142">
            <v>1.75</v>
          </cell>
        </row>
        <row r="143">
          <cell r="A143" t="str">
            <v>1;15;A;B;BAG</v>
          </cell>
          <cell r="B143">
            <v>730069</v>
          </cell>
          <cell r="C143" t="str">
            <v>A</v>
          </cell>
          <cell r="D143" t="str">
            <v>ANDORRA</v>
          </cell>
          <cell r="E143" t="str">
            <v>15</v>
          </cell>
          <cell r="F143" t="str">
            <v>BAG</v>
          </cell>
          <cell r="G143" t="str">
            <v>B</v>
          </cell>
          <cell r="H143">
            <v>1.75</v>
          </cell>
        </row>
        <row r="144">
          <cell r="A144" t="str">
            <v>1;18;A;B;BAG</v>
          </cell>
          <cell r="B144">
            <v>730069</v>
          </cell>
          <cell r="C144" t="str">
            <v>A</v>
          </cell>
          <cell r="D144" t="str">
            <v>ANDORRA</v>
          </cell>
          <cell r="E144" t="str">
            <v>18</v>
          </cell>
          <cell r="F144" t="str">
            <v>BAG</v>
          </cell>
          <cell r="G144" t="str">
            <v>B</v>
          </cell>
          <cell r="H144">
            <v>2.42</v>
          </cell>
        </row>
        <row r="145">
          <cell r="A145" t="str">
            <v>1;18;A;B;PAQ00a02</v>
          </cell>
          <cell r="B145">
            <v>730069</v>
          </cell>
          <cell r="C145" t="str">
            <v>A</v>
          </cell>
          <cell r="D145" t="str">
            <v>ANDORRA</v>
          </cell>
          <cell r="E145" t="str">
            <v>18</v>
          </cell>
          <cell r="F145" t="str">
            <v>PAQ00a02</v>
          </cell>
          <cell r="G145" t="str">
            <v>B</v>
          </cell>
          <cell r="H145">
            <v>2.42</v>
          </cell>
        </row>
        <row r="146">
          <cell r="A146" t="str">
            <v>1;18;A;B;PAQ02a05</v>
          </cell>
          <cell r="B146">
            <v>730069</v>
          </cell>
          <cell r="C146" t="str">
            <v>A</v>
          </cell>
          <cell r="D146" t="str">
            <v>ANDORRA</v>
          </cell>
          <cell r="E146" t="str">
            <v>18</v>
          </cell>
          <cell r="F146" t="str">
            <v>PAQ02a05</v>
          </cell>
          <cell r="G146" t="str">
            <v>B</v>
          </cell>
          <cell r="H146">
            <v>4.67</v>
          </cell>
        </row>
        <row r="147">
          <cell r="A147" t="str">
            <v>1;18;A;B;PAQ05a10</v>
          </cell>
          <cell r="B147">
            <v>730069</v>
          </cell>
          <cell r="C147" t="str">
            <v>A</v>
          </cell>
          <cell r="D147" t="str">
            <v>ANDORRA</v>
          </cell>
          <cell r="E147" t="str">
            <v>18</v>
          </cell>
          <cell r="F147" t="str">
            <v>PAQ05a10</v>
          </cell>
          <cell r="G147" t="str">
            <v>B</v>
          </cell>
          <cell r="H147">
            <v>5.88</v>
          </cell>
        </row>
        <row r="148">
          <cell r="A148" t="str">
            <v>1;18;A;B;PAQ10a15</v>
          </cell>
          <cell r="B148">
            <v>730069</v>
          </cell>
          <cell r="C148" t="str">
            <v>A</v>
          </cell>
          <cell r="D148" t="str">
            <v>ANDORRA</v>
          </cell>
          <cell r="E148" t="str">
            <v>18</v>
          </cell>
          <cell r="F148" t="str">
            <v>PAQ10a15</v>
          </cell>
          <cell r="G148" t="str">
            <v>B</v>
          </cell>
          <cell r="H148">
            <v>7.01</v>
          </cell>
        </row>
        <row r="149">
          <cell r="A149" t="str">
            <v>1;18;A;B;PAQ15a20</v>
          </cell>
          <cell r="B149">
            <v>730069</v>
          </cell>
          <cell r="C149" t="str">
            <v>A</v>
          </cell>
          <cell r="D149" t="str">
            <v>ANDORRA</v>
          </cell>
          <cell r="E149" t="str">
            <v>18</v>
          </cell>
          <cell r="F149" t="str">
            <v>PAQ15a20</v>
          </cell>
          <cell r="G149" t="str">
            <v>B</v>
          </cell>
          <cell r="H149">
            <v>8.1300000000000008</v>
          </cell>
        </row>
        <row r="150">
          <cell r="A150" t="str">
            <v>1;21;A;B;BAG</v>
          </cell>
          <cell r="B150">
            <v>730069</v>
          </cell>
          <cell r="C150" t="str">
            <v>A</v>
          </cell>
          <cell r="D150" t="str">
            <v>ANDORRA</v>
          </cell>
          <cell r="E150" t="str">
            <v>21</v>
          </cell>
          <cell r="F150" t="str">
            <v>BAG</v>
          </cell>
          <cell r="G150" t="str">
            <v>B</v>
          </cell>
          <cell r="H150">
            <v>21.26</v>
          </cell>
        </row>
        <row r="151">
          <cell r="A151" t="str">
            <v>1;21;A;B;DOCS</v>
          </cell>
          <cell r="B151">
            <v>730069</v>
          </cell>
          <cell r="C151" t="str">
            <v>A</v>
          </cell>
          <cell r="D151" t="str">
            <v>ANDORRA</v>
          </cell>
          <cell r="E151" t="str">
            <v>21</v>
          </cell>
          <cell r="F151" t="str">
            <v>DOCS</v>
          </cell>
          <cell r="G151" t="str">
            <v>B</v>
          </cell>
          <cell r="H151">
            <v>21.26</v>
          </cell>
        </row>
        <row r="152">
          <cell r="A152" t="str">
            <v>1;21;A;B;PAQ00a02</v>
          </cell>
          <cell r="B152">
            <v>730069</v>
          </cell>
          <cell r="C152" t="str">
            <v>A</v>
          </cell>
          <cell r="D152" t="str">
            <v>ANDORRA</v>
          </cell>
          <cell r="E152" t="str">
            <v>21</v>
          </cell>
          <cell r="F152" t="str">
            <v>PAQ00a02</v>
          </cell>
          <cell r="G152" t="str">
            <v>B</v>
          </cell>
          <cell r="H152">
            <v>23.93</v>
          </cell>
        </row>
        <row r="153">
          <cell r="A153" t="str">
            <v>1;21;A;B;PAQ02a05</v>
          </cell>
          <cell r="B153">
            <v>730069</v>
          </cell>
          <cell r="C153" t="str">
            <v>A</v>
          </cell>
          <cell r="D153" t="str">
            <v>ANDORRA</v>
          </cell>
          <cell r="E153" t="str">
            <v>21</v>
          </cell>
          <cell r="F153" t="str">
            <v>PAQ02a05</v>
          </cell>
          <cell r="G153" t="str">
            <v>B</v>
          </cell>
          <cell r="H153">
            <v>23.93</v>
          </cell>
        </row>
        <row r="154">
          <cell r="A154" t="str">
            <v>1;21;A;B;PAQ05a10</v>
          </cell>
          <cell r="B154">
            <v>730069</v>
          </cell>
          <cell r="C154" t="str">
            <v>A</v>
          </cell>
          <cell r="D154" t="str">
            <v>ANDORRA</v>
          </cell>
          <cell r="E154" t="str">
            <v>21</v>
          </cell>
          <cell r="F154" t="str">
            <v>PAQ05a10</v>
          </cell>
          <cell r="G154" t="str">
            <v>B</v>
          </cell>
          <cell r="H154">
            <v>32.18</v>
          </cell>
        </row>
        <row r="155">
          <cell r="A155" t="str">
            <v>1;21;A;B;PAQ10a15</v>
          </cell>
          <cell r="B155">
            <v>730069</v>
          </cell>
          <cell r="C155" t="str">
            <v>A</v>
          </cell>
          <cell r="D155" t="str">
            <v>ANDORRA</v>
          </cell>
          <cell r="E155" t="str">
            <v>21</v>
          </cell>
          <cell r="F155" t="str">
            <v>PAQ10a15</v>
          </cell>
          <cell r="G155" t="str">
            <v>B</v>
          </cell>
          <cell r="H155">
            <v>40.340000000000003</v>
          </cell>
        </row>
        <row r="156">
          <cell r="A156" t="str">
            <v>1;21;A;B;PAQ15a20</v>
          </cell>
          <cell r="B156">
            <v>730069</v>
          </cell>
          <cell r="C156" t="str">
            <v>A</v>
          </cell>
          <cell r="D156" t="str">
            <v>ANDORRA</v>
          </cell>
          <cell r="E156" t="str">
            <v>21</v>
          </cell>
          <cell r="F156" t="str">
            <v>PAQ15a20</v>
          </cell>
          <cell r="G156" t="str">
            <v>B</v>
          </cell>
          <cell r="H156">
            <v>48.5</v>
          </cell>
        </row>
        <row r="157">
          <cell r="A157" t="str">
            <v>1;21;A;B;PAQ20a25</v>
          </cell>
          <cell r="B157">
            <v>730069</v>
          </cell>
          <cell r="C157" t="str">
            <v>A</v>
          </cell>
          <cell r="D157" t="str">
            <v>ANDORRA</v>
          </cell>
          <cell r="E157" t="str">
            <v>21</v>
          </cell>
          <cell r="F157" t="str">
            <v>PAQ20a25</v>
          </cell>
          <cell r="G157" t="str">
            <v>B</v>
          </cell>
          <cell r="H157">
            <v>56.65</v>
          </cell>
        </row>
        <row r="158">
          <cell r="A158" t="str">
            <v>1;21;A;B;PAQ25a30</v>
          </cell>
          <cell r="B158">
            <v>730069</v>
          </cell>
          <cell r="C158" t="str">
            <v>A</v>
          </cell>
          <cell r="D158" t="str">
            <v>ANDORRA</v>
          </cell>
          <cell r="E158" t="str">
            <v>21</v>
          </cell>
          <cell r="F158" t="str">
            <v>PAQ25a30</v>
          </cell>
          <cell r="G158" t="str">
            <v>B</v>
          </cell>
          <cell r="H158">
            <v>64.81</v>
          </cell>
        </row>
        <row r="159">
          <cell r="A159" t="str">
            <v>1;21;A;B;PAQ30a35</v>
          </cell>
          <cell r="B159">
            <v>730069</v>
          </cell>
          <cell r="C159" t="str">
            <v>A</v>
          </cell>
          <cell r="D159" t="str">
            <v>ANDORRA</v>
          </cell>
          <cell r="E159" t="str">
            <v>21</v>
          </cell>
          <cell r="F159" t="str">
            <v>PAQ30a35</v>
          </cell>
          <cell r="G159" t="str">
            <v>B</v>
          </cell>
          <cell r="H159">
            <v>72.95</v>
          </cell>
        </row>
        <row r="160">
          <cell r="A160" t="str">
            <v>1;21;A;B;PAQ35a40</v>
          </cell>
          <cell r="B160">
            <v>730069</v>
          </cell>
          <cell r="C160" t="str">
            <v>A</v>
          </cell>
          <cell r="D160" t="str">
            <v>ANDORRA</v>
          </cell>
          <cell r="E160" t="str">
            <v>21</v>
          </cell>
          <cell r="F160" t="str">
            <v>PAQ35a40</v>
          </cell>
          <cell r="G160" t="str">
            <v>B</v>
          </cell>
          <cell r="H160">
            <v>81.11</v>
          </cell>
        </row>
        <row r="161">
          <cell r="A161" t="str">
            <v>1;21;A;F;</v>
          </cell>
          <cell r="B161">
            <v>730069</v>
          </cell>
          <cell r="C161" t="str">
            <v>A</v>
          </cell>
          <cell r="D161" t="str">
            <v>ANDORRA</v>
          </cell>
          <cell r="E161" t="str">
            <v>21</v>
          </cell>
          <cell r="F161" t="str">
            <v/>
          </cell>
          <cell r="G161" t="str">
            <v>F</v>
          </cell>
          <cell r="H161">
            <v>8.16</v>
          </cell>
        </row>
        <row r="162">
          <cell r="A162" t="str">
            <v>1;21;A;E;</v>
          </cell>
          <cell r="B162">
            <v>730069</v>
          </cell>
          <cell r="C162" t="str">
            <v>A</v>
          </cell>
          <cell r="D162" t="str">
            <v>ANDORRA</v>
          </cell>
          <cell r="E162" t="str">
            <v>21</v>
          </cell>
          <cell r="F162" t="str">
            <v/>
          </cell>
          <cell r="G162" t="str">
            <v>E</v>
          </cell>
          <cell r="H162">
            <v>16.66</v>
          </cell>
        </row>
        <row r="163">
          <cell r="A163" t="str">
            <v>1;21;A;P;</v>
          </cell>
          <cell r="B163">
            <v>730069</v>
          </cell>
          <cell r="C163" t="str">
            <v>A</v>
          </cell>
          <cell r="D163" t="str">
            <v>ANDORRA</v>
          </cell>
          <cell r="E163" t="str">
            <v>21</v>
          </cell>
          <cell r="F163" t="str">
            <v/>
          </cell>
          <cell r="G163" t="str">
            <v>P</v>
          </cell>
          <cell r="H163">
            <v>16.66</v>
          </cell>
        </row>
        <row r="164">
          <cell r="A164" t="str">
            <v>1;26;A;B;BAG</v>
          </cell>
          <cell r="B164">
            <v>730069</v>
          </cell>
          <cell r="C164" t="str">
            <v>A</v>
          </cell>
          <cell r="D164" t="str">
            <v>ANDORRA</v>
          </cell>
          <cell r="E164" t="str">
            <v>26</v>
          </cell>
          <cell r="F164" t="str">
            <v>BAG</v>
          </cell>
          <cell r="G164" t="str">
            <v>B</v>
          </cell>
          <cell r="H164">
            <v>4.2</v>
          </cell>
        </row>
        <row r="165">
          <cell r="A165" t="str">
            <v>1;26;A;B;PAQ00a02</v>
          </cell>
          <cell r="B165">
            <v>730069</v>
          </cell>
          <cell r="C165" t="str">
            <v>A</v>
          </cell>
          <cell r="D165" t="str">
            <v>ANDORRA</v>
          </cell>
          <cell r="E165" t="str">
            <v>26</v>
          </cell>
          <cell r="F165" t="str">
            <v>PAQ00a02</v>
          </cell>
          <cell r="G165" t="str">
            <v>B</v>
          </cell>
          <cell r="H165">
            <v>4.2</v>
          </cell>
        </row>
        <row r="166">
          <cell r="A166" t="str">
            <v>1;26;A;B;PAQ02a05</v>
          </cell>
          <cell r="B166">
            <v>730069</v>
          </cell>
          <cell r="C166" t="str">
            <v>A</v>
          </cell>
          <cell r="D166" t="str">
            <v>ANDORRA</v>
          </cell>
          <cell r="E166" t="str">
            <v>26</v>
          </cell>
          <cell r="F166" t="str">
            <v>PAQ02a05</v>
          </cell>
          <cell r="G166" t="str">
            <v>B</v>
          </cell>
          <cell r="H166">
            <v>5.15</v>
          </cell>
        </row>
        <row r="167">
          <cell r="A167" t="str">
            <v>1;26;A;B;PAQ05a10</v>
          </cell>
          <cell r="B167">
            <v>730069</v>
          </cell>
          <cell r="C167" t="str">
            <v>A</v>
          </cell>
          <cell r="D167" t="str">
            <v>ANDORRA</v>
          </cell>
          <cell r="E167" t="str">
            <v>26</v>
          </cell>
          <cell r="F167" t="str">
            <v>PAQ05a10</v>
          </cell>
          <cell r="G167" t="str">
            <v>B</v>
          </cell>
          <cell r="H167">
            <v>6.83</v>
          </cell>
        </row>
        <row r="168">
          <cell r="A168" t="str">
            <v>1;26;A;B;PAQ10a15</v>
          </cell>
          <cell r="B168">
            <v>730069</v>
          </cell>
          <cell r="C168" t="str">
            <v>A</v>
          </cell>
          <cell r="D168" t="str">
            <v>ANDORRA</v>
          </cell>
          <cell r="E168" t="str">
            <v>26</v>
          </cell>
          <cell r="F168" t="str">
            <v>PAQ10a15</v>
          </cell>
          <cell r="G168" t="str">
            <v>B</v>
          </cell>
          <cell r="H168">
            <v>9.77</v>
          </cell>
        </row>
        <row r="169">
          <cell r="A169" t="str">
            <v>1;26;A;B;PAQ15a20</v>
          </cell>
          <cell r="B169">
            <v>730069</v>
          </cell>
          <cell r="C169" t="str">
            <v>A</v>
          </cell>
          <cell r="D169" t="str">
            <v>ANDORRA</v>
          </cell>
          <cell r="E169" t="str">
            <v>26</v>
          </cell>
          <cell r="F169" t="str">
            <v>PAQ15a20</v>
          </cell>
          <cell r="G169" t="str">
            <v>B</v>
          </cell>
          <cell r="H169">
            <v>10.53</v>
          </cell>
        </row>
        <row r="170">
          <cell r="A170" t="str">
            <v>1;38;A;B;BAG</v>
          </cell>
          <cell r="B170">
            <v>730069</v>
          </cell>
          <cell r="C170" t="str">
            <v>A</v>
          </cell>
          <cell r="D170" t="str">
            <v>ANDORRA</v>
          </cell>
          <cell r="E170" t="str">
            <v>38</v>
          </cell>
          <cell r="F170" t="str">
            <v>BAG</v>
          </cell>
          <cell r="G170" t="str">
            <v>B</v>
          </cell>
          <cell r="H170">
            <v>7.14</v>
          </cell>
        </row>
        <row r="171">
          <cell r="A171" t="str">
            <v>1;38;A;B;PAQ00a02</v>
          </cell>
          <cell r="B171">
            <v>730069</v>
          </cell>
          <cell r="C171" t="str">
            <v>A</v>
          </cell>
          <cell r="D171" t="str">
            <v>ANDORRA</v>
          </cell>
          <cell r="E171" t="str">
            <v>38</v>
          </cell>
          <cell r="F171" t="str">
            <v>PAQ00a02</v>
          </cell>
          <cell r="G171" t="str">
            <v>B</v>
          </cell>
          <cell r="H171">
            <v>7.14</v>
          </cell>
        </row>
        <row r="172">
          <cell r="A172" t="str">
            <v>1;38;A;B;PAQ02a05</v>
          </cell>
          <cell r="B172">
            <v>730069</v>
          </cell>
          <cell r="C172" t="str">
            <v>A</v>
          </cell>
          <cell r="D172" t="str">
            <v>ANDORRA</v>
          </cell>
          <cell r="E172" t="str">
            <v>38</v>
          </cell>
          <cell r="F172" t="str">
            <v>PAQ02a05</v>
          </cell>
          <cell r="G172" t="str">
            <v>B</v>
          </cell>
          <cell r="H172">
            <v>8.6300000000000008</v>
          </cell>
        </row>
        <row r="173">
          <cell r="A173" t="str">
            <v>1;38;A;B;PAQ05a10</v>
          </cell>
          <cell r="B173">
            <v>730069</v>
          </cell>
          <cell r="C173" t="str">
            <v>A</v>
          </cell>
          <cell r="D173" t="str">
            <v>ANDORRA</v>
          </cell>
          <cell r="E173" t="str">
            <v>38</v>
          </cell>
          <cell r="F173" t="str">
            <v>PAQ05a10</v>
          </cell>
          <cell r="G173" t="str">
            <v>B</v>
          </cell>
          <cell r="H173">
            <v>10.57</v>
          </cell>
        </row>
        <row r="174">
          <cell r="A174" t="str">
            <v>1;38;A;B;PAQ10a15</v>
          </cell>
          <cell r="B174">
            <v>730069</v>
          </cell>
          <cell r="C174" t="str">
            <v>A</v>
          </cell>
          <cell r="D174" t="str">
            <v>ANDORRA</v>
          </cell>
          <cell r="E174" t="str">
            <v>38</v>
          </cell>
          <cell r="F174" t="str">
            <v>PAQ10a15</v>
          </cell>
          <cell r="G174" t="str">
            <v>B</v>
          </cell>
          <cell r="H174">
            <v>11.17</v>
          </cell>
        </row>
        <row r="175">
          <cell r="A175" t="str">
            <v>1;38;A;B;PAQ15a20</v>
          </cell>
          <cell r="B175">
            <v>730069</v>
          </cell>
          <cell r="C175" t="str">
            <v>A</v>
          </cell>
          <cell r="D175" t="str">
            <v>ANDORRA</v>
          </cell>
          <cell r="E175" t="str">
            <v>38</v>
          </cell>
          <cell r="F175" t="str">
            <v>PAQ15a20</v>
          </cell>
          <cell r="G175" t="str">
            <v>B</v>
          </cell>
          <cell r="H175">
            <v>11.63</v>
          </cell>
        </row>
        <row r="176">
          <cell r="A176" t="str">
            <v>1;60;A;B;BAG</v>
          </cell>
          <cell r="B176">
            <v>730069</v>
          </cell>
          <cell r="C176" t="str">
            <v>A</v>
          </cell>
          <cell r="D176" t="str">
            <v>ANDORRA</v>
          </cell>
          <cell r="E176" t="str">
            <v>60</v>
          </cell>
          <cell r="F176" t="str">
            <v>BAG</v>
          </cell>
          <cell r="G176" t="str">
            <v>B</v>
          </cell>
          <cell r="H176">
            <v>31.71</v>
          </cell>
        </row>
        <row r="177">
          <cell r="A177" t="str">
            <v>1;60;A;B;PAQ00a05</v>
          </cell>
          <cell r="B177">
            <v>730069</v>
          </cell>
          <cell r="C177" t="str">
            <v>A</v>
          </cell>
          <cell r="D177" t="str">
            <v>ANDORRA</v>
          </cell>
          <cell r="E177" t="str">
            <v>60</v>
          </cell>
          <cell r="F177" t="str">
            <v>PAQ00a05</v>
          </cell>
          <cell r="G177" t="str">
            <v>B</v>
          </cell>
          <cell r="H177">
            <v>36.33</v>
          </cell>
        </row>
        <row r="178">
          <cell r="A178" t="str">
            <v>1;60;A;B;PAQ05a10</v>
          </cell>
          <cell r="B178">
            <v>730069</v>
          </cell>
          <cell r="C178" t="str">
            <v>A</v>
          </cell>
          <cell r="D178" t="str">
            <v>ANDORRA</v>
          </cell>
          <cell r="E178" t="str">
            <v>60</v>
          </cell>
          <cell r="F178" t="str">
            <v>PAQ05a10</v>
          </cell>
          <cell r="G178" t="str">
            <v>B</v>
          </cell>
          <cell r="H178">
            <v>53.93</v>
          </cell>
        </row>
        <row r="179">
          <cell r="A179" t="str">
            <v>1;60;A;B;PAQ10a15</v>
          </cell>
          <cell r="B179">
            <v>730069</v>
          </cell>
          <cell r="C179" t="str">
            <v>A</v>
          </cell>
          <cell r="D179" t="str">
            <v>ANDORRA</v>
          </cell>
          <cell r="E179" t="str">
            <v>60</v>
          </cell>
          <cell r="F179" t="str">
            <v>PAQ10a15</v>
          </cell>
          <cell r="G179" t="str">
            <v>B</v>
          </cell>
          <cell r="H179">
            <v>73.55</v>
          </cell>
        </row>
        <row r="180">
          <cell r="A180" t="str">
            <v>1;60;A;B;PAQ15a20</v>
          </cell>
          <cell r="B180">
            <v>730069</v>
          </cell>
          <cell r="C180" t="str">
            <v>A</v>
          </cell>
          <cell r="D180" t="str">
            <v>ANDORRA</v>
          </cell>
          <cell r="E180" t="str">
            <v>60</v>
          </cell>
          <cell r="F180" t="str">
            <v>PAQ15a20</v>
          </cell>
          <cell r="G180" t="str">
            <v>B</v>
          </cell>
          <cell r="H180">
            <v>93.18</v>
          </cell>
        </row>
        <row r="181">
          <cell r="A181" t="str">
            <v>1;60;A;B;PAQ20a25</v>
          </cell>
          <cell r="B181">
            <v>730069</v>
          </cell>
          <cell r="C181" t="str">
            <v>A</v>
          </cell>
          <cell r="D181" t="str">
            <v>ANDORRA</v>
          </cell>
          <cell r="E181" t="str">
            <v>60</v>
          </cell>
          <cell r="F181" t="str">
            <v>PAQ20a25</v>
          </cell>
          <cell r="G181" t="str">
            <v>B</v>
          </cell>
          <cell r="H181">
            <v>112.81</v>
          </cell>
        </row>
        <row r="182">
          <cell r="A182" t="str">
            <v>1;60;A;B;PAQ25a30</v>
          </cell>
          <cell r="B182">
            <v>730069</v>
          </cell>
          <cell r="C182" t="str">
            <v>A</v>
          </cell>
          <cell r="D182" t="str">
            <v>ANDORRA</v>
          </cell>
          <cell r="E182" t="str">
            <v>60</v>
          </cell>
          <cell r="F182" t="str">
            <v>PAQ25a30</v>
          </cell>
          <cell r="G182" t="str">
            <v>B</v>
          </cell>
          <cell r="H182">
            <v>132.44</v>
          </cell>
        </row>
        <row r="183">
          <cell r="A183" t="str">
            <v>1;60;A;B;PAQ30a35</v>
          </cell>
          <cell r="B183">
            <v>730069</v>
          </cell>
          <cell r="C183" t="str">
            <v>A</v>
          </cell>
          <cell r="D183" t="str">
            <v>ANDORRA</v>
          </cell>
          <cell r="E183" t="str">
            <v>60</v>
          </cell>
          <cell r="F183" t="str">
            <v>PAQ30a35</v>
          </cell>
          <cell r="G183" t="str">
            <v>B</v>
          </cell>
          <cell r="H183">
            <v>152.07</v>
          </cell>
        </row>
        <row r="184">
          <cell r="A184" t="str">
            <v>1;60;A;B;PAQ35a40</v>
          </cell>
          <cell r="B184">
            <v>730069</v>
          </cell>
          <cell r="C184" t="str">
            <v>A</v>
          </cell>
          <cell r="D184" t="str">
            <v>ANDORRA</v>
          </cell>
          <cell r="E184" t="str">
            <v>60</v>
          </cell>
          <cell r="F184" t="str">
            <v>PAQ35a40</v>
          </cell>
          <cell r="G184" t="str">
            <v>B</v>
          </cell>
          <cell r="H184">
            <v>171.7</v>
          </cell>
        </row>
        <row r="185">
          <cell r="A185" t="str">
            <v>1;60;A;F;</v>
          </cell>
          <cell r="B185">
            <v>730069</v>
          </cell>
          <cell r="C185" t="str">
            <v>A</v>
          </cell>
          <cell r="D185" t="str">
            <v>ANDORRA</v>
          </cell>
          <cell r="E185" t="str">
            <v>60</v>
          </cell>
          <cell r="F185" t="str">
            <v/>
          </cell>
          <cell r="G185" t="str">
            <v>F</v>
          </cell>
          <cell r="H185">
            <v>19.62</v>
          </cell>
        </row>
        <row r="186">
          <cell r="A186" t="str">
            <v>1;60;A;E;</v>
          </cell>
          <cell r="B186">
            <v>730069</v>
          </cell>
          <cell r="C186" t="str">
            <v>A</v>
          </cell>
          <cell r="D186" t="str">
            <v>ANDORRA</v>
          </cell>
          <cell r="E186" t="str">
            <v>60</v>
          </cell>
          <cell r="F186" t="str">
            <v/>
          </cell>
          <cell r="G186" t="str">
            <v>E</v>
          </cell>
          <cell r="H186">
            <v>25.08</v>
          </cell>
        </row>
        <row r="187">
          <cell r="A187" t="str">
            <v>1;60;A;P;</v>
          </cell>
          <cell r="B187">
            <v>730069</v>
          </cell>
          <cell r="C187" t="str">
            <v>A</v>
          </cell>
          <cell r="D187" t="str">
            <v>ANDORRA</v>
          </cell>
          <cell r="E187" t="str">
            <v>60</v>
          </cell>
          <cell r="F187" t="str">
            <v/>
          </cell>
          <cell r="G187" t="str">
            <v>P</v>
          </cell>
          <cell r="H187">
            <v>25.08</v>
          </cell>
        </row>
        <row r="188">
          <cell r="A188" t="str">
            <v>1;61;A;B;BAG</v>
          </cell>
          <cell r="B188">
            <v>730069</v>
          </cell>
          <cell r="C188" t="str">
            <v>A</v>
          </cell>
          <cell r="D188" t="str">
            <v>ANDORRA</v>
          </cell>
          <cell r="E188" t="str">
            <v>61</v>
          </cell>
          <cell r="F188" t="str">
            <v>BAG</v>
          </cell>
          <cell r="G188" t="str">
            <v>B</v>
          </cell>
          <cell r="H188">
            <v>20.45</v>
          </cell>
        </row>
        <row r="189">
          <cell r="A189" t="str">
            <v>1;61;A;B;PAQ00a05</v>
          </cell>
          <cell r="B189">
            <v>730069</v>
          </cell>
          <cell r="C189" t="str">
            <v>A</v>
          </cell>
          <cell r="D189" t="str">
            <v>ANDORRA</v>
          </cell>
          <cell r="E189" t="str">
            <v>61</v>
          </cell>
          <cell r="F189" t="str">
            <v>PAQ00a05</v>
          </cell>
          <cell r="G189" t="str">
            <v>B</v>
          </cell>
          <cell r="H189">
            <v>25.08</v>
          </cell>
        </row>
        <row r="190">
          <cell r="A190" t="str">
            <v>1;61;A;B;PAQ05a10</v>
          </cell>
          <cell r="B190">
            <v>730069</v>
          </cell>
          <cell r="C190" t="str">
            <v>A</v>
          </cell>
          <cell r="D190" t="str">
            <v>ANDORRA</v>
          </cell>
          <cell r="E190" t="str">
            <v>61</v>
          </cell>
          <cell r="F190" t="str">
            <v>PAQ05a10</v>
          </cell>
          <cell r="G190" t="str">
            <v>B</v>
          </cell>
          <cell r="H190">
            <v>42.67</v>
          </cell>
        </row>
        <row r="191">
          <cell r="A191" t="str">
            <v>1;61;A;B;PAQ10a15</v>
          </cell>
          <cell r="B191">
            <v>730069</v>
          </cell>
          <cell r="C191" t="str">
            <v>A</v>
          </cell>
          <cell r="D191" t="str">
            <v>ANDORRA</v>
          </cell>
          <cell r="E191" t="str">
            <v>61</v>
          </cell>
          <cell r="F191" t="str">
            <v>PAQ10a15</v>
          </cell>
          <cell r="G191" t="str">
            <v>B</v>
          </cell>
          <cell r="H191">
            <v>62.31</v>
          </cell>
        </row>
        <row r="192">
          <cell r="A192" t="str">
            <v>1;61;A;B;PAQ15a20</v>
          </cell>
          <cell r="B192">
            <v>730069</v>
          </cell>
          <cell r="C192" t="str">
            <v>A</v>
          </cell>
          <cell r="D192" t="str">
            <v>ANDORRA</v>
          </cell>
          <cell r="E192" t="str">
            <v>61</v>
          </cell>
          <cell r="F192" t="str">
            <v>PAQ15a20</v>
          </cell>
          <cell r="G192" t="str">
            <v>B</v>
          </cell>
          <cell r="H192">
            <v>81.93</v>
          </cell>
        </row>
        <row r="193">
          <cell r="A193" t="str">
            <v>1;61;A;B;PAQ20a25</v>
          </cell>
          <cell r="B193">
            <v>730069</v>
          </cell>
          <cell r="C193" t="str">
            <v>A</v>
          </cell>
          <cell r="D193" t="str">
            <v>ANDORRA</v>
          </cell>
          <cell r="E193" t="str">
            <v>61</v>
          </cell>
          <cell r="F193" t="str">
            <v>PAQ20a25</v>
          </cell>
          <cell r="G193" t="str">
            <v>B</v>
          </cell>
          <cell r="H193">
            <v>101.57</v>
          </cell>
        </row>
        <row r="194">
          <cell r="A194" t="str">
            <v>1;61;A;B;PAQ25a30</v>
          </cell>
          <cell r="B194">
            <v>730069</v>
          </cell>
          <cell r="C194" t="str">
            <v>A</v>
          </cell>
          <cell r="D194" t="str">
            <v>ANDORRA</v>
          </cell>
          <cell r="E194" t="str">
            <v>61</v>
          </cell>
          <cell r="F194" t="str">
            <v>PAQ25a30</v>
          </cell>
          <cell r="G194" t="str">
            <v>B</v>
          </cell>
          <cell r="H194">
            <v>121.19</v>
          </cell>
        </row>
        <row r="195">
          <cell r="A195" t="str">
            <v>1;61;A;B;PAQ30a35</v>
          </cell>
          <cell r="B195">
            <v>730069</v>
          </cell>
          <cell r="C195" t="str">
            <v>A</v>
          </cell>
          <cell r="D195" t="str">
            <v>ANDORRA</v>
          </cell>
          <cell r="E195" t="str">
            <v>61</v>
          </cell>
          <cell r="F195" t="str">
            <v>PAQ30a35</v>
          </cell>
          <cell r="G195" t="str">
            <v>B</v>
          </cell>
          <cell r="H195">
            <v>140.83000000000001</v>
          </cell>
        </row>
        <row r="196">
          <cell r="A196" t="str">
            <v>1;61;A;B;PAQ35a40</v>
          </cell>
          <cell r="B196">
            <v>730069</v>
          </cell>
          <cell r="C196" t="str">
            <v>A</v>
          </cell>
          <cell r="D196" t="str">
            <v>ANDORRA</v>
          </cell>
          <cell r="E196" t="str">
            <v>61</v>
          </cell>
          <cell r="F196" t="str">
            <v>PAQ35a40</v>
          </cell>
          <cell r="G196" t="str">
            <v>B</v>
          </cell>
          <cell r="H196">
            <v>160.44999999999999</v>
          </cell>
        </row>
        <row r="197">
          <cell r="A197" t="str">
            <v>1;61;A;F;</v>
          </cell>
          <cell r="B197">
            <v>730069</v>
          </cell>
          <cell r="C197" t="str">
            <v>A</v>
          </cell>
          <cell r="D197" t="str">
            <v>ANDORRA</v>
          </cell>
          <cell r="E197" t="str">
            <v>61</v>
          </cell>
          <cell r="F197" t="str">
            <v/>
          </cell>
          <cell r="G197" t="str">
            <v>F</v>
          </cell>
          <cell r="H197">
            <v>19.62</v>
          </cell>
        </row>
        <row r="198">
          <cell r="A198" t="str">
            <v>1;61;A;E;</v>
          </cell>
          <cell r="B198">
            <v>730069</v>
          </cell>
          <cell r="C198" t="str">
            <v>A</v>
          </cell>
          <cell r="D198" t="str">
            <v>ANDORRA</v>
          </cell>
          <cell r="E198" t="str">
            <v>61</v>
          </cell>
          <cell r="F198" t="str">
            <v/>
          </cell>
          <cell r="G198" t="str">
            <v>E</v>
          </cell>
          <cell r="H198">
            <v>25.08</v>
          </cell>
        </row>
        <row r="199">
          <cell r="A199" t="str">
            <v>1;61;A;P;</v>
          </cell>
          <cell r="B199">
            <v>730069</v>
          </cell>
          <cell r="C199" t="str">
            <v>A</v>
          </cell>
          <cell r="D199" t="str">
            <v>ANDORRA</v>
          </cell>
          <cell r="E199" t="str">
            <v>61</v>
          </cell>
          <cell r="F199" t="str">
            <v/>
          </cell>
          <cell r="G199" t="str">
            <v>P</v>
          </cell>
          <cell r="H199">
            <v>25.08</v>
          </cell>
        </row>
        <row r="200">
          <cell r="A200" t="str">
            <v>1;62;A;B;BAG</v>
          </cell>
          <cell r="B200">
            <v>730069</v>
          </cell>
          <cell r="C200" t="str">
            <v>A</v>
          </cell>
          <cell r="D200" t="str">
            <v>ANDORRA</v>
          </cell>
          <cell r="E200" t="str">
            <v>62</v>
          </cell>
          <cell r="F200" t="str">
            <v>BAG</v>
          </cell>
          <cell r="G200" t="str">
            <v>B</v>
          </cell>
          <cell r="H200">
            <v>15.44</v>
          </cell>
        </row>
        <row r="201">
          <cell r="A201" t="str">
            <v>1;62;A;B;PAQ00a05</v>
          </cell>
          <cell r="B201">
            <v>730069</v>
          </cell>
          <cell r="C201" t="str">
            <v>A</v>
          </cell>
          <cell r="D201" t="str">
            <v>ANDORRA</v>
          </cell>
          <cell r="E201" t="str">
            <v>62</v>
          </cell>
          <cell r="F201" t="str">
            <v>PAQ00a05</v>
          </cell>
          <cell r="G201" t="str">
            <v>B</v>
          </cell>
          <cell r="H201">
            <v>18.13</v>
          </cell>
        </row>
        <row r="202">
          <cell r="A202" t="str">
            <v>1;62;A;B;PAQ05a10</v>
          </cell>
          <cell r="B202">
            <v>730069</v>
          </cell>
          <cell r="C202" t="str">
            <v>A</v>
          </cell>
          <cell r="D202" t="str">
            <v>ANDORRA</v>
          </cell>
          <cell r="E202" t="str">
            <v>62</v>
          </cell>
          <cell r="F202" t="str">
            <v>PAQ05a10</v>
          </cell>
          <cell r="G202" t="str">
            <v>B</v>
          </cell>
          <cell r="H202">
            <v>26.36</v>
          </cell>
        </row>
        <row r="203">
          <cell r="A203" t="str">
            <v>1;62;A;B;PAQ10a15</v>
          </cell>
          <cell r="B203">
            <v>730069</v>
          </cell>
          <cell r="C203" t="str">
            <v>A</v>
          </cell>
          <cell r="D203" t="str">
            <v>ANDORRA</v>
          </cell>
          <cell r="E203" t="str">
            <v>62</v>
          </cell>
          <cell r="F203" t="str">
            <v>PAQ10a15</v>
          </cell>
          <cell r="G203" t="str">
            <v>B</v>
          </cell>
          <cell r="H203">
            <v>34.51</v>
          </cell>
        </row>
        <row r="204">
          <cell r="A204" t="str">
            <v>1;62;A;B;PAQ15a20</v>
          </cell>
          <cell r="B204">
            <v>730069</v>
          </cell>
          <cell r="C204" t="str">
            <v>A</v>
          </cell>
          <cell r="D204" t="str">
            <v>ANDORRA</v>
          </cell>
          <cell r="E204" t="str">
            <v>62</v>
          </cell>
          <cell r="F204" t="str">
            <v>PAQ15a20</v>
          </cell>
          <cell r="G204" t="str">
            <v>B</v>
          </cell>
          <cell r="H204">
            <v>42.66</v>
          </cell>
        </row>
        <row r="205">
          <cell r="A205" t="str">
            <v>1;62;A;B;PAQ20a25</v>
          </cell>
          <cell r="B205">
            <v>730069</v>
          </cell>
          <cell r="C205" t="str">
            <v>A</v>
          </cell>
          <cell r="D205" t="str">
            <v>ANDORRA</v>
          </cell>
          <cell r="E205" t="str">
            <v>62</v>
          </cell>
          <cell r="F205" t="str">
            <v>PAQ20a25</v>
          </cell>
          <cell r="G205" t="str">
            <v>B</v>
          </cell>
          <cell r="H205">
            <v>50.82</v>
          </cell>
        </row>
        <row r="206">
          <cell r="A206" t="str">
            <v>1;62;A;B;PAQ25a30</v>
          </cell>
          <cell r="B206">
            <v>730069</v>
          </cell>
          <cell r="C206" t="str">
            <v>A</v>
          </cell>
          <cell r="D206" t="str">
            <v>ANDORRA</v>
          </cell>
          <cell r="E206" t="str">
            <v>62</v>
          </cell>
          <cell r="F206" t="str">
            <v>PAQ25a30</v>
          </cell>
          <cell r="G206" t="str">
            <v>B</v>
          </cell>
          <cell r="H206">
            <v>58.98</v>
          </cell>
        </row>
        <row r="207">
          <cell r="A207" t="str">
            <v>1;62;A;B;PAQ30a35</v>
          </cell>
          <cell r="B207">
            <v>730069</v>
          </cell>
          <cell r="C207" t="str">
            <v>A</v>
          </cell>
          <cell r="D207" t="str">
            <v>ANDORRA</v>
          </cell>
          <cell r="E207" t="str">
            <v>62</v>
          </cell>
          <cell r="F207" t="str">
            <v>PAQ30a35</v>
          </cell>
          <cell r="G207" t="str">
            <v>B</v>
          </cell>
          <cell r="H207">
            <v>67.13</v>
          </cell>
        </row>
        <row r="208">
          <cell r="A208" t="str">
            <v>1;62;A;B;PAQ35a40</v>
          </cell>
          <cell r="B208">
            <v>730069</v>
          </cell>
          <cell r="C208" t="str">
            <v>A</v>
          </cell>
          <cell r="D208" t="str">
            <v>ANDORRA</v>
          </cell>
          <cell r="E208" t="str">
            <v>62</v>
          </cell>
          <cell r="F208" t="str">
            <v>PAQ35a40</v>
          </cell>
          <cell r="G208" t="str">
            <v>B</v>
          </cell>
          <cell r="H208">
            <v>75.290000000000006</v>
          </cell>
        </row>
        <row r="209">
          <cell r="A209" t="str">
            <v>1;62;A;F;</v>
          </cell>
          <cell r="B209">
            <v>730069</v>
          </cell>
          <cell r="C209" t="str">
            <v>A</v>
          </cell>
          <cell r="D209" t="str">
            <v>ANDORRA</v>
          </cell>
          <cell r="E209" t="str">
            <v>62</v>
          </cell>
          <cell r="F209" t="str">
            <v/>
          </cell>
          <cell r="G209" t="str">
            <v>F</v>
          </cell>
          <cell r="H209">
            <v>8.16</v>
          </cell>
        </row>
        <row r="210">
          <cell r="A210" t="str">
            <v>1;62;A;P;</v>
          </cell>
          <cell r="B210">
            <v>730069</v>
          </cell>
          <cell r="C210" t="str">
            <v>A</v>
          </cell>
          <cell r="D210" t="str">
            <v>ANDORRA</v>
          </cell>
          <cell r="E210" t="str">
            <v>62</v>
          </cell>
          <cell r="F210" t="str">
            <v/>
          </cell>
          <cell r="G210" t="str">
            <v>P</v>
          </cell>
          <cell r="H210">
            <v>18.13</v>
          </cell>
        </row>
        <row r="211">
          <cell r="A211" t="str">
            <v>1;62;A;E;</v>
          </cell>
          <cell r="B211">
            <v>730069</v>
          </cell>
          <cell r="C211" t="str">
            <v>A</v>
          </cell>
          <cell r="D211" t="str">
            <v>ANDORRA</v>
          </cell>
          <cell r="E211" t="str">
            <v>62</v>
          </cell>
          <cell r="F211" t="str">
            <v/>
          </cell>
          <cell r="G211" t="str">
            <v>E</v>
          </cell>
          <cell r="H211">
            <v>18.13</v>
          </cell>
        </row>
        <row r="212">
          <cell r="A212" t="str">
            <v>1;63;A;B;BAG</v>
          </cell>
          <cell r="B212">
            <v>730069</v>
          </cell>
          <cell r="C212" t="str">
            <v>A</v>
          </cell>
          <cell r="D212" t="str">
            <v>ANDORRA</v>
          </cell>
          <cell r="E212" t="str">
            <v>63</v>
          </cell>
          <cell r="F212" t="str">
            <v>BAG</v>
          </cell>
          <cell r="G212" t="str">
            <v>B</v>
          </cell>
          <cell r="H212">
            <v>22.72</v>
          </cell>
        </row>
        <row r="213">
          <cell r="A213" t="str">
            <v>1;63;A;B;PAQ00a05</v>
          </cell>
          <cell r="B213">
            <v>730069</v>
          </cell>
          <cell r="C213" t="str">
            <v>A</v>
          </cell>
          <cell r="D213" t="str">
            <v>ANDORRA</v>
          </cell>
          <cell r="E213" t="str">
            <v>63</v>
          </cell>
          <cell r="F213" t="str">
            <v>PAQ00a05</v>
          </cell>
          <cell r="G213" t="str">
            <v>B</v>
          </cell>
          <cell r="H213">
            <v>25.42</v>
          </cell>
        </row>
        <row r="214">
          <cell r="A214" t="str">
            <v>1;63;A;B;PAQ05a10</v>
          </cell>
          <cell r="B214">
            <v>730069</v>
          </cell>
          <cell r="C214" t="str">
            <v>A</v>
          </cell>
          <cell r="D214" t="str">
            <v>ANDORRA</v>
          </cell>
          <cell r="E214" t="str">
            <v>63</v>
          </cell>
          <cell r="F214" t="str">
            <v>PAQ05a10</v>
          </cell>
          <cell r="G214" t="str">
            <v>B</v>
          </cell>
          <cell r="H214">
            <v>33.630000000000003</v>
          </cell>
        </row>
        <row r="215">
          <cell r="A215" t="str">
            <v>1;63;A;B;PAQ10a15</v>
          </cell>
          <cell r="B215">
            <v>730069</v>
          </cell>
          <cell r="C215" t="str">
            <v>A</v>
          </cell>
          <cell r="D215" t="str">
            <v>ANDORRA</v>
          </cell>
          <cell r="E215" t="str">
            <v>63</v>
          </cell>
          <cell r="F215" t="str">
            <v>PAQ10a15</v>
          </cell>
          <cell r="G215" t="str">
            <v>B</v>
          </cell>
          <cell r="H215">
            <v>41.79</v>
          </cell>
        </row>
        <row r="216">
          <cell r="A216" t="str">
            <v>1;63;A;B;PAQ15a20</v>
          </cell>
          <cell r="B216">
            <v>730069</v>
          </cell>
          <cell r="C216" t="str">
            <v>A</v>
          </cell>
          <cell r="D216" t="str">
            <v>ANDORRA</v>
          </cell>
          <cell r="E216" t="str">
            <v>63</v>
          </cell>
          <cell r="F216" t="str">
            <v>PAQ15a20</v>
          </cell>
          <cell r="G216" t="str">
            <v>B</v>
          </cell>
          <cell r="H216">
            <v>49.95</v>
          </cell>
        </row>
        <row r="217">
          <cell r="A217" t="str">
            <v>1;63;A;B;PAQ20a25</v>
          </cell>
          <cell r="B217">
            <v>730069</v>
          </cell>
          <cell r="C217" t="str">
            <v>A</v>
          </cell>
          <cell r="D217" t="str">
            <v>ANDORRA</v>
          </cell>
          <cell r="E217" t="str">
            <v>63</v>
          </cell>
          <cell r="F217" t="str">
            <v>PAQ20a25</v>
          </cell>
          <cell r="G217" t="str">
            <v>B</v>
          </cell>
          <cell r="H217">
            <v>58.1</v>
          </cell>
        </row>
        <row r="218">
          <cell r="A218" t="str">
            <v>1;63;A;B;PAQ25a30</v>
          </cell>
          <cell r="B218">
            <v>730069</v>
          </cell>
          <cell r="C218" t="str">
            <v>A</v>
          </cell>
          <cell r="D218" t="str">
            <v>ANDORRA</v>
          </cell>
          <cell r="E218" t="str">
            <v>63</v>
          </cell>
          <cell r="F218" t="str">
            <v>PAQ25a30</v>
          </cell>
          <cell r="G218" t="str">
            <v>B</v>
          </cell>
          <cell r="H218">
            <v>66.260000000000005</v>
          </cell>
        </row>
        <row r="219">
          <cell r="A219" t="str">
            <v>1;63;A;B;PAQ30a35</v>
          </cell>
          <cell r="B219">
            <v>730069</v>
          </cell>
          <cell r="C219" t="str">
            <v>A</v>
          </cell>
          <cell r="D219" t="str">
            <v>ANDORRA</v>
          </cell>
          <cell r="E219" t="str">
            <v>63</v>
          </cell>
          <cell r="F219" t="str">
            <v>PAQ30a35</v>
          </cell>
          <cell r="G219" t="str">
            <v>B</v>
          </cell>
          <cell r="H219">
            <v>74.400000000000006</v>
          </cell>
        </row>
        <row r="220">
          <cell r="A220" t="str">
            <v>1;63;A;F;</v>
          </cell>
          <cell r="B220">
            <v>730069</v>
          </cell>
          <cell r="C220" t="str">
            <v>A</v>
          </cell>
          <cell r="D220" t="str">
            <v>ANDORRA</v>
          </cell>
          <cell r="E220" t="str">
            <v>63</v>
          </cell>
          <cell r="F220" t="str">
            <v/>
          </cell>
          <cell r="G220" t="str">
            <v>F</v>
          </cell>
          <cell r="H220">
            <v>8.16</v>
          </cell>
        </row>
        <row r="221">
          <cell r="A221" t="str">
            <v>1;63;A;B;PAQ35a40</v>
          </cell>
          <cell r="B221">
            <v>730069</v>
          </cell>
          <cell r="C221" t="str">
            <v>A</v>
          </cell>
          <cell r="D221" t="str">
            <v>ANDORRA</v>
          </cell>
          <cell r="E221" t="str">
            <v>63</v>
          </cell>
          <cell r="F221" t="str">
            <v>PAQ35a40</v>
          </cell>
          <cell r="G221" t="str">
            <v>B</v>
          </cell>
          <cell r="H221">
            <v>82.56</v>
          </cell>
        </row>
        <row r="222">
          <cell r="A222" t="str">
            <v>1;63;A;P;</v>
          </cell>
          <cell r="B222">
            <v>730069</v>
          </cell>
          <cell r="C222" t="str">
            <v>A</v>
          </cell>
          <cell r="D222" t="str">
            <v>ANDORRA</v>
          </cell>
          <cell r="E222" t="str">
            <v>63</v>
          </cell>
          <cell r="F222" t="str">
            <v/>
          </cell>
          <cell r="G222" t="str">
            <v>P</v>
          </cell>
          <cell r="H222">
            <v>18.13</v>
          </cell>
        </row>
        <row r="223">
          <cell r="A223" t="str">
            <v>1;63;A;E;</v>
          </cell>
          <cell r="B223">
            <v>730069</v>
          </cell>
          <cell r="C223" t="str">
            <v>A</v>
          </cell>
          <cell r="D223" t="str">
            <v>ANDORRA</v>
          </cell>
          <cell r="E223" t="str">
            <v>63</v>
          </cell>
          <cell r="F223" t="str">
            <v/>
          </cell>
          <cell r="G223" t="str">
            <v>E</v>
          </cell>
          <cell r="H223">
            <v>18.13</v>
          </cell>
        </row>
        <row r="224">
          <cell r="A224" t="str">
            <v>1;65;A;B;BAG</v>
          </cell>
          <cell r="B224">
            <v>730069</v>
          </cell>
          <cell r="C224" t="str">
            <v>A</v>
          </cell>
          <cell r="D224" t="str">
            <v>ANDORRA</v>
          </cell>
          <cell r="E224" t="str">
            <v>65</v>
          </cell>
          <cell r="F224" t="str">
            <v>BAG</v>
          </cell>
          <cell r="G224" t="str">
            <v>B</v>
          </cell>
          <cell r="H224">
            <v>15.44</v>
          </cell>
        </row>
        <row r="225">
          <cell r="A225" t="str">
            <v>1;65;A;B;PAQ00a05</v>
          </cell>
          <cell r="B225">
            <v>730069</v>
          </cell>
          <cell r="C225" t="str">
            <v>A</v>
          </cell>
          <cell r="D225" t="str">
            <v>ANDORRA</v>
          </cell>
          <cell r="E225" t="str">
            <v>65</v>
          </cell>
          <cell r="F225" t="str">
            <v>PAQ00a05</v>
          </cell>
          <cell r="G225" t="str">
            <v>B</v>
          </cell>
          <cell r="H225">
            <v>18.13</v>
          </cell>
        </row>
        <row r="226">
          <cell r="A226" t="str">
            <v>1;65;A;B;PAQ05a10</v>
          </cell>
          <cell r="B226">
            <v>730069</v>
          </cell>
          <cell r="C226" t="str">
            <v>A</v>
          </cell>
          <cell r="D226" t="str">
            <v>ANDORRA</v>
          </cell>
          <cell r="E226" t="str">
            <v>65</v>
          </cell>
          <cell r="F226" t="str">
            <v>PAQ05a10</v>
          </cell>
          <cell r="G226" t="str">
            <v>B</v>
          </cell>
          <cell r="H226">
            <v>26.36</v>
          </cell>
        </row>
        <row r="227">
          <cell r="A227" t="str">
            <v>1;65;A;B;PAQ10a15</v>
          </cell>
          <cell r="B227">
            <v>730069</v>
          </cell>
          <cell r="C227" t="str">
            <v>A</v>
          </cell>
          <cell r="D227" t="str">
            <v>ANDORRA</v>
          </cell>
          <cell r="E227" t="str">
            <v>65</v>
          </cell>
          <cell r="F227" t="str">
            <v>PAQ10a15</v>
          </cell>
          <cell r="G227" t="str">
            <v>B</v>
          </cell>
          <cell r="H227">
            <v>34.51</v>
          </cell>
        </row>
        <row r="228">
          <cell r="A228" t="str">
            <v>1;65;A;B;PAQ15a20</v>
          </cell>
          <cell r="B228">
            <v>730069</v>
          </cell>
          <cell r="C228" t="str">
            <v>A</v>
          </cell>
          <cell r="D228" t="str">
            <v>ANDORRA</v>
          </cell>
          <cell r="E228" t="str">
            <v>65</v>
          </cell>
          <cell r="F228" t="str">
            <v>PAQ15a20</v>
          </cell>
          <cell r="G228" t="str">
            <v>B</v>
          </cell>
          <cell r="H228">
            <v>42.66</v>
          </cell>
        </row>
        <row r="229">
          <cell r="A229" t="str">
            <v>1;65;A;B;PAQ20a25</v>
          </cell>
          <cell r="B229">
            <v>730069</v>
          </cell>
          <cell r="C229" t="str">
            <v>A</v>
          </cell>
          <cell r="D229" t="str">
            <v>ANDORRA</v>
          </cell>
          <cell r="E229" t="str">
            <v>65</v>
          </cell>
          <cell r="F229" t="str">
            <v>PAQ20a25</v>
          </cell>
          <cell r="G229" t="str">
            <v>B</v>
          </cell>
          <cell r="H229">
            <v>50.82</v>
          </cell>
        </row>
        <row r="230">
          <cell r="A230" t="str">
            <v>1;65;A;B;PAQ25a30</v>
          </cell>
          <cell r="B230">
            <v>730069</v>
          </cell>
          <cell r="C230" t="str">
            <v>A</v>
          </cell>
          <cell r="D230" t="str">
            <v>ANDORRA</v>
          </cell>
          <cell r="E230" t="str">
            <v>65</v>
          </cell>
          <cell r="F230" t="str">
            <v>PAQ25a30</v>
          </cell>
          <cell r="G230" t="str">
            <v>B</v>
          </cell>
          <cell r="H230">
            <v>58.98</v>
          </cell>
        </row>
        <row r="231">
          <cell r="A231" t="str">
            <v>1;65;A;B;PAQ30a35</v>
          </cell>
          <cell r="B231">
            <v>730069</v>
          </cell>
          <cell r="C231" t="str">
            <v>A</v>
          </cell>
          <cell r="D231" t="str">
            <v>ANDORRA</v>
          </cell>
          <cell r="E231" t="str">
            <v>65</v>
          </cell>
          <cell r="F231" t="str">
            <v>PAQ30a35</v>
          </cell>
          <cell r="G231" t="str">
            <v>B</v>
          </cell>
          <cell r="H231">
            <v>67.13</v>
          </cell>
        </row>
        <row r="232">
          <cell r="A232" t="str">
            <v>1;65;A;F;</v>
          </cell>
          <cell r="B232">
            <v>730069</v>
          </cell>
          <cell r="C232" t="str">
            <v>A</v>
          </cell>
          <cell r="D232" t="str">
            <v>ANDORRA</v>
          </cell>
          <cell r="E232" t="str">
            <v>65</v>
          </cell>
          <cell r="F232" t="str">
            <v/>
          </cell>
          <cell r="G232" t="str">
            <v>F</v>
          </cell>
          <cell r="H232">
            <v>8.16</v>
          </cell>
        </row>
        <row r="233">
          <cell r="A233" t="str">
            <v>1;65;A;B;PAQ35a40</v>
          </cell>
          <cell r="B233">
            <v>730069</v>
          </cell>
          <cell r="C233" t="str">
            <v>A</v>
          </cell>
          <cell r="D233" t="str">
            <v>ANDORRA</v>
          </cell>
          <cell r="E233" t="str">
            <v>65</v>
          </cell>
          <cell r="F233" t="str">
            <v>PAQ35a40</v>
          </cell>
          <cell r="G233" t="str">
            <v>B</v>
          </cell>
          <cell r="H233">
            <v>75.290000000000006</v>
          </cell>
        </row>
        <row r="234">
          <cell r="A234" t="str">
            <v>1;65;A;E;</v>
          </cell>
          <cell r="B234">
            <v>730069</v>
          </cell>
          <cell r="C234" t="str">
            <v>A</v>
          </cell>
          <cell r="D234" t="str">
            <v>ANDORRA</v>
          </cell>
          <cell r="E234" t="str">
            <v>65</v>
          </cell>
          <cell r="F234" t="str">
            <v/>
          </cell>
          <cell r="G234" t="str">
            <v>E</v>
          </cell>
          <cell r="H234">
            <v>18.13</v>
          </cell>
        </row>
        <row r="235">
          <cell r="A235" t="str">
            <v>1;65;A;P;</v>
          </cell>
          <cell r="B235">
            <v>730069</v>
          </cell>
          <cell r="C235" t="str">
            <v>A</v>
          </cell>
          <cell r="D235" t="str">
            <v>ANDORRA</v>
          </cell>
          <cell r="E235" t="str">
            <v>65</v>
          </cell>
          <cell r="F235" t="str">
            <v/>
          </cell>
          <cell r="G235" t="str">
            <v>P</v>
          </cell>
          <cell r="H235">
            <v>18.13</v>
          </cell>
        </row>
        <row r="236">
          <cell r="A236" t="str">
            <v>1;72;A;B;48L 15-25</v>
          </cell>
          <cell r="B236">
            <v>730069</v>
          </cell>
          <cell r="C236" t="str">
            <v>A</v>
          </cell>
          <cell r="D236" t="str">
            <v>ANDORRA</v>
          </cell>
          <cell r="E236" t="str">
            <v>72</v>
          </cell>
          <cell r="F236" t="str">
            <v>48L 15-25</v>
          </cell>
          <cell r="G236" t="str">
            <v>B</v>
          </cell>
          <cell r="H236">
            <v>52.39</v>
          </cell>
        </row>
        <row r="237">
          <cell r="A237" t="str">
            <v>1;72;A;B;48LAR</v>
          </cell>
          <cell r="B237">
            <v>730069</v>
          </cell>
          <cell r="C237" t="str">
            <v>A</v>
          </cell>
          <cell r="D237" t="str">
            <v>ANDORRA</v>
          </cell>
          <cell r="E237" t="str">
            <v>72</v>
          </cell>
          <cell r="F237" t="str">
            <v>48LAR</v>
          </cell>
          <cell r="G237" t="str">
            <v>B</v>
          </cell>
          <cell r="H237">
            <v>47.1</v>
          </cell>
        </row>
        <row r="238">
          <cell r="A238" t="str">
            <v>1;72;A;B;48M 15-25</v>
          </cell>
          <cell r="B238">
            <v>730069</v>
          </cell>
          <cell r="C238" t="str">
            <v>A</v>
          </cell>
          <cell r="D238" t="str">
            <v>ANDORRA</v>
          </cell>
          <cell r="E238" t="str">
            <v>72</v>
          </cell>
          <cell r="F238" t="str">
            <v>48M 15-25</v>
          </cell>
          <cell r="G238" t="str">
            <v>B</v>
          </cell>
          <cell r="H238">
            <v>39.81</v>
          </cell>
        </row>
        <row r="239">
          <cell r="A239" t="str">
            <v>1;72;A;B;48MED</v>
          </cell>
          <cell r="B239">
            <v>730069</v>
          </cell>
          <cell r="C239" t="str">
            <v>A</v>
          </cell>
          <cell r="D239" t="str">
            <v>ANDORRA</v>
          </cell>
          <cell r="E239" t="str">
            <v>72</v>
          </cell>
          <cell r="F239" t="str">
            <v>48MED</v>
          </cell>
          <cell r="G239" t="str">
            <v>B</v>
          </cell>
          <cell r="H239">
            <v>40.880000000000003</v>
          </cell>
        </row>
        <row r="240">
          <cell r="A240" t="str">
            <v>1;72;A;B;48S 15-25</v>
          </cell>
          <cell r="B240">
            <v>730069</v>
          </cell>
          <cell r="C240" t="str">
            <v>A</v>
          </cell>
          <cell r="D240" t="str">
            <v>ANDORRA</v>
          </cell>
          <cell r="E240" t="str">
            <v>72</v>
          </cell>
          <cell r="F240" t="str">
            <v>48S 15-25</v>
          </cell>
          <cell r="G240" t="str">
            <v>B</v>
          </cell>
          <cell r="H240">
            <v>35.909999999999997</v>
          </cell>
        </row>
        <row r="241">
          <cell r="A241" t="str">
            <v>1;72;A;B;48SMA</v>
          </cell>
          <cell r="B241">
            <v>730069</v>
          </cell>
          <cell r="C241" t="str">
            <v>A</v>
          </cell>
          <cell r="D241" t="str">
            <v>ANDORRA</v>
          </cell>
          <cell r="E241" t="str">
            <v>72</v>
          </cell>
          <cell r="F241" t="str">
            <v>48SMA</v>
          </cell>
          <cell r="G241" t="str">
            <v>B</v>
          </cell>
          <cell r="H241">
            <v>38.67</v>
          </cell>
        </row>
        <row r="242">
          <cell r="A242" t="str">
            <v>1;72;A;B;96M 15-25</v>
          </cell>
          <cell r="B242">
            <v>730069</v>
          </cell>
          <cell r="C242" t="str">
            <v>A</v>
          </cell>
          <cell r="D242" t="str">
            <v>ANDORRA</v>
          </cell>
          <cell r="E242" t="str">
            <v>72</v>
          </cell>
          <cell r="F242" t="str">
            <v>96M 15-25</v>
          </cell>
          <cell r="G242" t="str">
            <v>B</v>
          </cell>
          <cell r="H242">
            <v>59.32</v>
          </cell>
        </row>
        <row r="243">
          <cell r="A243" t="str">
            <v>1;72;A;B;96MED</v>
          </cell>
          <cell r="B243">
            <v>730069</v>
          </cell>
          <cell r="C243" t="str">
            <v>A</v>
          </cell>
          <cell r="D243" t="str">
            <v>ANDORRA</v>
          </cell>
          <cell r="E243" t="str">
            <v>72</v>
          </cell>
          <cell r="F243" t="str">
            <v>96MED</v>
          </cell>
          <cell r="G243" t="str">
            <v>B</v>
          </cell>
          <cell r="H243">
            <v>57.65</v>
          </cell>
        </row>
        <row r="244">
          <cell r="A244" t="str">
            <v>1;72;A;B;96S 15-25</v>
          </cell>
          <cell r="B244">
            <v>730069</v>
          </cell>
          <cell r="C244" t="str">
            <v>A</v>
          </cell>
          <cell r="D244" t="str">
            <v>ANDORRA</v>
          </cell>
          <cell r="E244" t="str">
            <v>72</v>
          </cell>
          <cell r="F244" t="str">
            <v>96S 15-25</v>
          </cell>
          <cell r="G244" t="str">
            <v>B</v>
          </cell>
          <cell r="H244">
            <v>44.34</v>
          </cell>
        </row>
        <row r="245">
          <cell r="A245" t="str">
            <v>1;72;A;B;96SMA</v>
          </cell>
          <cell r="B245">
            <v>730069</v>
          </cell>
          <cell r="C245" t="str">
            <v>A</v>
          </cell>
          <cell r="D245" t="str">
            <v>ANDORRA</v>
          </cell>
          <cell r="E245" t="str">
            <v>72</v>
          </cell>
          <cell r="F245" t="str">
            <v>96SMA</v>
          </cell>
          <cell r="G245" t="str">
            <v>B</v>
          </cell>
          <cell r="H245">
            <v>46.06</v>
          </cell>
        </row>
        <row r="246">
          <cell r="A246" t="str">
            <v>1;73;A;B;48L 15-25</v>
          </cell>
          <cell r="B246">
            <v>730069</v>
          </cell>
          <cell r="C246" t="str">
            <v>A</v>
          </cell>
          <cell r="D246" t="str">
            <v>ANDORRA</v>
          </cell>
          <cell r="E246" t="str">
            <v>73</v>
          </cell>
          <cell r="F246" t="str">
            <v>48L 15-25</v>
          </cell>
          <cell r="G246" t="str">
            <v>B</v>
          </cell>
          <cell r="H246">
            <v>57.66</v>
          </cell>
        </row>
        <row r="247">
          <cell r="A247" t="str">
            <v>1;73;A;B;48LAR</v>
          </cell>
          <cell r="B247">
            <v>730069</v>
          </cell>
          <cell r="C247" t="str">
            <v>A</v>
          </cell>
          <cell r="D247" t="str">
            <v>ANDORRA</v>
          </cell>
          <cell r="E247" t="str">
            <v>73</v>
          </cell>
          <cell r="F247" t="str">
            <v>48LAR</v>
          </cell>
          <cell r="G247" t="str">
            <v>B</v>
          </cell>
          <cell r="H247">
            <v>54.86</v>
          </cell>
        </row>
        <row r="248">
          <cell r="A248" t="str">
            <v>1;73;A;B;48M 15-25</v>
          </cell>
          <cell r="B248">
            <v>730069</v>
          </cell>
          <cell r="C248" t="str">
            <v>A</v>
          </cell>
          <cell r="D248" t="str">
            <v>ANDORRA</v>
          </cell>
          <cell r="E248" t="str">
            <v>73</v>
          </cell>
          <cell r="F248" t="str">
            <v>48M 15-25</v>
          </cell>
          <cell r="G248" t="str">
            <v>B</v>
          </cell>
          <cell r="H248">
            <v>46.67</v>
          </cell>
        </row>
        <row r="249">
          <cell r="A249" t="str">
            <v>1;73;A;B;48MED</v>
          </cell>
          <cell r="B249">
            <v>730069</v>
          </cell>
          <cell r="C249" t="str">
            <v>A</v>
          </cell>
          <cell r="D249" t="str">
            <v>ANDORRA</v>
          </cell>
          <cell r="E249" t="str">
            <v>73</v>
          </cell>
          <cell r="F249" t="str">
            <v>48MED</v>
          </cell>
          <cell r="G249" t="str">
            <v>B</v>
          </cell>
          <cell r="H249">
            <v>48.69</v>
          </cell>
        </row>
        <row r="250">
          <cell r="A250" t="str">
            <v>1;73;A;B;48S 15-25</v>
          </cell>
          <cell r="B250">
            <v>730069</v>
          </cell>
          <cell r="C250" t="str">
            <v>A</v>
          </cell>
          <cell r="D250" t="str">
            <v>ANDORRA</v>
          </cell>
          <cell r="E250" t="str">
            <v>73</v>
          </cell>
          <cell r="F250" t="str">
            <v>48S 15-25</v>
          </cell>
          <cell r="G250" t="str">
            <v>B</v>
          </cell>
          <cell r="H250">
            <v>42.73</v>
          </cell>
        </row>
        <row r="251">
          <cell r="A251" t="str">
            <v>1;73;A;B;48SMA</v>
          </cell>
          <cell r="B251">
            <v>730069</v>
          </cell>
          <cell r="C251" t="str">
            <v>A</v>
          </cell>
          <cell r="D251" t="str">
            <v>ANDORRA</v>
          </cell>
          <cell r="E251" t="str">
            <v>73</v>
          </cell>
          <cell r="F251" t="str">
            <v>48SMA</v>
          </cell>
          <cell r="G251" t="str">
            <v>B</v>
          </cell>
          <cell r="H251">
            <v>46.47</v>
          </cell>
        </row>
        <row r="252">
          <cell r="A252" t="str">
            <v>1;73;A;B;96M 15-25</v>
          </cell>
          <cell r="B252">
            <v>730069</v>
          </cell>
          <cell r="C252" t="str">
            <v>A</v>
          </cell>
          <cell r="D252" t="str">
            <v>ANDORRA</v>
          </cell>
          <cell r="E252" t="str">
            <v>73</v>
          </cell>
          <cell r="F252" t="str">
            <v>96M 15-25</v>
          </cell>
          <cell r="G252" t="str">
            <v>B</v>
          </cell>
          <cell r="H252">
            <v>65.67</v>
          </cell>
        </row>
        <row r="253">
          <cell r="A253" t="str">
            <v>1;73;A;B;96MED</v>
          </cell>
          <cell r="B253">
            <v>730069</v>
          </cell>
          <cell r="C253" t="str">
            <v>A</v>
          </cell>
          <cell r="D253" t="str">
            <v>ANDORRA</v>
          </cell>
          <cell r="E253" t="str">
            <v>73</v>
          </cell>
          <cell r="F253" t="str">
            <v>96MED</v>
          </cell>
          <cell r="G253" t="str">
            <v>B</v>
          </cell>
          <cell r="H253">
            <v>65.430000000000007</v>
          </cell>
        </row>
        <row r="254">
          <cell r="A254" t="str">
            <v>1;73;A;B;96S 15-25</v>
          </cell>
          <cell r="B254">
            <v>730069</v>
          </cell>
          <cell r="C254" t="str">
            <v>A</v>
          </cell>
          <cell r="D254" t="str">
            <v>ANDORRA</v>
          </cell>
          <cell r="E254" t="str">
            <v>73</v>
          </cell>
          <cell r="F254" t="str">
            <v>96S 15-25</v>
          </cell>
          <cell r="G254" t="str">
            <v>B</v>
          </cell>
          <cell r="H254">
            <v>51.16</v>
          </cell>
        </row>
        <row r="255">
          <cell r="A255" t="str">
            <v>1;73;A;B;96SMA</v>
          </cell>
          <cell r="B255">
            <v>730069</v>
          </cell>
          <cell r="C255" t="str">
            <v>A</v>
          </cell>
          <cell r="D255" t="str">
            <v>ANDORRA</v>
          </cell>
          <cell r="E255" t="str">
            <v>73</v>
          </cell>
          <cell r="F255" t="str">
            <v>96SMA</v>
          </cell>
          <cell r="G255" t="str">
            <v>B</v>
          </cell>
          <cell r="H255">
            <v>53.82</v>
          </cell>
        </row>
        <row r="256">
          <cell r="A256" t="str">
            <v>1;78;A;B;48L 15-25</v>
          </cell>
          <cell r="B256">
            <v>730069</v>
          </cell>
          <cell r="C256" t="str">
            <v>A</v>
          </cell>
          <cell r="D256" t="str">
            <v>ANDORRA</v>
          </cell>
          <cell r="E256" t="str">
            <v>78</v>
          </cell>
          <cell r="F256" t="str">
            <v>48L 15-25</v>
          </cell>
          <cell r="G256" t="str">
            <v>B</v>
          </cell>
          <cell r="H256">
            <v>5</v>
          </cell>
        </row>
        <row r="257">
          <cell r="A257" t="str">
            <v>1;78;A;B;48LAR</v>
          </cell>
          <cell r="B257">
            <v>730069</v>
          </cell>
          <cell r="C257" t="str">
            <v>A</v>
          </cell>
          <cell r="D257" t="str">
            <v>ANDORRA</v>
          </cell>
          <cell r="E257" t="str">
            <v>78</v>
          </cell>
          <cell r="F257" t="str">
            <v>48LAR</v>
          </cell>
          <cell r="G257" t="str">
            <v>B</v>
          </cell>
          <cell r="H257">
            <v>5</v>
          </cell>
        </row>
        <row r="258">
          <cell r="A258" t="str">
            <v>1;78;A;B;48M 15-25</v>
          </cell>
          <cell r="B258">
            <v>730069</v>
          </cell>
          <cell r="C258" t="str">
            <v>A</v>
          </cell>
          <cell r="D258" t="str">
            <v>ANDORRA</v>
          </cell>
          <cell r="E258" t="str">
            <v>78</v>
          </cell>
          <cell r="F258" t="str">
            <v>48M 15-25</v>
          </cell>
          <cell r="G258" t="str">
            <v>B</v>
          </cell>
          <cell r="H258">
            <v>5</v>
          </cell>
        </row>
        <row r="259">
          <cell r="A259" t="str">
            <v>1;78;A;B;48MED</v>
          </cell>
          <cell r="B259">
            <v>730069</v>
          </cell>
          <cell r="C259" t="str">
            <v>A</v>
          </cell>
          <cell r="D259" t="str">
            <v>ANDORRA</v>
          </cell>
          <cell r="E259" t="str">
            <v>78</v>
          </cell>
          <cell r="F259" t="str">
            <v>48MED</v>
          </cell>
          <cell r="G259" t="str">
            <v>B</v>
          </cell>
          <cell r="H259">
            <v>5</v>
          </cell>
        </row>
        <row r="260">
          <cell r="A260" t="str">
            <v>1;78;A;B;48S 15-25</v>
          </cell>
          <cell r="B260">
            <v>730069</v>
          </cell>
          <cell r="C260" t="str">
            <v>A</v>
          </cell>
          <cell r="D260" t="str">
            <v>ANDORRA</v>
          </cell>
          <cell r="E260" t="str">
            <v>78</v>
          </cell>
          <cell r="F260" t="str">
            <v>48S 15-25</v>
          </cell>
          <cell r="G260" t="str">
            <v>B</v>
          </cell>
          <cell r="H260">
            <v>5</v>
          </cell>
        </row>
        <row r="261">
          <cell r="A261" t="str">
            <v>1;78;A;B;48SMA</v>
          </cell>
          <cell r="B261">
            <v>730069</v>
          </cell>
          <cell r="C261" t="str">
            <v>A</v>
          </cell>
          <cell r="D261" t="str">
            <v>ANDORRA</v>
          </cell>
          <cell r="E261" t="str">
            <v>78</v>
          </cell>
          <cell r="F261" t="str">
            <v>48SMA</v>
          </cell>
          <cell r="G261" t="str">
            <v>B</v>
          </cell>
          <cell r="H261">
            <v>5</v>
          </cell>
        </row>
        <row r="262">
          <cell r="A262" t="str">
            <v>1;78;A;B;96M 15-25</v>
          </cell>
          <cell r="B262">
            <v>730069</v>
          </cell>
          <cell r="C262" t="str">
            <v>A</v>
          </cell>
          <cell r="D262" t="str">
            <v>ANDORRA</v>
          </cell>
          <cell r="E262" t="str">
            <v>78</v>
          </cell>
          <cell r="F262" t="str">
            <v>96M 15-25</v>
          </cell>
          <cell r="G262" t="str">
            <v>B</v>
          </cell>
          <cell r="H262">
            <v>5</v>
          </cell>
        </row>
        <row r="263">
          <cell r="A263" t="str">
            <v>1;78;A;B;96MED</v>
          </cell>
          <cell r="B263">
            <v>730069</v>
          </cell>
          <cell r="C263" t="str">
            <v>A</v>
          </cell>
          <cell r="D263" t="str">
            <v>ANDORRA</v>
          </cell>
          <cell r="E263" t="str">
            <v>78</v>
          </cell>
          <cell r="F263" t="str">
            <v>96MED</v>
          </cell>
          <cell r="G263" t="str">
            <v>B</v>
          </cell>
          <cell r="H263">
            <v>5</v>
          </cell>
        </row>
        <row r="264">
          <cell r="A264" t="str">
            <v>1;78;A;B;96S 15-25</v>
          </cell>
          <cell r="B264">
            <v>730069</v>
          </cell>
          <cell r="C264" t="str">
            <v>A</v>
          </cell>
          <cell r="D264" t="str">
            <v>ANDORRA</v>
          </cell>
          <cell r="E264" t="str">
            <v>78</v>
          </cell>
          <cell r="F264" t="str">
            <v>96S 15-25</v>
          </cell>
          <cell r="G264" t="str">
            <v>B</v>
          </cell>
          <cell r="H264">
            <v>5</v>
          </cell>
        </row>
        <row r="265">
          <cell r="A265" t="str">
            <v>1;78;A;B;96SMA</v>
          </cell>
          <cell r="B265">
            <v>730069</v>
          </cell>
          <cell r="C265" t="str">
            <v>A</v>
          </cell>
          <cell r="D265" t="str">
            <v>ANDORRA</v>
          </cell>
          <cell r="E265" t="str">
            <v>78</v>
          </cell>
          <cell r="F265" t="str">
            <v>96SMA</v>
          </cell>
          <cell r="G265" t="str">
            <v>B</v>
          </cell>
          <cell r="H265">
            <v>5</v>
          </cell>
        </row>
        <row r="266">
          <cell r="A266" t="str">
            <v>1;79;A;B;48L 15-25</v>
          </cell>
          <cell r="B266">
            <v>730069</v>
          </cell>
          <cell r="C266" t="str">
            <v>A</v>
          </cell>
          <cell r="D266" t="str">
            <v>ANDORRA</v>
          </cell>
          <cell r="E266" t="str">
            <v>79</v>
          </cell>
          <cell r="F266" t="str">
            <v>48L 15-25</v>
          </cell>
          <cell r="G266" t="str">
            <v>B</v>
          </cell>
          <cell r="H266">
            <v>0</v>
          </cell>
        </row>
        <row r="267">
          <cell r="A267" t="str">
            <v>1;79;A;B;48LAR</v>
          </cell>
          <cell r="B267">
            <v>730069</v>
          </cell>
          <cell r="C267" t="str">
            <v>A</v>
          </cell>
          <cell r="D267" t="str">
            <v>ANDORRA</v>
          </cell>
          <cell r="E267" t="str">
            <v>79</v>
          </cell>
          <cell r="F267" t="str">
            <v>48LAR</v>
          </cell>
          <cell r="G267" t="str">
            <v>B</v>
          </cell>
          <cell r="H267">
            <v>0</v>
          </cell>
        </row>
        <row r="268">
          <cell r="A268" t="str">
            <v>1;79;A;B;48M 15-25</v>
          </cell>
          <cell r="B268">
            <v>730069</v>
          </cell>
          <cell r="C268" t="str">
            <v>A</v>
          </cell>
          <cell r="D268" t="str">
            <v>ANDORRA</v>
          </cell>
          <cell r="E268" t="str">
            <v>79</v>
          </cell>
          <cell r="F268" t="str">
            <v>48M 15-25</v>
          </cell>
          <cell r="G268" t="str">
            <v>B</v>
          </cell>
          <cell r="H268">
            <v>0</v>
          </cell>
        </row>
        <row r="269">
          <cell r="A269" t="str">
            <v>1;79;A;B;48MED</v>
          </cell>
          <cell r="B269">
            <v>730069</v>
          </cell>
          <cell r="C269" t="str">
            <v>A</v>
          </cell>
          <cell r="D269" t="str">
            <v>ANDORRA</v>
          </cell>
          <cell r="E269" t="str">
            <v>79</v>
          </cell>
          <cell r="F269" t="str">
            <v>48MED</v>
          </cell>
          <cell r="G269" t="str">
            <v>B</v>
          </cell>
          <cell r="H269">
            <v>0</v>
          </cell>
        </row>
        <row r="270">
          <cell r="A270" t="str">
            <v>1;79;A;B;48S 15-25</v>
          </cell>
          <cell r="B270">
            <v>730069</v>
          </cell>
          <cell r="C270" t="str">
            <v>A</v>
          </cell>
          <cell r="D270" t="str">
            <v>ANDORRA</v>
          </cell>
          <cell r="E270" t="str">
            <v>79</v>
          </cell>
          <cell r="F270" t="str">
            <v>48S 15-25</v>
          </cell>
          <cell r="G270" t="str">
            <v>B</v>
          </cell>
          <cell r="H270">
            <v>0</v>
          </cell>
        </row>
        <row r="271">
          <cell r="A271" t="str">
            <v>1;79;A;B;48SMA</v>
          </cell>
          <cell r="B271">
            <v>730069</v>
          </cell>
          <cell r="C271" t="str">
            <v>A</v>
          </cell>
          <cell r="D271" t="str">
            <v>ANDORRA</v>
          </cell>
          <cell r="E271" t="str">
            <v>79</v>
          </cell>
          <cell r="F271" t="str">
            <v>48SMA</v>
          </cell>
          <cell r="G271" t="str">
            <v>B</v>
          </cell>
          <cell r="H271">
            <v>0</v>
          </cell>
        </row>
        <row r="272">
          <cell r="A272" t="str">
            <v>1;79;A;B;96M 15-25</v>
          </cell>
          <cell r="B272">
            <v>730069</v>
          </cell>
          <cell r="C272" t="str">
            <v>A</v>
          </cell>
          <cell r="D272" t="str">
            <v>ANDORRA</v>
          </cell>
          <cell r="E272" t="str">
            <v>79</v>
          </cell>
          <cell r="F272" t="str">
            <v>96M 15-25</v>
          </cell>
          <cell r="G272" t="str">
            <v>B</v>
          </cell>
          <cell r="H272">
            <v>0</v>
          </cell>
        </row>
        <row r="273">
          <cell r="A273" t="str">
            <v>1;79;A;B;96MED</v>
          </cell>
          <cell r="B273">
            <v>730069</v>
          </cell>
          <cell r="C273" t="str">
            <v>A</v>
          </cell>
          <cell r="D273" t="str">
            <v>ANDORRA</v>
          </cell>
          <cell r="E273" t="str">
            <v>79</v>
          </cell>
          <cell r="F273" t="str">
            <v>96MED</v>
          </cell>
          <cell r="G273" t="str">
            <v>B</v>
          </cell>
          <cell r="H273">
            <v>0</v>
          </cell>
        </row>
        <row r="274">
          <cell r="A274" t="str">
            <v>1;79;A;B;96S 15-25</v>
          </cell>
          <cell r="B274">
            <v>730069</v>
          </cell>
          <cell r="C274" t="str">
            <v>A</v>
          </cell>
          <cell r="D274" t="str">
            <v>ANDORRA</v>
          </cell>
          <cell r="E274" t="str">
            <v>79</v>
          </cell>
          <cell r="F274" t="str">
            <v>96S 15-25</v>
          </cell>
          <cell r="G274" t="str">
            <v>B</v>
          </cell>
          <cell r="H274">
            <v>0</v>
          </cell>
        </row>
        <row r="275">
          <cell r="A275" t="str">
            <v>1;79;A;B;96SMA</v>
          </cell>
          <cell r="B275">
            <v>730069</v>
          </cell>
          <cell r="C275" t="str">
            <v>A</v>
          </cell>
          <cell r="D275" t="str">
            <v>ANDORRA</v>
          </cell>
          <cell r="E275" t="str">
            <v>79</v>
          </cell>
          <cell r="F275" t="str">
            <v>96SMA</v>
          </cell>
          <cell r="G275" t="str">
            <v>B</v>
          </cell>
          <cell r="H275">
            <v>0</v>
          </cell>
        </row>
        <row r="276">
          <cell r="A276" t="str">
            <v>1;F;A1;B;DOC00a0,5</v>
          </cell>
          <cell r="B276">
            <v>730069</v>
          </cell>
          <cell r="C276" t="str">
            <v>A1</v>
          </cell>
          <cell r="D276" t="str">
            <v>ZONA A</v>
          </cell>
          <cell r="E276" t="str">
            <v>F</v>
          </cell>
          <cell r="F276" t="str">
            <v>DOC00a0,5</v>
          </cell>
          <cell r="G276" t="str">
            <v>B</v>
          </cell>
          <cell r="H276">
            <v>34.67</v>
          </cell>
        </row>
        <row r="277">
          <cell r="A277" t="str">
            <v>1;F;A1;B;DOC01a1,5</v>
          </cell>
          <cell r="B277">
            <v>730069</v>
          </cell>
          <cell r="C277" t="str">
            <v>A1</v>
          </cell>
          <cell r="D277" t="str">
            <v>ZONA A</v>
          </cell>
          <cell r="E277" t="str">
            <v>F</v>
          </cell>
          <cell r="F277" t="str">
            <v>DOC01a1,5</v>
          </cell>
          <cell r="G277" t="str">
            <v>B</v>
          </cell>
          <cell r="H277">
            <v>51.37</v>
          </cell>
        </row>
        <row r="278">
          <cell r="A278" t="str">
            <v>1;F;A1;B;DOC02a2,5</v>
          </cell>
          <cell r="B278">
            <v>730069</v>
          </cell>
          <cell r="C278" t="str">
            <v>A1</v>
          </cell>
          <cell r="D278" t="str">
            <v>ZONA A</v>
          </cell>
          <cell r="E278" t="str">
            <v>F</v>
          </cell>
          <cell r="F278" t="str">
            <v>DOC02a2,5</v>
          </cell>
          <cell r="G278" t="str">
            <v>B</v>
          </cell>
          <cell r="H278">
            <v>68.05</v>
          </cell>
        </row>
        <row r="279">
          <cell r="A279" t="str">
            <v>1;F;A1;B;DOC03a3,5</v>
          </cell>
          <cell r="B279">
            <v>730069</v>
          </cell>
          <cell r="C279" t="str">
            <v>A1</v>
          </cell>
          <cell r="D279" t="str">
            <v>ZONA A</v>
          </cell>
          <cell r="E279" t="str">
            <v>F</v>
          </cell>
          <cell r="F279" t="str">
            <v>DOC03a3,5</v>
          </cell>
          <cell r="G279" t="str">
            <v>B</v>
          </cell>
          <cell r="H279">
            <v>84.75</v>
          </cell>
        </row>
        <row r="280">
          <cell r="A280" t="str">
            <v>1;F;A1;B;DOC04a4,5</v>
          </cell>
          <cell r="B280">
            <v>730069</v>
          </cell>
          <cell r="C280" t="str">
            <v>A1</v>
          </cell>
          <cell r="D280" t="str">
            <v>ZONA A</v>
          </cell>
          <cell r="E280" t="str">
            <v>F</v>
          </cell>
          <cell r="F280" t="str">
            <v>DOC04a4,5</v>
          </cell>
          <cell r="G280" t="str">
            <v>B</v>
          </cell>
          <cell r="H280">
            <v>101.42</v>
          </cell>
        </row>
        <row r="281">
          <cell r="A281" t="str">
            <v>1;F;A1;B;DOC0,5a01</v>
          </cell>
          <cell r="B281">
            <v>730069</v>
          </cell>
          <cell r="C281" t="str">
            <v>A1</v>
          </cell>
          <cell r="D281" t="str">
            <v>ZONA A</v>
          </cell>
          <cell r="E281" t="str">
            <v>F</v>
          </cell>
          <cell r="F281" t="str">
            <v>DOC0,5a01</v>
          </cell>
          <cell r="G281" t="str">
            <v>B</v>
          </cell>
          <cell r="H281">
            <v>43.03</v>
          </cell>
        </row>
        <row r="282">
          <cell r="A282" t="str">
            <v>1;F;A1;B;DOC1,5a02</v>
          </cell>
          <cell r="B282">
            <v>730069</v>
          </cell>
          <cell r="C282" t="str">
            <v>A1</v>
          </cell>
          <cell r="D282" t="str">
            <v>ZONA A</v>
          </cell>
          <cell r="E282" t="str">
            <v>F</v>
          </cell>
          <cell r="F282" t="str">
            <v>DOC1,5a02</v>
          </cell>
          <cell r="G282" t="str">
            <v>B</v>
          </cell>
          <cell r="H282">
            <v>59.7</v>
          </cell>
        </row>
        <row r="283">
          <cell r="A283" t="str">
            <v>1;F;A1;B;DOC2,5a03</v>
          </cell>
          <cell r="B283">
            <v>730069</v>
          </cell>
          <cell r="C283" t="str">
            <v>A1</v>
          </cell>
          <cell r="D283" t="str">
            <v>ZONA A</v>
          </cell>
          <cell r="E283" t="str">
            <v>F</v>
          </cell>
          <cell r="F283" t="str">
            <v>DOC2,5a03</v>
          </cell>
          <cell r="G283" t="str">
            <v>B</v>
          </cell>
          <cell r="H283">
            <v>76.42</v>
          </cell>
        </row>
        <row r="284">
          <cell r="A284" t="str">
            <v>1;F;A1;B;DOC3,5a04</v>
          </cell>
          <cell r="B284">
            <v>730069</v>
          </cell>
          <cell r="C284" t="str">
            <v>A1</v>
          </cell>
          <cell r="D284" t="str">
            <v>ZONA A</v>
          </cell>
          <cell r="E284" t="str">
            <v>F</v>
          </cell>
          <cell r="F284" t="str">
            <v>DOC3,5a04</v>
          </cell>
          <cell r="G284" t="str">
            <v>B</v>
          </cell>
          <cell r="H284">
            <v>93.07</v>
          </cell>
        </row>
        <row r="285">
          <cell r="A285" t="str">
            <v>1;F;A1;B;DOC4,5a05</v>
          </cell>
          <cell r="B285">
            <v>730069</v>
          </cell>
          <cell r="C285" t="str">
            <v>A1</v>
          </cell>
          <cell r="D285" t="str">
            <v>ZONA A</v>
          </cell>
          <cell r="E285" t="str">
            <v>F</v>
          </cell>
          <cell r="F285" t="str">
            <v>DOC4,5a05</v>
          </cell>
          <cell r="G285" t="str">
            <v>B</v>
          </cell>
          <cell r="H285">
            <v>109.76</v>
          </cell>
        </row>
        <row r="286">
          <cell r="A286" t="str">
            <v>1;F;A1;F;</v>
          </cell>
          <cell r="B286">
            <v>730069</v>
          </cell>
          <cell r="C286" t="str">
            <v>A1</v>
          </cell>
          <cell r="D286" t="str">
            <v>ZONA A</v>
          </cell>
          <cell r="E286" t="str">
            <v>F</v>
          </cell>
          <cell r="F286" t="str">
            <v/>
          </cell>
          <cell r="G286" t="str">
            <v>F</v>
          </cell>
          <cell r="H286">
            <v>19.190000000000001</v>
          </cell>
        </row>
        <row r="287">
          <cell r="A287" t="str">
            <v>1;F;A1;B;MUE00a0,5</v>
          </cell>
          <cell r="B287">
            <v>730069</v>
          </cell>
          <cell r="C287" t="str">
            <v>A1</v>
          </cell>
          <cell r="D287" t="str">
            <v>ZONA A</v>
          </cell>
          <cell r="E287" t="str">
            <v>F</v>
          </cell>
          <cell r="F287" t="str">
            <v>MUE00a0,5</v>
          </cell>
          <cell r="G287" t="str">
            <v>B</v>
          </cell>
          <cell r="H287">
            <v>34.67</v>
          </cell>
        </row>
        <row r="288">
          <cell r="A288" t="str">
            <v>1;F;A1;B;MUE01a1,5</v>
          </cell>
          <cell r="B288">
            <v>730069</v>
          </cell>
          <cell r="C288" t="str">
            <v>A1</v>
          </cell>
          <cell r="D288" t="str">
            <v>ZONA A</v>
          </cell>
          <cell r="E288" t="str">
            <v>F</v>
          </cell>
          <cell r="F288" t="str">
            <v>MUE01a1,5</v>
          </cell>
          <cell r="G288" t="str">
            <v>B</v>
          </cell>
          <cell r="H288">
            <v>51.37</v>
          </cell>
        </row>
        <row r="289">
          <cell r="A289" t="str">
            <v>1;F;A1;B;MUE02a2,5</v>
          </cell>
          <cell r="B289">
            <v>730069</v>
          </cell>
          <cell r="C289" t="str">
            <v>A1</v>
          </cell>
          <cell r="D289" t="str">
            <v>ZONA A</v>
          </cell>
          <cell r="E289" t="str">
            <v>F</v>
          </cell>
          <cell r="F289" t="str">
            <v>MUE02a2,5</v>
          </cell>
          <cell r="G289" t="str">
            <v>B</v>
          </cell>
          <cell r="H289">
            <v>68.05</v>
          </cell>
        </row>
        <row r="290">
          <cell r="A290" t="str">
            <v>1;F;A1;B;MUE03a3,5</v>
          </cell>
          <cell r="B290">
            <v>730069</v>
          </cell>
          <cell r="C290" t="str">
            <v>A1</v>
          </cell>
          <cell r="D290" t="str">
            <v>ZONA A</v>
          </cell>
          <cell r="E290" t="str">
            <v>F</v>
          </cell>
          <cell r="F290" t="str">
            <v>MUE03a3,5</v>
          </cell>
          <cell r="G290" t="str">
            <v>B</v>
          </cell>
          <cell r="H290">
            <v>84.75</v>
          </cell>
        </row>
        <row r="291">
          <cell r="A291" t="str">
            <v>1;F;A1;B;MUE04a4,5</v>
          </cell>
          <cell r="B291">
            <v>730069</v>
          </cell>
          <cell r="C291" t="str">
            <v>A1</v>
          </cell>
          <cell r="D291" t="str">
            <v>ZONA A</v>
          </cell>
          <cell r="E291" t="str">
            <v>F</v>
          </cell>
          <cell r="F291" t="str">
            <v>MUE04a4,5</v>
          </cell>
          <cell r="G291" t="str">
            <v>B</v>
          </cell>
          <cell r="H291">
            <v>101.42</v>
          </cell>
        </row>
        <row r="292">
          <cell r="A292" t="str">
            <v>1;F;A1;B;MUE0,5a01</v>
          </cell>
          <cell r="B292">
            <v>730069</v>
          </cell>
          <cell r="C292" t="str">
            <v>A1</v>
          </cell>
          <cell r="D292" t="str">
            <v>ZONA A</v>
          </cell>
          <cell r="E292" t="str">
            <v>F</v>
          </cell>
          <cell r="F292" t="str">
            <v>MUE0,5a01</v>
          </cell>
          <cell r="G292" t="str">
            <v>B</v>
          </cell>
          <cell r="H292">
            <v>43.03</v>
          </cell>
        </row>
        <row r="293">
          <cell r="A293" t="str">
            <v>1;F;A1;B;MUE1,5a02</v>
          </cell>
          <cell r="B293">
            <v>730069</v>
          </cell>
          <cell r="C293" t="str">
            <v>A1</v>
          </cell>
          <cell r="D293" t="str">
            <v>ZONA A</v>
          </cell>
          <cell r="E293" t="str">
            <v>F</v>
          </cell>
          <cell r="F293" t="str">
            <v>MUE1,5a02</v>
          </cell>
          <cell r="G293" t="str">
            <v>B</v>
          </cell>
          <cell r="H293">
            <v>59.7</v>
          </cell>
        </row>
        <row r="294">
          <cell r="A294" t="str">
            <v>1;F;A1;B;MUE2,5a03</v>
          </cell>
          <cell r="B294">
            <v>730069</v>
          </cell>
          <cell r="C294" t="str">
            <v>A1</v>
          </cell>
          <cell r="D294" t="str">
            <v>ZONA A</v>
          </cell>
          <cell r="E294" t="str">
            <v>F</v>
          </cell>
          <cell r="F294" t="str">
            <v>MUE2,5a03</v>
          </cell>
          <cell r="G294" t="str">
            <v>B</v>
          </cell>
          <cell r="H294">
            <v>76.42</v>
          </cell>
        </row>
        <row r="295">
          <cell r="A295" t="str">
            <v>1;F;A1;B;MUE3,5a04</v>
          </cell>
          <cell r="B295">
            <v>730069</v>
          </cell>
          <cell r="C295" t="str">
            <v>A1</v>
          </cell>
          <cell r="D295" t="str">
            <v>ZONA A</v>
          </cell>
          <cell r="E295" t="str">
            <v>F</v>
          </cell>
          <cell r="F295" t="str">
            <v>MUE3,5a04</v>
          </cell>
          <cell r="G295" t="str">
            <v>B</v>
          </cell>
          <cell r="H295">
            <v>93.07</v>
          </cell>
        </row>
        <row r="296">
          <cell r="A296" t="str">
            <v>1;F;A1;F;</v>
          </cell>
          <cell r="B296">
            <v>730069</v>
          </cell>
          <cell r="C296" t="str">
            <v>A1</v>
          </cell>
          <cell r="D296" t="str">
            <v>ZONA A</v>
          </cell>
          <cell r="E296" t="str">
            <v>F</v>
          </cell>
          <cell r="F296" t="str">
            <v/>
          </cell>
          <cell r="G296" t="str">
            <v>F</v>
          </cell>
          <cell r="H296">
            <v>19.190000000000001</v>
          </cell>
        </row>
        <row r="297">
          <cell r="A297" t="str">
            <v>1;F;A1;B;MUE4,5a05</v>
          </cell>
          <cell r="B297">
            <v>730069</v>
          </cell>
          <cell r="C297" t="str">
            <v>A1</v>
          </cell>
          <cell r="D297" t="str">
            <v>ZONA A</v>
          </cell>
          <cell r="E297" t="str">
            <v>F</v>
          </cell>
          <cell r="F297" t="str">
            <v>MUE4,5a05</v>
          </cell>
          <cell r="G297" t="str">
            <v>B</v>
          </cell>
          <cell r="H297">
            <v>109.76</v>
          </cell>
        </row>
        <row r="298">
          <cell r="A298" t="str">
            <v>1;F;A2;B;DOC00a0,5</v>
          </cell>
          <cell r="B298">
            <v>730069</v>
          </cell>
          <cell r="C298" t="str">
            <v>A2</v>
          </cell>
          <cell r="D298" t="str">
            <v>ZONA B</v>
          </cell>
          <cell r="E298" t="str">
            <v>F</v>
          </cell>
          <cell r="F298" t="str">
            <v>DOC00a0,5</v>
          </cell>
          <cell r="G298" t="str">
            <v>B</v>
          </cell>
          <cell r="H298">
            <v>39.06</v>
          </cell>
        </row>
        <row r="299">
          <cell r="A299" t="str">
            <v>1;F;A2;B;DOC01a1,5</v>
          </cell>
          <cell r="B299">
            <v>730069</v>
          </cell>
          <cell r="C299" t="str">
            <v>A2</v>
          </cell>
          <cell r="D299" t="str">
            <v>ZONA B</v>
          </cell>
          <cell r="E299" t="str">
            <v>F</v>
          </cell>
          <cell r="F299" t="str">
            <v>DOC01a1,5</v>
          </cell>
          <cell r="G299" t="str">
            <v>B</v>
          </cell>
          <cell r="H299">
            <v>65.400000000000006</v>
          </cell>
        </row>
        <row r="300">
          <cell r="A300" t="str">
            <v>1;F;A2;B;DOC02a2,5</v>
          </cell>
          <cell r="B300">
            <v>730069</v>
          </cell>
          <cell r="C300" t="str">
            <v>A2</v>
          </cell>
          <cell r="D300" t="str">
            <v>ZONA B</v>
          </cell>
          <cell r="E300" t="str">
            <v>F</v>
          </cell>
          <cell r="F300" t="str">
            <v>DOC02a2,5</v>
          </cell>
          <cell r="G300" t="str">
            <v>B</v>
          </cell>
          <cell r="H300">
            <v>91.75</v>
          </cell>
        </row>
        <row r="301">
          <cell r="A301" t="str">
            <v>1;F;A2;B;DOC03a3,5</v>
          </cell>
          <cell r="B301">
            <v>730069</v>
          </cell>
          <cell r="C301" t="str">
            <v>A2</v>
          </cell>
          <cell r="D301" t="str">
            <v>ZONA B</v>
          </cell>
          <cell r="E301" t="str">
            <v>F</v>
          </cell>
          <cell r="F301" t="str">
            <v>DOC03a3,5</v>
          </cell>
          <cell r="G301" t="str">
            <v>B</v>
          </cell>
          <cell r="H301">
            <v>118.09</v>
          </cell>
        </row>
        <row r="302">
          <cell r="A302" t="str">
            <v>1;F;A2;B;DOC04a4,5</v>
          </cell>
          <cell r="B302">
            <v>730069</v>
          </cell>
          <cell r="C302" t="str">
            <v>A2</v>
          </cell>
          <cell r="D302" t="str">
            <v>ZONA B</v>
          </cell>
          <cell r="E302" t="str">
            <v>F</v>
          </cell>
          <cell r="F302" t="str">
            <v>DOC04a4,5</v>
          </cell>
          <cell r="G302" t="str">
            <v>B</v>
          </cell>
          <cell r="H302">
            <v>144.46</v>
          </cell>
        </row>
        <row r="303">
          <cell r="A303" t="str">
            <v>1;F;A2;B;DOC0,5a01</v>
          </cell>
          <cell r="B303">
            <v>730069</v>
          </cell>
          <cell r="C303" t="str">
            <v>A2</v>
          </cell>
          <cell r="D303" t="str">
            <v>ZONA B</v>
          </cell>
          <cell r="E303" t="str">
            <v>F</v>
          </cell>
          <cell r="F303" t="str">
            <v>DOC0,5a01</v>
          </cell>
          <cell r="G303" t="str">
            <v>B</v>
          </cell>
          <cell r="H303">
            <v>52.25</v>
          </cell>
        </row>
        <row r="304">
          <cell r="A304" t="str">
            <v>1;F;A2;B;DOC1,5a02</v>
          </cell>
          <cell r="B304">
            <v>730069</v>
          </cell>
          <cell r="C304" t="str">
            <v>A2</v>
          </cell>
          <cell r="D304" t="str">
            <v>ZONA B</v>
          </cell>
          <cell r="E304" t="str">
            <v>F</v>
          </cell>
          <cell r="F304" t="str">
            <v>DOC1,5a02</v>
          </cell>
          <cell r="G304" t="str">
            <v>B</v>
          </cell>
          <cell r="H304">
            <v>78.58</v>
          </cell>
        </row>
        <row r="305">
          <cell r="A305" t="str">
            <v>1;F;A2;B;DOC2,5a03</v>
          </cell>
          <cell r="B305">
            <v>730069</v>
          </cell>
          <cell r="C305" t="str">
            <v>A2</v>
          </cell>
          <cell r="D305" t="str">
            <v>ZONA B</v>
          </cell>
          <cell r="E305" t="str">
            <v>F</v>
          </cell>
          <cell r="F305" t="str">
            <v>DOC2,5a03</v>
          </cell>
          <cell r="G305" t="str">
            <v>B</v>
          </cell>
          <cell r="H305">
            <v>104.92</v>
          </cell>
        </row>
        <row r="306">
          <cell r="A306" t="str">
            <v>1;F;A2;B;DOC3,5a04</v>
          </cell>
          <cell r="B306">
            <v>730069</v>
          </cell>
          <cell r="C306" t="str">
            <v>A2</v>
          </cell>
          <cell r="D306" t="str">
            <v>ZONA B</v>
          </cell>
          <cell r="E306" t="str">
            <v>F</v>
          </cell>
          <cell r="F306" t="str">
            <v>DOC3,5a04</v>
          </cell>
          <cell r="G306" t="str">
            <v>B</v>
          </cell>
          <cell r="H306">
            <v>131.28</v>
          </cell>
        </row>
        <row r="307">
          <cell r="A307" t="str">
            <v>1;F;A2;F;</v>
          </cell>
          <cell r="B307">
            <v>730069</v>
          </cell>
          <cell r="C307" t="str">
            <v>A2</v>
          </cell>
          <cell r="D307" t="str">
            <v>ZONA B</v>
          </cell>
          <cell r="E307" t="str">
            <v>F</v>
          </cell>
          <cell r="F307" t="str">
            <v/>
          </cell>
          <cell r="G307" t="str">
            <v>F</v>
          </cell>
          <cell r="H307">
            <v>19.190000000000001</v>
          </cell>
        </row>
        <row r="308">
          <cell r="A308" t="str">
            <v>1;F;A2;B;DOC4,5a05</v>
          </cell>
          <cell r="B308">
            <v>730069</v>
          </cell>
          <cell r="C308" t="str">
            <v>A2</v>
          </cell>
          <cell r="D308" t="str">
            <v>ZONA B</v>
          </cell>
          <cell r="E308" t="str">
            <v>F</v>
          </cell>
          <cell r="F308" t="str">
            <v>DOC4,5a05</v>
          </cell>
          <cell r="G308" t="str">
            <v>B</v>
          </cell>
          <cell r="H308">
            <v>157.62</v>
          </cell>
        </row>
        <row r="309">
          <cell r="A309" t="str">
            <v>1;F;A2;B;MUE00a0,5</v>
          </cell>
          <cell r="B309">
            <v>730069</v>
          </cell>
          <cell r="C309" t="str">
            <v>A2</v>
          </cell>
          <cell r="D309" t="str">
            <v>ZONA B</v>
          </cell>
          <cell r="E309" t="str">
            <v>F</v>
          </cell>
          <cell r="F309" t="str">
            <v>MUE00a0,5</v>
          </cell>
          <cell r="G309" t="str">
            <v>B</v>
          </cell>
          <cell r="H309">
            <v>39.06</v>
          </cell>
        </row>
        <row r="310">
          <cell r="A310" t="str">
            <v>1;F;A2;B;MUE01a1,5</v>
          </cell>
          <cell r="B310">
            <v>730069</v>
          </cell>
          <cell r="C310" t="str">
            <v>A2</v>
          </cell>
          <cell r="D310" t="str">
            <v>ZONA B</v>
          </cell>
          <cell r="E310" t="str">
            <v>F</v>
          </cell>
          <cell r="F310" t="str">
            <v>MUE01a1,5</v>
          </cell>
          <cell r="G310" t="str">
            <v>B</v>
          </cell>
          <cell r="H310">
            <v>65.400000000000006</v>
          </cell>
        </row>
        <row r="311">
          <cell r="A311" t="str">
            <v>1;F;A2;B;MUE02a2,5</v>
          </cell>
          <cell r="B311">
            <v>730069</v>
          </cell>
          <cell r="C311" t="str">
            <v>A2</v>
          </cell>
          <cell r="D311" t="str">
            <v>ZONA B</v>
          </cell>
          <cell r="E311" t="str">
            <v>F</v>
          </cell>
          <cell r="F311" t="str">
            <v>MUE02a2,5</v>
          </cell>
          <cell r="G311" t="str">
            <v>B</v>
          </cell>
          <cell r="H311">
            <v>91.75</v>
          </cell>
        </row>
        <row r="312">
          <cell r="A312" t="str">
            <v>1;F;A2;B;MUE03a3,5</v>
          </cell>
          <cell r="B312">
            <v>730069</v>
          </cell>
          <cell r="C312" t="str">
            <v>A2</v>
          </cell>
          <cell r="D312" t="str">
            <v>ZONA B</v>
          </cell>
          <cell r="E312" t="str">
            <v>F</v>
          </cell>
          <cell r="F312" t="str">
            <v>MUE03a3,5</v>
          </cell>
          <cell r="G312" t="str">
            <v>B</v>
          </cell>
          <cell r="H312">
            <v>118.09</v>
          </cell>
        </row>
        <row r="313">
          <cell r="A313" t="str">
            <v>1;F;A2;B;MUE04a4,5</v>
          </cell>
          <cell r="B313">
            <v>730069</v>
          </cell>
          <cell r="C313" t="str">
            <v>A2</v>
          </cell>
          <cell r="D313" t="str">
            <v>ZONA B</v>
          </cell>
          <cell r="E313" t="str">
            <v>F</v>
          </cell>
          <cell r="F313" t="str">
            <v>MUE04a4,5</v>
          </cell>
          <cell r="G313" t="str">
            <v>B</v>
          </cell>
          <cell r="H313">
            <v>144.46</v>
          </cell>
        </row>
        <row r="314">
          <cell r="A314" t="str">
            <v>1;F;A2;B;MUE0,5a01</v>
          </cell>
          <cell r="B314">
            <v>730069</v>
          </cell>
          <cell r="C314" t="str">
            <v>A2</v>
          </cell>
          <cell r="D314" t="str">
            <v>ZONA B</v>
          </cell>
          <cell r="E314" t="str">
            <v>F</v>
          </cell>
          <cell r="F314" t="str">
            <v>MUE0,5a01</v>
          </cell>
          <cell r="G314" t="str">
            <v>B</v>
          </cell>
          <cell r="H314">
            <v>52.25</v>
          </cell>
        </row>
        <row r="315">
          <cell r="A315" t="str">
            <v>1;F;A2;B;MUE1,5a02</v>
          </cell>
          <cell r="B315">
            <v>730069</v>
          </cell>
          <cell r="C315" t="str">
            <v>A2</v>
          </cell>
          <cell r="D315" t="str">
            <v>ZONA B</v>
          </cell>
          <cell r="E315" t="str">
            <v>F</v>
          </cell>
          <cell r="F315" t="str">
            <v>MUE1,5a02</v>
          </cell>
          <cell r="G315" t="str">
            <v>B</v>
          </cell>
          <cell r="H315">
            <v>78.58</v>
          </cell>
        </row>
        <row r="316">
          <cell r="A316" t="str">
            <v>1;F;A2;B;MUE2,5a03</v>
          </cell>
          <cell r="B316">
            <v>730069</v>
          </cell>
          <cell r="C316" t="str">
            <v>A2</v>
          </cell>
          <cell r="D316" t="str">
            <v>ZONA B</v>
          </cell>
          <cell r="E316" t="str">
            <v>F</v>
          </cell>
          <cell r="F316" t="str">
            <v>MUE2,5a03</v>
          </cell>
          <cell r="G316" t="str">
            <v>B</v>
          </cell>
          <cell r="H316">
            <v>104.92</v>
          </cell>
        </row>
        <row r="317">
          <cell r="A317" t="str">
            <v>1;F;A2;B;MUE3,5a04</v>
          </cell>
          <cell r="B317">
            <v>730069</v>
          </cell>
          <cell r="C317" t="str">
            <v>A2</v>
          </cell>
          <cell r="D317" t="str">
            <v>ZONA B</v>
          </cell>
          <cell r="E317" t="str">
            <v>F</v>
          </cell>
          <cell r="F317" t="str">
            <v>MUE3,5a04</v>
          </cell>
          <cell r="G317" t="str">
            <v>B</v>
          </cell>
          <cell r="H317">
            <v>131.28</v>
          </cell>
        </row>
        <row r="318">
          <cell r="A318" t="str">
            <v>1;F;A2;F;</v>
          </cell>
          <cell r="B318">
            <v>730069</v>
          </cell>
          <cell r="C318" t="str">
            <v>A2</v>
          </cell>
          <cell r="D318" t="str">
            <v>ZONA B</v>
          </cell>
          <cell r="E318" t="str">
            <v>F</v>
          </cell>
          <cell r="F318" t="str">
            <v/>
          </cell>
          <cell r="G318" t="str">
            <v>F</v>
          </cell>
          <cell r="H318">
            <v>19.190000000000001</v>
          </cell>
        </row>
        <row r="319">
          <cell r="A319" t="str">
            <v>1;F;A2;B;MUE4,5a05</v>
          </cell>
          <cell r="B319">
            <v>730069</v>
          </cell>
          <cell r="C319" t="str">
            <v>A2</v>
          </cell>
          <cell r="D319" t="str">
            <v>ZONA B</v>
          </cell>
          <cell r="E319" t="str">
            <v>F</v>
          </cell>
          <cell r="F319" t="str">
            <v>MUE4,5a05</v>
          </cell>
          <cell r="G319" t="str">
            <v>B</v>
          </cell>
          <cell r="H319">
            <v>157.62</v>
          </cell>
        </row>
        <row r="320">
          <cell r="A320" t="str">
            <v>1;F;A3;B;DOC00a0,5</v>
          </cell>
          <cell r="B320">
            <v>730069</v>
          </cell>
          <cell r="C320" t="str">
            <v>A3</v>
          </cell>
          <cell r="D320" t="str">
            <v>ZONA C</v>
          </cell>
          <cell r="E320" t="str">
            <v>F</v>
          </cell>
          <cell r="F320" t="str">
            <v>DOC00a0,5</v>
          </cell>
          <cell r="G320" t="str">
            <v>B</v>
          </cell>
          <cell r="H320">
            <v>52.42</v>
          </cell>
        </row>
        <row r="321">
          <cell r="A321" t="str">
            <v>1;F;A3;B;DOC01a1,5</v>
          </cell>
          <cell r="B321">
            <v>730069</v>
          </cell>
          <cell r="C321" t="str">
            <v>A3</v>
          </cell>
          <cell r="D321" t="str">
            <v>ZONA C</v>
          </cell>
          <cell r="E321" t="str">
            <v>F</v>
          </cell>
          <cell r="F321" t="str">
            <v>DOC01a1,5</v>
          </cell>
          <cell r="G321" t="str">
            <v>B</v>
          </cell>
          <cell r="H321">
            <v>93.74</v>
          </cell>
        </row>
        <row r="322">
          <cell r="A322" t="str">
            <v>1;F;A3;B;DOC02a2,5</v>
          </cell>
          <cell r="B322">
            <v>730069</v>
          </cell>
          <cell r="C322" t="str">
            <v>A3</v>
          </cell>
          <cell r="D322" t="str">
            <v>ZONA C</v>
          </cell>
          <cell r="E322" t="str">
            <v>F</v>
          </cell>
          <cell r="F322" t="str">
            <v>DOC02a2,5</v>
          </cell>
          <cell r="G322" t="str">
            <v>B</v>
          </cell>
          <cell r="H322">
            <v>135.03</v>
          </cell>
        </row>
        <row r="323">
          <cell r="A323" t="str">
            <v>1;F;A3;B;DOC03a3,5</v>
          </cell>
          <cell r="B323">
            <v>730069</v>
          </cell>
          <cell r="C323" t="str">
            <v>A3</v>
          </cell>
          <cell r="D323" t="str">
            <v>ZONA C</v>
          </cell>
          <cell r="E323" t="str">
            <v>F</v>
          </cell>
          <cell r="F323" t="str">
            <v>DOC03a3,5</v>
          </cell>
          <cell r="G323" t="str">
            <v>B</v>
          </cell>
          <cell r="H323">
            <v>176.37</v>
          </cell>
        </row>
        <row r="324">
          <cell r="A324" t="str">
            <v>1;F;A3;B;DOC04a4,5</v>
          </cell>
          <cell r="B324">
            <v>730069</v>
          </cell>
          <cell r="C324" t="str">
            <v>A3</v>
          </cell>
          <cell r="D324" t="str">
            <v>ZONA C</v>
          </cell>
          <cell r="E324" t="str">
            <v>F</v>
          </cell>
          <cell r="F324" t="str">
            <v>DOC04a4,5</v>
          </cell>
          <cell r="G324" t="str">
            <v>B</v>
          </cell>
          <cell r="H324">
            <v>217.65</v>
          </cell>
        </row>
        <row r="325">
          <cell r="A325" t="str">
            <v>1;F;A3;B;DOC0,5a01</v>
          </cell>
          <cell r="B325">
            <v>730069</v>
          </cell>
          <cell r="C325" t="str">
            <v>A3</v>
          </cell>
          <cell r="D325" t="str">
            <v>ZONA C</v>
          </cell>
          <cell r="E325" t="str">
            <v>F</v>
          </cell>
          <cell r="F325" t="str">
            <v>DOC0,5a01</v>
          </cell>
          <cell r="G325" t="str">
            <v>B</v>
          </cell>
          <cell r="H325">
            <v>73.08</v>
          </cell>
        </row>
        <row r="326">
          <cell r="A326" t="str">
            <v>1;F;A3;B;DOC1,5a02</v>
          </cell>
          <cell r="B326">
            <v>730069</v>
          </cell>
          <cell r="C326" t="str">
            <v>A3</v>
          </cell>
          <cell r="D326" t="str">
            <v>ZONA C</v>
          </cell>
          <cell r="E326" t="str">
            <v>F</v>
          </cell>
          <cell r="F326" t="str">
            <v>DOC1,5a02</v>
          </cell>
          <cell r="G326" t="str">
            <v>B</v>
          </cell>
          <cell r="H326">
            <v>114.41</v>
          </cell>
        </row>
        <row r="327">
          <cell r="A327" t="str">
            <v>1;F;A3;B;DOC2,5a03</v>
          </cell>
          <cell r="B327">
            <v>730069</v>
          </cell>
          <cell r="C327" t="str">
            <v>A3</v>
          </cell>
          <cell r="D327" t="str">
            <v>ZONA C</v>
          </cell>
          <cell r="E327" t="str">
            <v>F</v>
          </cell>
          <cell r="F327" t="str">
            <v>DOC2,5a03</v>
          </cell>
          <cell r="G327" t="str">
            <v>B</v>
          </cell>
          <cell r="H327">
            <v>155.69</v>
          </cell>
        </row>
        <row r="328">
          <cell r="A328" t="str">
            <v>1;F;A3;B;DOC3,5a04</v>
          </cell>
          <cell r="B328">
            <v>730069</v>
          </cell>
          <cell r="C328" t="str">
            <v>A3</v>
          </cell>
          <cell r="D328" t="str">
            <v>ZONA C</v>
          </cell>
          <cell r="E328" t="str">
            <v>F</v>
          </cell>
          <cell r="F328" t="str">
            <v>DOC3,5a04</v>
          </cell>
          <cell r="G328" t="str">
            <v>B</v>
          </cell>
          <cell r="H328">
            <v>197</v>
          </cell>
        </row>
        <row r="329">
          <cell r="A329" t="str">
            <v>1;F;A3;B;DOC4,5a05</v>
          </cell>
          <cell r="B329">
            <v>730069</v>
          </cell>
          <cell r="C329" t="str">
            <v>A3</v>
          </cell>
          <cell r="D329" t="str">
            <v>ZONA C</v>
          </cell>
          <cell r="E329" t="str">
            <v>F</v>
          </cell>
          <cell r="F329" t="str">
            <v>DOC4,5a05</v>
          </cell>
          <cell r="G329" t="str">
            <v>B</v>
          </cell>
          <cell r="H329">
            <v>238.32</v>
          </cell>
        </row>
        <row r="330">
          <cell r="A330" t="str">
            <v>1;F;A3;F;</v>
          </cell>
          <cell r="B330">
            <v>730069</v>
          </cell>
          <cell r="C330" t="str">
            <v>A3</v>
          </cell>
          <cell r="D330" t="str">
            <v>ZONA C</v>
          </cell>
          <cell r="E330" t="str">
            <v>F</v>
          </cell>
          <cell r="F330" t="str">
            <v/>
          </cell>
          <cell r="G330" t="str">
            <v>F</v>
          </cell>
          <cell r="H330">
            <v>25.96</v>
          </cell>
        </row>
        <row r="331">
          <cell r="A331" t="str">
            <v>1;F;A3;B;MUE00a0,5</v>
          </cell>
          <cell r="B331">
            <v>730069</v>
          </cell>
          <cell r="C331" t="str">
            <v>A3</v>
          </cell>
          <cell r="D331" t="str">
            <v>ZONA C</v>
          </cell>
          <cell r="E331" t="str">
            <v>F</v>
          </cell>
          <cell r="F331" t="str">
            <v>MUE00a0,5</v>
          </cell>
          <cell r="G331" t="str">
            <v>B</v>
          </cell>
          <cell r="H331">
            <v>52.42</v>
          </cell>
        </row>
        <row r="332">
          <cell r="A332" t="str">
            <v>1;F;A3;B;MUE01a1,5</v>
          </cell>
          <cell r="B332">
            <v>730069</v>
          </cell>
          <cell r="C332" t="str">
            <v>A3</v>
          </cell>
          <cell r="D332" t="str">
            <v>ZONA C</v>
          </cell>
          <cell r="E332" t="str">
            <v>F</v>
          </cell>
          <cell r="F332" t="str">
            <v>MUE01a1,5</v>
          </cell>
          <cell r="G332" t="str">
            <v>B</v>
          </cell>
          <cell r="H332">
            <v>93.74</v>
          </cell>
        </row>
        <row r="333">
          <cell r="A333" t="str">
            <v>1;F;A3;B;MUE02a2,5</v>
          </cell>
          <cell r="B333">
            <v>730069</v>
          </cell>
          <cell r="C333" t="str">
            <v>A3</v>
          </cell>
          <cell r="D333" t="str">
            <v>ZONA C</v>
          </cell>
          <cell r="E333" t="str">
            <v>F</v>
          </cell>
          <cell r="F333" t="str">
            <v>MUE02a2,5</v>
          </cell>
          <cell r="G333" t="str">
            <v>B</v>
          </cell>
          <cell r="H333">
            <v>135.03</v>
          </cell>
        </row>
        <row r="334">
          <cell r="A334" t="str">
            <v>1;F;A3;B;MUE03a3,5</v>
          </cell>
          <cell r="B334">
            <v>730069</v>
          </cell>
          <cell r="C334" t="str">
            <v>A3</v>
          </cell>
          <cell r="D334" t="str">
            <v>ZONA C</v>
          </cell>
          <cell r="E334" t="str">
            <v>F</v>
          </cell>
          <cell r="F334" t="str">
            <v>MUE03a3,5</v>
          </cell>
          <cell r="G334" t="str">
            <v>B</v>
          </cell>
          <cell r="H334">
            <v>176.37</v>
          </cell>
        </row>
        <row r="335">
          <cell r="A335" t="str">
            <v>1;F;A3;B;MUE04a4,5</v>
          </cell>
          <cell r="B335">
            <v>730069</v>
          </cell>
          <cell r="C335" t="str">
            <v>A3</v>
          </cell>
          <cell r="D335" t="str">
            <v>ZONA C</v>
          </cell>
          <cell r="E335" t="str">
            <v>F</v>
          </cell>
          <cell r="F335" t="str">
            <v>MUE04a4,5</v>
          </cell>
          <cell r="G335" t="str">
            <v>B</v>
          </cell>
          <cell r="H335">
            <v>217.65</v>
          </cell>
        </row>
        <row r="336">
          <cell r="A336" t="str">
            <v>1;F;A3;B;MUE0,5a01</v>
          </cell>
          <cell r="B336">
            <v>730069</v>
          </cell>
          <cell r="C336" t="str">
            <v>A3</v>
          </cell>
          <cell r="D336" t="str">
            <v>ZONA C</v>
          </cell>
          <cell r="E336" t="str">
            <v>F</v>
          </cell>
          <cell r="F336" t="str">
            <v>MUE0,5a01</v>
          </cell>
          <cell r="G336" t="str">
            <v>B</v>
          </cell>
          <cell r="H336">
            <v>73.08</v>
          </cell>
        </row>
        <row r="337">
          <cell r="A337" t="str">
            <v>1;F;A3;B;MUE1,5a02</v>
          </cell>
          <cell r="B337">
            <v>730069</v>
          </cell>
          <cell r="C337" t="str">
            <v>A3</v>
          </cell>
          <cell r="D337" t="str">
            <v>ZONA C</v>
          </cell>
          <cell r="E337" t="str">
            <v>F</v>
          </cell>
          <cell r="F337" t="str">
            <v>MUE1,5a02</v>
          </cell>
          <cell r="G337" t="str">
            <v>B</v>
          </cell>
          <cell r="H337">
            <v>114.41</v>
          </cell>
        </row>
        <row r="338">
          <cell r="A338" t="str">
            <v>1;F;A3;B;MUE2,5a03</v>
          </cell>
          <cell r="B338">
            <v>730069</v>
          </cell>
          <cell r="C338" t="str">
            <v>A3</v>
          </cell>
          <cell r="D338" t="str">
            <v>ZONA C</v>
          </cell>
          <cell r="E338" t="str">
            <v>F</v>
          </cell>
          <cell r="F338" t="str">
            <v>MUE2,5a03</v>
          </cell>
          <cell r="G338" t="str">
            <v>B</v>
          </cell>
          <cell r="H338">
            <v>155.69</v>
          </cell>
        </row>
        <row r="339">
          <cell r="A339" t="str">
            <v>1;F;A3;B;MUE3,5a04</v>
          </cell>
          <cell r="B339">
            <v>730069</v>
          </cell>
          <cell r="C339" t="str">
            <v>A3</v>
          </cell>
          <cell r="D339" t="str">
            <v>ZONA C</v>
          </cell>
          <cell r="E339" t="str">
            <v>F</v>
          </cell>
          <cell r="F339" t="str">
            <v>MUE3,5a04</v>
          </cell>
          <cell r="G339" t="str">
            <v>B</v>
          </cell>
          <cell r="H339">
            <v>197</v>
          </cell>
        </row>
        <row r="340">
          <cell r="A340" t="str">
            <v>1;F;A3;F;</v>
          </cell>
          <cell r="B340">
            <v>730069</v>
          </cell>
          <cell r="C340" t="str">
            <v>A3</v>
          </cell>
          <cell r="D340" t="str">
            <v>ZONA C</v>
          </cell>
          <cell r="E340" t="str">
            <v>F</v>
          </cell>
          <cell r="F340" t="str">
            <v/>
          </cell>
          <cell r="G340" t="str">
            <v>F</v>
          </cell>
          <cell r="H340">
            <v>25.96</v>
          </cell>
        </row>
        <row r="341">
          <cell r="A341" t="str">
            <v>1;F;A3;B;MUE4,5a05</v>
          </cell>
          <cell r="B341">
            <v>730069</v>
          </cell>
          <cell r="C341" t="str">
            <v>A3</v>
          </cell>
          <cell r="D341" t="str">
            <v>ZONA C</v>
          </cell>
          <cell r="E341" t="str">
            <v>F</v>
          </cell>
          <cell r="F341" t="str">
            <v>MUE4,5a05</v>
          </cell>
          <cell r="G341" t="str">
            <v>B</v>
          </cell>
          <cell r="H341">
            <v>238.32</v>
          </cell>
        </row>
        <row r="342">
          <cell r="A342" t="str">
            <v>1;F;A4;B;DOC00a0,5</v>
          </cell>
          <cell r="B342">
            <v>730069</v>
          </cell>
          <cell r="C342" t="str">
            <v>A4</v>
          </cell>
          <cell r="D342" t="str">
            <v>ZONA D</v>
          </cell>
          <cell r="E342" t="str">
            <v>F</v>
          </cell>
          <cell r="F342" t="str">
            <v>DOC00a0,5</v>
          </cell>
          <cell r="G342" t="str">
            <v>B</v>
          </cell>
          <cell r="H342">
            <v>52.42</v>
          </cell>
        </row>
        <row r="343">
          <cell r="A343" t="str">
            <v>1;F;A4;B;DOC01a1,5</v>
          </cell>
          <cell r="B343">
            <v>730069</v>
          </cell>
          <cell r="C343" t="str">
            <v>A4</v>
          </cell>
          <cell r="D343" t="str">
            <v>ZONA D</v>
          </cell>
          <cell r="E343" t="str">
            <v>F</v>
          </cell>
          <cell r="F343" t="str">
            <v>DOC01a1,5</v>
          </cell>
          <cell r="G343" t="str">
            <v>B</v>
          </cell>
          <cell r="H343">
            <v>104.2</v>
          </cell>
        </row>
        <row r="344">
          <cell r="A344" t="str">
            <v>1;F;A4;B;DOC02a2,5</v>
          </cell>
          <cell r="B344">
            <v>730069</v>
          </cell>
          <cell r="C344" t="str">
            <v>A4</v>
          </cell>
          <cell r="D344" t="str">
            <v>ZONA D</v>
          </cell>
          <cell r="E344" t="str">
            <v>F</v>
          </cell>
          <cell r="F344" t="str">
            <v>DOC02a2,5</v>
          </cell>
          <cell r="G344" t="str">
            <v>B</v>
          </cell>
          <cell r="H344">
            <v>155.96</v>
          </cell>
        </row>
        <row r="345">
          <cell r="A345" t="str">
            <v>1;F;A4;B;DOC03a3,5</v>
          </cell>
          <cell r="B345">
            <v>730069</v>
          </cell>
          <cell r="C345" t="str">
            <v>A4</v>
          </cell>
          <cell r="D345" t="str">
            <v>ZONA D</v>
          </cell>
          <cell r="E345" t="str">
            <v>F</v>
          </cell>
          <cell r="F345" t="str">
            <v>DOC03a3,5</v>
          </cell>
          <cell r="G345" t="str">
            <v>B</v>
          </cell>
          <cell r="H345">
            <v>207.72</v>
          </cell>
        </row>
        <row r="346">
          <cell r="A346" t="str">
            <v>1;F;A4;B;DOC04a4,5</v>
          </cell>
          <cell r="B346">
            <v>730069</v>
          </cell>
          <cell r="C346" t="str">
            <v>A4</v>
          </cell>
          <cell r="D346" t="str">
            <v>ZONA D</v>
          </cell>
          <cell r="E346" t="str">
            <v>F</v>
          </cell>
          <cell r="F346" t="str">
            <v>DOC04a4,5</v>
          </cell>
          <cell r="G346" t="str">
            <v>B</v>
          </cell>
          <cell r="H346">
            <v>259.49</v>
          </cell>
        </row>
        <row r="347">
          <cell r="A347" t="str">
            <v>1;F;A4;B;DOC0,5a01</v>
          </cell>
          <cell r="B347">
            <v>730069</v>
          </cell>
          <cell r="C347" t="str">
            <v>A4</v>
          </cell>
          <cell r="D347" t="str">
            <v>ZONA D</v>
          </cell>
          <cell r="E347" t="str">
            <v>F</v>
          </cell>
          <cell r="F347" t="str">
            <v>DOC0,5a01</v>
          </cell>
          <cell r="G347" t="str">
            <v>B</v>
          </cell>
          <cell r="H347">
            <v>78.3</v>
          </cell>
        </row>
        <row r="348">
          <cell r="A348" t="str">
            <v>1;F;A4;B;DOC1,5a02</v>
          </cell>
          <cell r="B348">
            <v>730069</v>
          </cell>
          <cell r="C348" t="str">
            <v>A4</v>
          </cell>
          <cell r="D348" t="str">
            <v>ZONA D</v>
          </cell>
          <cell r="E348" t="str">
            <v>F</v>
          </cell>
          <cell r="F348" t="str">
            <v>DOC1,5a02</v>
          </cell>
          <cell r="G348" t="str">
            <v>B</v>
          </cell>
          <cell r="H348">
            <v>130.07</v>
          </cell>
        </row>
        <row r="349">
          <cell r="A349" t="str">
            <v>1;F;A4;B;DOC2,5a03</v>
          </cell>
          <cell r="B349">
            <v>730069</v>
          </cell>
          <cell r="C349" t="str">
            <v>A4</v>
          </cell>
          <cell r="D349" t="str">
            <v>ZONA D</v>
          </cell>
          <cell r="E349" t="str">
            <v>F</v>
          </cell>
          <cell r="F349" t="str">
            <v>DOC2,5a03</v>
          </cell>
          <cell r="G349" t="str">
            <v>B</v>
          </cell>
          <cell r="H349">
            <v>181.84</v>
          </cell>
        </row>
        <row r="350">
          <cell r="A350" t="str">
            <v>1;F;A4;B;DOC3,5a04</v>
          </cell>
          <cell r="B350">
            <v>730069</v>
          </cell>
          <cell r="C350" t="str">
            <v>A4</v>
          </cell>
          <cell r="D350" t="str">
            <v>ZONA D</v>
          </cell>
          <cell r="E350" t="str">
            <v>F</v>
          </cell>
          <cell r="F350" t="str">
            <v>DOC3,5a04</v>
          </cell>
          <cell r="G350" t="str">
            <v>B</v>
          </cell>
          <cell r="H350">
            <v>233.64</v>
          </cell>
        </row>
        <row r="351">
          <cell r="A351" t="str">
            <v>1;F;A4;B;DOC4,5a05</v>
          </cell>
          <cell r="B351">
            <v>730069</v>
          </cell>
          <cell r="C351" t="str">
            <v>A4</v>
          </cell>
          <cell r="D351" t="str">
            <v>ZONA D</v>
          </cell>
          <cell r="E351" t="str">
            <v>F</v>
          </cell>
          <cell r="F351" t="str">
            <v>DOC4,5a05</v>
          </cell>
          <cell r="G351" t="str">
            <v>B</v>
          </cell>
          <cell r="H351">
            <v>285.38</v>
          </cell>
        </row>
        <row r="352">
          <cell r="A352" t="str">
            <v>1;F;A4;F;</v>
          </cell>
          <cell r="B352">
            <v>730069</v>
          </cell>
          <cell r="C352" t="str">
            <v>A4</v>
          </cell>
          <cell r="D352" t="str">
            <v>ZONA D</v>
          </cell>
          <cell r="E352" t="str">
            <v>F</v>
          </cell>
          <cell r="F352" t="str">
            <v/>
          </cell>
          <cell r="G352" t="str">
            <v>F</v>
          </cell>
          <cell r="H352">
            <v>39.9</v>
          </cell>
        </row>
        <row r="353">
          <cell r="A353" t="str">
            <v>1;F;A4;B;MUE00a0,5</v>
          </cell>
          <cell r="B353">
            <v>730069</v>
          </cell>
          <cell r="C353" t="str">
            <v>A4</v>
          </cell>
          <cell r="D353" t="str">
            <v>ZONA D</v>
          </cell>
          <cell r="E353" t="str">
            <v>F</v>
          </cell>
          <cell r="F353" t="str">
            <v>MUE00a0,5</v>
          </cell>
          <cell r="G353" t="str">
            <v>B</v>
          </cell>
          <cell r="H353">
            <v>52.42</v>
          </cell>
        </row>
        <row r="354">
          <cell r="A354" t="str">
            <v>1;F;A4;B;MUE01a1,5</v>
          </cell>
          <cell r="B354">
            <v>730069</v>
          </cell>
          <cell r="C354" t="str">
            <v>A4</v>
          </cell>
          <cell r="D354" t="str">
            <v>ZONA D</v>
          </cell>
          <cell r="E354" t="str">
            <v>F</v>
          </cell>
          <cell r="F354" t="str">
            <v>MUE01a1,5</v>
          </cell>
          <cell r="G354" t="str">
            <v>B</v>
          </cell>
          <cell r="H354">
            <v>104.2</v>
          </cell>
        </row>
        <row r="355">
          <cell r="A355" t="str">
            <v>1;F;A4;B;MUE02a2,5</v>
          </cell>
          <cell r="B355">
            <v>730069</v>
          </cell>
          <cell r="C355" t="str">
            <v>A4</v>
          </cell>
          <cell r="D355" t="str">
            <v>ZONA D</v>
          </cell>
          <cell r="E355" t="str">
            <v>F</v>
          </cell>
          <cell r="F355" t="str">
            <v>MUE02a2,5</v>
          </cell>
          <cell r="G355" t="str">
            <v>B</v>
          </cell>
          <cell r="H355">
            <v>155.96</v>
          </cell>
        </row>
        <row r="356">
          <cell r="A356" t="str">
            <v>1;F;A4;B;MUE03a3,5</v>
          </cell>
          <cell r="B356">
            <v>730069</v>
          </cell>
          <cell r="C356" t="str">
            <v>A4</v>
          </cell>
          <cell r="D356" t="str">
            <v>ZONA D</v>
          </cell>
          <cell r="E356" t="str">
            <v>F</v>
          </cell>
          <cell r="F356" t="str">
            <v>MUE03a3,5</v>
          </cell>
          <cell r="G356" t="str">
            <v>B</v>
          </cell>
          <cell r="H356">
            <v>207.72</v>
          </cell>
        </row>
        <row r="357">
          <cell r="A357" t="str">
            <v>1;F;A4;B;MUE04a4,5</v>
          </cell>
          <cell r="B357">
            <v>730069</v>
          </cell>
          <cell r="C357" t="str">
            <v>A4</v>
          </cell>
          <cell r="D357" t="str">
            <v>ZONA D</v>
          </cell>
          <cell r="E357" t="str">
            <v>F</v>
          </cell>
          <cell r="F357" t="str">
            <v>MUE04a4,5</v>
          </cell>
          <cell r="G357" t="str">
            <v>B</v>
          </cell>
          <cell r="H357">
            <v>259.49</v>
          </cell>
        </row>
        <row r="358">
          <cell r="A358" t="str">
            <v>1;F;A4;B;MUE0,5a01</v>
          </cell>
          <cell r="B358">
            <v>730069</v>
          </cell>
          <cell r="C358" t="str">
            <v>A4</v>
          </cell>
          <cell r="D358" t="str">
            <v>ZONA D</v>
          </cell>
          <cell r="E358" t="str">
            <v>F</v>
          </cell>
          <cell r="F358" t="str">
            <v>MUE0,5a01</v>
          </cell>
          <cell r="G358" t="str">
            <v>B</v>
          </cell>
          <cell r="H358">
            <v>78.3</v>
          </cell>
        </row>
        <row r="359">
          <cell r="A359" t="str">
            <v>1;F;A4;B;MUE1,5a02</v>
          </cell>
          <cell r="B359">
            <v>730069</v>
          </cell>
          <cell r="C359" t="str">
            <v>A4</v>
          </cell>
          <cell r="D359" t="str">
            <v>ZONA D</v>
          </cell>
          <cell r="E359" t="str">
            <v>F</v>
          </cell>
          <cell r="F359" t="str">
            <v>MUE1,5a02</v>
          </cell>
          <cell r="G359" t="str">
            <v>B</v>
          </cell>
          <cell r="H359">
            <v>130.07</v>
          </cell>
        </row>
        <row r="360">
          <cell r="A360" t="str">
            <v>1;F;A4;B;MUE2,5a03</v>
          </cell>
          <cell r="B360">
            <v>730069</v>
          </cell>
          <cell r="C360" t="str">
            <v>A4</v>
          </cell>
          <cell r="D360" t="str">
            <v>ZONA D</v>
          </cell>
          <cell r="E360" t="str">
            <v>F</v>
          </cell>
          <cell r="F360" t="str">
            <v>MUE2,5a03</v>
          </cell>
          <cell r="G360" t="str">
            <v>B</v>
          </cell>
          <cell r="H360">
            <v>181.84</v>
          </cell>
        </row>
        <row r="361">
          <cell r="A361" t="str">
            <v>1;F;A4;B;MUE3,5a04</v>
          </cell>
          <cell r="B361">
            <v>730069</v>
          </cell>
          <cell r="C361" t="str">
            <v>A4</v>
          </cell>
          <cell r="D361" t="str">
            <v>ZONA D</v>
          </cell>
          <cell r="E361" t="str">
            <v>F</v>
          </cell>
          <cell r="F361" t="str">
            <v>MUE3,5a04</v>
          </cell>
          <cell r="G361" t="str">
            <v>B</v>
          </cell>
          <cell r="H361">
            <v>233.64</v>
          </cell>
        </row>
        <row r="362">
          <cell r="A362" t="str">
            <v>1;F;A4;F;</v>
          </cell>
          <cell r="B362">
            <v>730069</v>
          </cell>
          <cell r="C362" t="str">
            <v>A4</v>
          </cell>
          <cell r="D362" t="str">
            <v>ZONA D</v>
          </cell>
          <cell r="E362" t="str">
            <v>F</v>
          </cell>
          <cell r="F362" t="str">
            <v/>
          </cell>
          <cell r="G362" t="str">
            <v>F</v>
          </cell>
          <cell r="H362">
            <v>39.9</v>
          </cell>
        </row>
        <row r="363">
          <cell r="A363" t="str">
            <v>1;F;A4;B;MUE4,5a05</v>
          </cell>
          <cell r="B363">
            <v>730069</v>
          </cell>
          <cell r="C363" t="str">
            <v>A4</v>
          </cell>
          <cell r="D363" t="str">
            <v>ZONA D</v>
          </cell>
          <cell r="E363" t="str">
            <v>F</v>
          </cell>
          <cell r="F363" t="str">
            <v>MUE4,5a05</v>
          </cell>
          <cell r="G363" t="str">
            <v>B</v>
          </cell>
          <cell r="H363">
            <v>285.38</v>
          </cell>
        </row>
        <row r="364">
          <cell r="A364" t="str">
            <v>1;E;B;B;BAG</v>
          </cell>
          <cell r="B364">
            <v>730069</v>
          </cell>
          <cell r="C364" t="str">
            <v>B</v>
          </cell>
          <cell r="D364" t="str">
            <v>BALEARES</v>
          </cell>
          <cell r="E364" t="str">
            <v>E</v>
          </cell>
          <cell r="F364" t="str">
            <v>BAG</v>
          </cell>
          <cell r="G364" t="str">
            <v>B</v>
          </cell>
          <cell r="H364">
            <v>0</v>
          </cell>
        </row>
        <row r="365">
          <cell r="A365" t="str">
            <v>1;E;B;B;PAQ00a02</v>
          </cell>
          <cell r="B365">
            <v>730069</v>
          </cell>
          <cell r="C365" t="str">
            <v>B</v>
          </cell>
          <cell r="D365" t="str">
            <v>BALEARES</v>
          </cell>
          <cell r="E365" t="str">
            <v>E</v>
          </cell>
          <cell r="F365" t="str">
            <v>PAQ00a02</v>
          </cell>
          <cell r="G365" t="str">
            <v>B</v>
          </cell>
          <cell r="H365">
            <v>0</v>
          </cell>
        </row>
        <row r="366">
          <cell r="A366" t="str">
            <v>1;E;B;B;PAQ02a04</v>
          </cell>
          <cell r="B366">
            <v>730069</v>
          </cell>
          <cell r="C366" t="str">
            <v>B</v>
          </cell>
          <cell r="D366" t="str">
            <v>BALEARES</v>
          </cell>
          <cell r="E366" t="str">
            <v>E</v>
          </cell>
          <cell r="F366" t="str">
            <v>PAQ02a04</v>
          </cell>
          <cell r="G366" t="str">
            <v>B</v>
          </cell>
          <cell r="H366">
            <v>0</v>
          </cell>
        </row>
        <row r="367">
          <cell r="A367" t="str">
            <v>1;E;B;B;PAQ04a06</v>
          </cell>
          <cell r="B367">
            <v>730069</v>
          </cell>
          <cell r="C367" t="str">
            <v>B</v>
          </cell>
          <cell r="D367" t="str">
            <v>BALEARES</v>
          </cell>
          <cell r="E367" t="str">
            <v>E</v>
          </cell>
          <cell r="F367" t="str">
            <v>PAQ04a06</v>
          </cell>
          <cell r="G367" t="str">
            <v>B</v>
          </cell>
          <cell r="H367">
            <v>0</v>
          </cell>
        </row>
        <row r="368">
          <cell r="A368" t="str">
            <v>1;E;B;B;PAQ06a08</v>
          </cell>
          <cell r="B368">
            <v>730069</v>
          </cell>
          <cell r="C368" t="str">
            <v>B</v>
          </cell>
          <cell r="D368" t="str">
            <v>BALEARES</v>
          </cell>
          <cell r="E368" t="str">
            <v>E</v>
          </cell>
          <cell r="F368" t="str">
            <v>PAQ06a08</v>
          </cell>
          <cell r="G368" t="str">
            <v>B</v>
          </cell>
          <cell r="H368">
            <v>0</v>
          </cell>
        </row>
        <row r="369">
          <cell r="A369" t="str">
            <v>1;E;B;B;PAQ08a10</v>
          </cell>
          <cell r="B369">
            <v>730069</v>
          </cell>
          <cell r="C369" t="str">
            <v>B</v>
          </cell>
          <cell r="D369" t="str">
            <v>BALEARES</v>
          </cell>
          <cell r="E369" t="str">
            <v>E</v>
          </cell>
          <cell r="F369" t="str">
            <v>PAQ08a10</v>
          </cell>
          <cell r="G369" t="str">
            <v>B</v>
          </cell>
          <cell r="H369">
            <v>0</v>
          </cell>
        </row>
        <row r="370">
          <cell r="A370" t="str">
            <v>1;E;B;B;PAQ10a12</v>
          </cell>
          <cell r="B370">
            <v>730069</v>
          </cell>
          <cell r="C370" t="str">
            <v>B</v>
          </cell>
          <cell r="D370" t="str">
            <v>BALEARES</v>
          </cell>
          <cell r="E370" t="str">
            <v>E</v>
          </cell>
          <cell r="F370" t="str">
            <v>PAQ10a12</v>
          </cell>
          <cell r="G370" t="str">
            <v>B</v>
          </cell>
          <cell r="H370">
            <v>0</v>
          </cell>
        </row>
        <row r="371">
          <cell r="A371" t="str">
            <v>1;E;B;B;PAQ12a14</v>
          </cell>
          <cell r="B371">
            <v>730069</v>
          </cell>
          <cell r="C371" t="str">
            <v>B</v>
          </cell>
          <cell r="D371" t="str">
            <v>BALEARES</v>
          </cell>
          <cell r="E371" t="str">
            <v>E</v>
          </cell>
          <cell r="F371" t="str">
            <v>PAQ12a14</v>
          </cell>
          <cell r="G371" t="str">
            <v>B</v>
          </cell>
          <cell r="H371">
            <v>0</v>
          </cell>
        </row>
        <row r="372">
          <cell r="A372" t="str">
            <v>1;E;B;B;PAQ14a16</v>
          </cell>
          <cell r="B372">
            <v>730069</v>
          </cell>
          <cell r="C372" t="str">
            <v>B</v>
          </cell>
          <cell r="D372" t="str">
            <v>BALEARES</v>
          </cell>
          <cell r="E372" t="str">
            <v>E</v>
          </cell>
          <cell r="F372" t="str">
            <v>PAQ14a16</v>
          </cell>
          <cell r="G372" t="str">
            <v>B</v>
          </cell>
          <cell r="H372">
            <v>0</v>
          </cell>
        </row>
        <row r="373">
          <cell r="A373" t="str">
            <v>1;E;B;B;PAQ16a18</v>
          </cell>
          <cell r="B373">
            <v>730069</v>
          </cell>
          <cell r="C373" t="str">
            <v>B</v>
          </cell>
          <cell r="D373" t="str">
            <v>BALEARES</v>
          </cell>
          <cell r="E373" t="str">
            <v>E</v>
          </cell>
          <cell r="F373" t="str">
            <v>PAQ16a18</v>
          </cell>
          <cell r="G373" t="str">
            <v>B</v>
          </cell>
          <cell r="H373">
            <v>0</v>
          </cell>
        </row>
        <row r="374">
          <cell r="A374" t="str">
            <v>1;E;B;B;PAQ18a20</v>
          </cell>
          <cell r="B374">
            <v>730069</v>
          </cell>
          <cell r="C374" t="str">
            <v>B</v>
          </cell>
          <cell r="D374" t="str">
            <v>BALEARES</v>
          </cell>
          <cell r="E374" t="str">
            <v>E</v>
          </cell>
          <cell r="F374" t="str">
            <v>PAQ18a20</v>
          </cell>
          <cell r="G374" t="str">
            <v>B</v>
          </cell>
          <cell r="H374">
            <v>0</v>
          </cell>
        </row>
        <row r="375">
          <cell r="A375" t="str">
            <v>1;E;B;B;PAQ20a22</v>
          </cell>
          <cell r="B375">
            <v>730069</v>
          </cell>
          <cell r="C375" t="str">
            <v>B</v>
          </cell>
          <cell r="D375" t="str">
            <v>BALEARES</v>
          </cell>
          <cell r="E375" t="str">
            <v>E</v>
          </cell>
          <cell r="F375" t="str">
            <v>PAQ20a22</v>
          </cell>
          <cell r="G375" t="str">
            <v>B</v>
          </cell>
          <cell r="H375">
            <v>0</v>
          </cell>
        </row>
        <row r="376">
          <cell r="A376" t="str">
            <v>1;E;B;B;PAQ22a24</v>
          </cell>
          <cell r="B376">
            <v>730069</v>
          </cell>
          <cell r="C376" t="str">
            <v>B</v>
          </cell>
          <cell r="D376" t="str">
            <v>BALEARES</v>
          </cell>
          <cell r="E376" t="str">
            <v>E</v>
          </cell>
          <cell r="F376" t="str">
            <v>PAQ22a24</v>
          </cell>
          <cell r="G376" t="str">
            <v>B</v>
          </cell>
          <cell r="H376">
            <v>0</v>
          </cell>
        </row>
        <row r="377">
          <cell r="A377" t="str">
            <v>1;E;B;B;PAQ24a26</v>
          </cell>
          <cell r="B377">
            <v>730069</v>
          </cell>
          <cell r="C377" t="str">
            <v>B</v>
          </cell>
          <cell r="D377" t="str">
            <v>BALEARES</v>
          </cell>
          <cell r="E377" t="str">
            <v>E</v>
          </cell>
          <cell r="F377" t="str">
            <v>PAQ24a26</v>
          </cell>
          <cell r="G377" t="str">
            <v>B</v>
          </cell>
          <cell r="H377">
            <v>0</v>
          </cell>
        </row>
        <row r="378">
          <cell r="A378" t="str">
            <v>1;E;B;B;PAQ26a28</v>
          </cell>
          <cell r="B378">
            <v>730069</v>
          </cell>
          <cell r="C378" t="str">
            <v>B</v>
          </cell>
          <cell r="D378" t="str">
            <v>BALEARES</v>
          </cell>
          <cell r="E378" t="str">
            <v>E</v>
          </cell>
          <cell r="F378" t="str">
            <v>PAQ26a28</v>
          </cell>
          <cell r="G378" t="str">
            <v>B</v>
          </cell>
          <cell r="H378">
            <v>0</v>
          </cell>
        </row>
        <row r="379">
          <cell r="A379" t="str">
            <v>1;E;B;B;PAQ28a30</v>
          </cell>
          <cell r="B379">
            <v>730069</v>
          </cell>
          <cell r="C379" t="str">
            <v>B</v>
          </cell>
          <cell r="D379" t="str">
            <v>BALEARES</v>
          </cell>
          <cell r="E379" t="str">
            <v>E</v>
          </cell>
          <cell r="F379" t="str">
            <v>PAQ28a30</v>
          </cell>
          <cell r="G379" t="str">
            <v>B</v>
          </cell>
          <cell r="H379">
            <v>0</v>
          </cell>
        </row>
        <row r="380">
          <cell r="A380" t="str">
            <v>1;E;B;B;PAQ30a32</v>
          </cell>
          <cell r="B380">
            <v>730069</v>
          </cell>
          <cell r="C380" t="str">
            <v>B</v>
          </cell>
          <cell r="D380" t="str">
            <v>BALEARES</v>
          </cell>
          <cell r="E380" t="str">
            <v>E</v>
          </cell>
          <cell r="F380" t="str">
            <v>PAQ30a32</v>
          </cell>
          <cell r="G380" t="str">
            <v>B</v>
          </cell>
          <cell r="H380">
            <v>0</v>
          </cell>
        </row>
        <row r="381">
          <cell r="A381" t="str">
            <v>1;E;B;B;PAQ32a34</v>
          </cell>
          <cell r="B381">
            <v>730069</v>
          </cell>
          <cell r="C381" t="str">
            <v>B</v>
          </cell>
          <cell r="D381" t="str">
            <v>BALEARES</v>
          </cell>
          <cell r="E381" t="str">
            <v>E</v>
          </cell>
          <cell r="F381" t="str">
            <v>PAQ32a34</v>
          </cell>
          <cell r="G381" t="str">
            <v>B</v>
          </cell>
          <cell r="H381">
            <v>0</v>
          </cell>
        </row>
        <row r="382">
          <cell r="A382" t="str">
            <v>1;E;B;B;PAQ34a36</v>
          </cell>
          <cell r="B382">
            <v>730069</v>
          </cell>
          <cell r="C382" t="str">
            <v>B</v>
          </cell>
          <cell r="D382" t="str">
            <v>BALEARES</v>
          </cell>
          <cell r="E382" t="str">
            <v>E</v>
          </cell>
          <cell r="F382" t="str">
            <v>PAQ34a36</v>
          </cell>
          <cell r="G382" t="str">
            <v>B</v>
          </cell>
          <cell r="H382">
            <v>0</v>
          </cell>
        </row>
        <row r="383">
          <cell r="A383" t="str">
            <v>1;E;B;B;PAQ36a38</v>
          </cell>
          <cell r="B383">
            <v>730069</v>
          </cell>
          <cell r="C383" t="str">
            <v>B</v>
          </cell>
          <cell r="D383" t="str">
            <v>BALEARES</v>
          </cell>
          <cell r="E383" t="str">
            <v>E</v>
          </cell>
          <cell r="F383" t="str">
            <v>PAQ36a38</v>
          </cell>
          <cell r="G383" t="str">
            <v>B</v>
          </cell>
          <cell r="H383">
            <v>0</v>
          </cell>
        </row>
        <row r="384">
          <cell r="A384" t="str">
            <v>1;E;B;F;</v>
          </cell>
          <cell r="B384">
            <v>730069</v>
          </cell>
          <cell r="C384" t="str">
            <v>B</v>
          </cell>
          <cell r="D384" t="str">
            <v>BALEARES</v>
          </cell>
          <cell r="E384" t="str">
            <v>E</v>
          </cell>
          <cell r="F384" t="str">
            <v/>
          </cell>
          <cell r="G384" t="str">
            <v>F</v>
          </cell>
          <cell r="H384">
            <v>0</v>
          </cell>
        </row>
        <row r="385">
          <cell r="A385" t="str">
            <v>1;E;B;B;PAQ38a40</v>
          </cell>
          <cell r="B385">
            <v>730069</v>
          </cell>
          <cell r="C385" t="str">
            <v>B</v>
          </cell>
          <cell r="D385" t="str">
            <v>BALEARES</v>
          </cell>
          <cell r="E385" t="str">
            <v>E</v>
          </cell>
          <cell r="F385" t="str">
            <v>PAQ38a40</v>
          </cell>
          <cell r="G385" t="str">
            <v>B</v>
          </cell>
          <cell r="H385">
            <v>0</v>
          </cell>
        </row>
        <row r="386">
          <cell r="A386" t="str">
            <v>1;E;B;E;</v>
          </cell>
          <cell r="B386">
            <v>730069</v>
          </cell>
          <cell r="C386" t="str">
            <v>B</v>
          </cell>
          <cell r="D386" t="str">
            <v>BALEARES</v>
          </cell>
          <cell r="E386" t="str">
            <v>E</v>
          </cell>
          <cell r="F386" t="str">
            <v/>
          </cell>
          <cell r="G386" t="str">
            <v>E</v>
          </cell>
          <cell r="H386">
            <v>0</v>
          </cell>
        </row>
        <row r="387">
          <cell r="A387" t="str">
            <v>1;E;B;P;</v>
          </cell>
          <cell r="B387">
            <v>730069</v>
          </cell>
          <cell r="C387" t="str">
            <v>B</v>
          </cell>
          <cell r="D387" t="str">
            <v>BALEARES</v>
          </cell>
          <cell r="E387" t="str">
            <v>E</v>
          </cell>
          <cell r="F387" t="str">
            <v/>
          </cell>
          <cell r="G387" t="str">
            <v>P</v>
          </cell>
          <cell r="H387">
            <v>0</v>
          </cell>
        </row>
        <row r="388">
          <cell r="A388" t="str">
            <v>1;F;B;B;BAG</v>
          </cell>
          <cell r="B388">
            <v>730069</v>
          </cell>
          <cell r="C388" t="str">
            <v>B</v>
          </cell>
          <cell r="D388" t="str">
            <v>BALEARES</v>
          </cell>
          <cell r="E388" t="str">
            <v>F</v>
          </cell>
          <cell r="F388" t="str">
            <v>BAG</v>
          </cell>
          <cell r="G388" t="str">
            <v>B</v>
          </cell>
          <cell r="H388">
            <v>0</v>
          </cell>
        </row>
        <row r="389">
          <cell r="A389" t="str">
            <v>1;F;B;B;PAQ00a02</v>
          </cell>
          <cell r="B389">
            <v>730069</v>
          </cell>
          <cell r="C389" t="str">
            <v>B</v>
          </cell>
          <cell r="D389" t="str">
            <v>BALEARES</v>
          </cell>
          <cell r="E389" t="str">
            <v>F</v>
          </cell>
          <cell r="F389" t="str">
            <v>PAQ00a02</v>
          </cell>
          <cell r="G389" t="str">
            <v>B</v>
          </cell>
          <cell r="H389">
            <v>0</v>
          </cell>
        </row>
        <row r="390">
          <cell r="A390" t="str">
            <v>1;F;B;B;PAQ02a04</v>
          </cell>
          <cell r="B390">
            <v>730069</v>
          </cell>
          <cell r="C390" t="str">
            <v>B</v>
          </cell>
          <cell r="D390" t="str">
            <v>BALEARES</v>
          </cell>
          <cell r="E390" t="str">
            <v>F</v>
          </cell>
          <cell r="F390" t="str">
            <v>PAQ02a04</v>
          </cell>
          <cell r="G390" t="str">
            <v>B</v>
          </cell>
          <cell r="H390">
            <v>0</v>
          </cell>
        </row>
        <row r="391">
          <cell r="A391" t="str">
            <v>1;F;B;B;PAQ04a06</v>
          </cell>
          <cell r="B391">
            <v>730069</v>
          </cell>
          <cell r="C391" t="str">
            <v>B</v>
          </cell>
          <cell r="D391" t="str">
            <v>BALEARES</v>
          </cell>
          <cell r="E391" t="str">
            <v>F</v>
          </cell>
          <cell r="F391" t="str">
            <v>PAQ04a06</v>
          </cell>
          <cell r="G391" t="str">
            <v>B</v>
          </cell>
          <cell r="H391">
            <v>0</v>
          </cell>
        </row>
        <row r="392">
          <cell r="A392" t="str">
            <v>1;F;B;B;PAQ06a08</v>
          </cell>
          <cell r="B392">
            <v>730069</v>
          </cell>
          <cell r="C392" t="str">
            <v>B</v>
          </cell>
          <cell r="D392" t="str">
            <v>BALEARES</v>
          </cell>
          <cell r="E392" t="str">
            <v>F</v>
          </cell>
          <cell r="F392" t="str">
            <v>PAQ06a08</v>
          </cell>
          <cell r="G392" t="str">
            <v>B</v>
          </cell>
          <cell r="H392">
            <v>0</v>
          </cell>
        </row>
        <row r="393">
          <cell r="A393" t="str">
            <v>1;F;B;B;PAQ08a10</v>
          </cell>
          <cell r="B393">
            <v>730069</v>
          </cell>
          <cell r="C393" t="str">
            <v>B</v>
          </cell>
          <cell r="D393" t="str">
            <v>BALEARES</v>
          </cell>
          <cell r="E393" t="str">
            <v>F</v>
          </cell>
          <cell r="F393" t="str">
            <v>PAQ08a10</v>
          </cell>
          <cell r="G393" t="str">
            <v>B</v>
          </cell>
          <cell r="H393">
            <v>0</v>
          </cell>
        </row>
        <row r="394">
          <cell r="A394" t="str">
            <v>1;F;B;B;PAQ10a12</v>
          </cell>
          <cell r="B394">
            <v>730069</v>
          </cell>
          <cell r="C394" t="str">
            <v>B</v>
          </cell>
          <cell r="D394" t="str">
            <v>BALEARES</v>
          </cell>
          <cell r="E394" t="str">
            <v>F</v>
          </cell>
          <cell r="F394" t="str">
            <v>PAQ10a12</v>
          </cell>
          <cell r="G394" t="str">
            <v>B</v>
          </cell>
          <cell r="H394">
            <v>0</v>
          </cell>
        </row>
        <row r="395">
          <cell r="A395" t="str">
            <v>1;F;B;B;PAQ12a14</v>
          </cell>
          <cell r="B395">
            <v>730069</v>
          </cell>
          <cell r="C395" t="str">
            <v>B</v>
          </cell>
          <cell r="D395" t="str">
            <v>BALEARES</v>
          </cell>
          <cell r="E395" t="str">
            <v>F</v>
          </cell>
          <cell r="F395" t="str">
            <v>PAQ12a14</v>
          </cell>
          <cell r="G395" t="str">
            <v>B</v>
          </cell>
          <cell r="H395">
            <v>0</v>
          </cell>
        </row>
        <row r="396">
          <cell r="A396" t="str">
            <v>1;F;B;B;PAQ14a16</v>
          </cell>
          <cell r="B396">
            <v>730069</v>
          </cell>
          <cell r="C396" t="str">
            <v>B</v>
          </cell>
          <cell r="D396" t="str">
            <v>BALEARES</v>
          </cell>
          <cell r="E396" t="str">
            <v>F</v>
          </cell>
          <cell r="F396" t="str">
            <v>PAQ14a16</v>
          </cell>
          <cell r="G396" t="str">
            <v>B</v>
          </cell>
          <cell r="H396">
            <v>0</v>
          </cell>
        </row>
        <row r="397">
          <cell r="A397" t="str">
            <v>1;F;B;B;PAQ16a18</v>
          </cell>
          <cell r="B397">
            <v>730069</v>
          </cell>
          <cell r="C397" t="str">
            <v>B</v>
          </cell>
          <cell r="D397" t="str">
            <v>BALEARES</v>
          </cell>
          <cell r="E397" t="str">
            <v>F</v>
          </cell>
          <cell r="F397" t="str">
            <v>PAQ16a18</v>
          </cell>
          <cell r="G397" t="str">
            <v>B</v>
          </cell>
          <cell r="H397">
            <v>0</v>
          </cell>
        </row>
        <row r="398">
          <cell r="A398" t="str">
            <v>1;F;B;B;PAQ18a20</v>
          </cell>
          <cell r="B398">
            <v>730069</v>
          </cell>
          <cell r="C398" t="str">
            <v>B</v>
          </cell>
          <cell r="D398" t="str">
            <v>BALEARES</v>
          </cell>
          <cell r="E398" t="str">
            <v>F</v>
          </cell>
          <cell r="F398" t="str">
            <v>PAQ18a20</v>
          </cell>
          <cell r="G398" t="str">
            <v>B</v>
          </cell>
          <cell r="H398">
            <v>0</v>
          </cell>
        </row>
        <row r="399">
          <cell r="A399" t="str">
            <v>1;F;B;B;PAQ20a22</v>
          </cell>
          <cell r="B399">
            <v>730069</v>
          </cell>
          <cell r="C399" t="str">
            <v>B</v>
          </cell>
          <cell r="D399" t="str">
            <v>BALEARES</v>
          </cell>
          <cell r="E399" t="str">
            <v>F</v>
          </cell>
          <cell r="F399" t="str">
            <v>PAQ20a22</v>
          </cell>
          <cell r="G399" t="str">
            <v>B</v>
          </cell>
          <cell r="H399">
            <v>0</v>
          </cell>
        </row>
        <row r="400">
          <cell r="A400" t="str">
            <v>1;F;B;B;PAQ22a24</v>
          </cell>
          <cell r="B400">
            <v>730069</v>
          </cell>
          <cell r="C400" t="str">
            <v>B</v>
          </cell>
          <cell r="D400" t="str">
            <v>BALEARES</v>
          </cell>
          <cell r="E400" t="str">
            <v>F</v>
          </cell>
          <cell r="F400" t="str">
            <v>PAQ22a24</v>
          </cell>
          <cell r="G400" t="str">
            <v>B</v>
          </cell>
          <cell r="H400">
            <v>0</v>
          </cell>
        </row>
        <row r="401">
          <cell r="A401" t="str">
            <v>1;F;B;B;PAQ24a26</v>
          </cell>
          <cell r="B401">
            <v>730069</v>
          </cell>
          <cell r="C401" t="str">
            <v>B</v>
          </cell>
          <cell r="D401" t="str">
            <v>BALEARES</v>
          </cell>
          <cell r="E401" t="str">
            <v>F</v>
          </cell>
          <cell r="F401" t="str">
            <v>PAQ24a26</v>
          </cell>
          <cell r="G401" t="str">
            <v>B</v>
          </cell>
          <cell r="H401">
            <v>0</v>
          </cell>
        </row>
        <row r="402">
          <cell r="A402" t="str">
            <v>1;F;B;B;PAQ26a28</v>
          </cell>
          <cell r="B402">
            <v>730069</v>
          </cell>
          <cell r="C402" t="str">
            <v>B</v>
          </cell>
          <cell r="D402" t="str">
            <v>BALEARES</v>
          </cell>
          <cell r="E402" t="str">
            <v>F</v>
          </cell>
          <cell r="F402" t="str">
            <v>PAQ26a28</v>
          </cell>
          <cell r="G402" t="str">
            <v>B</v>
          </cell>
          <cell r="H402">
            <v>0</v>
          </cell>
        </row>
        <row r="403">
          <cell r="A403" t="str">
            <v>1;F;B;B;PAQ28a30</v>
          </cell>
          <cell r="B403">
            <v>730069</v>
          </cell>
          <cell r="C403" t="str">
            <v>B</v>
          </cell>
          <cell r="D403" t="str">
            <v>BALEARES</v>
          </cell>
          <cell r="E403" t="str">
            <v>F</v>
          </cell>
          <cell r="F403" t="str">
            <v>PAQ28a30</v>
          </cell>
          <cell r="G403" t="str">
            <v>B</v>
          </cell>
          <cell r="H403">
            <v>0</v>
          </cell>
        </row>
        <row r="404">
          <cell r="A404" t="str">
            <v>1;F;B;B;PAQ30a32</v>
          </cell>
          <cell r="B404">
            <v>730069</v>
          </cell>
          <cell r="C404" t="str">
            <v>B</v>
          </cell>
          <cell r="D404" t="str">
            <v>BALEARES</v>
          </cell>
          <cell r="E404" t="str">
            <v>F</v>
          </cell>
          <cell r="F404" t="str">
            <v>PAQ30a32</v>
          </cell>
          <cell r="G404" t="str">
            <v>B</v>
          </cell>
          <cell r="H404">
            <v>0</v>
          </cell>
        </row>
        <row r="405">
          <cell r="A405" t="str">
            <v>1;F;B;B;PAQ32a34</v>
          </cell>
          <cell r="B405">
            <v>730069</v>
          </cell>
          <cell r="C405" t="str">
            <v>B</v>
          </cell>
          <cell r="D405" t="str">
            <v>BALEARES</v>
          </cell>
          <cell r="E405" t="str">
            <v>F</v>
          </cell>
          <cell r="F405" t="str">
            <v>PAQ32a34</v>
          </cell>
          <cell r="G405" t="str">
            <v>B</v>
          </cell>
          <cell r="H405">
            <v>0</v>
          </cell>
        </row>
        <row r="406">
          <cell r="A406" t="str">
            <v>1;F;B;B;PAQ34a36</v>
          </cell>
          <cell r="B406">
            <v>730069</v>
          </cell>
          <cell r="C406" t="str">
            <v>B</v>
          </cell>
          <cell r="D406" t="str">
            <v>BALEARES</v>
          </cell>
          <cell r="E406" t="str">
            <v>F</v>
          </cell>
          <cell r="F406" t="str">
            <v>PAQ34a36</v>
          </cell>
          <cell r="G406" t="str">
            <v>B</v>
          </cell>
          <cell r="H406">
            <v>0</v>
          </cell>
        </row>
        <row r="407">
          <cell r="A407" t="str">
            <v>1;F;B;B;PAQ36a38</v>
          </cell>
          <cell r="B407">
            <v>730069</v>
          </cell>
          <cell r="C407" t="str">
            <v>B</v>
          </cell>
          <cell r="D407" t="str">
            <v>BALEARES</v>
          </cell>
          <cell r="E407" t="str">
            <v>F</v>
          </cell>
          <cell r="F407" t="str">
            <v>PAQ36a38</v>
          </cell>
          <cell r="G407" t="str">
            <v>B</v>
          </cell>
          <cell r="H407">
            <v>0</v>
          </cell>
        </row>
        <row r="408">
          <cell r="A408" t="str">
            <v>1;F;B;B;PAQ38a40</v>
          </cell>
          <cell r="B408">
            <v>730069</v>
          </cell>
          <cell r="C408" t="str">
            <v>B</v>
          </cell>
          <cell r="D408" t="str">
            <v>BALEARES</v>
          </cell>
          <cell r="E408" t="str">
            <v>F</v>
          </cell>
          <cell r="F408" t="str">
            <v>PAQ38a40</v>
          </cell>
          <cell r="G408" t="str">
            <v>B</v>
          </cell>
          <cell r="H408">
            <v>0</v>
          </cell>
        </row>
        <row r="409">
          <cell r="A409" t="str">
            <v>1;F;B;F;</v>
          </cell>
          <cell r="B409">
            <v>730069</v>
          </cell>
          <cell r="C409" t="str">
            <v>B</v>
          </cell>
          <cell r="D409" t="str">
            <v>BALEARES</v>
          </cell>
          <cell r="E409" t="str">
            <v>F</v>
          </cell>
          <cell r="F409" t="str">
            <v/>
          </cell>
          <cell r="G409" t="str">
            <v>F</v>
          </cell>
          <cell r="H409">
            <v>0</v>
          </cell>
        </row>
        <row r="410">
          <cell r="A410" t="str">
            <v>1;F;B;E;</v>
          </cell>
          <cell r="B410">
            <v>730069</v>
          </cell>
          <cell r="C410" t="str">
            <v>B</v>
          </cell>
          <cell r="D410" t="str">
            <v>BALEARES</v>
          </cell>
          <cell r="E410" t="str">
            <v>F</v>
          </cell>
          <cell r="F410" t="str">
            <v/>
          </cell>
          <cell r="G410" t="str">
            <v>E</v>
          </cell>
          <cell r="H410">
            <v>0</v>
          </cell>
        </row>
        <row r="411">
          <cell r="A411" t="str">
            <v>1;F;B;P;</v>
          </cell>
          <cell r="B411">
            <v>730069</v>
          </cell>
          <cell r="C411" t="str">
            <v>B</v>
          </cell>
          <cell r="D411" t="str">
            <v>BALEARES</v>
          </cell>
          <cell r="E411" t="str">
            <v>F</v>
          </cell>
          <cell r="F411" t="str">
            <v/>
          </cell>
          <cell r="G411" t="str">
            <v>P</v>
          </cell>
          <cell r="H411">
            <v>0</v>
          </cell>
        </row>
        <row r="412">
          <cell r="A412" t="str">
            <v>1;G;B;B;BAG</v>
          </cell>
          <cell r="B412">
            <v>730069</v>
          </cell>
          <cell r="C412" t="str">
            <v>B</v>
          </cell>
          <cell r="D412" t="str">
            <v>BALEARES</v>
          </cell>
          <cell r="E412" t="str">
            <v>G</v>
          </cell>
          <cell r="F412" t="str">
            <v>BAG</v>
          </cell>
          <cell r="G412" t="str">
            <v>B</v>
          </cell>
          <cell r="H412">
            <v>0</v>
          </cell>
        </row>
        <row r="413">
          <cell r="A413" t="str">
            <v>1;G;B;B;PAQ00a02</v>
          </cell>
          <cell r="B413">
            <v>730069</v>
          </cell>
          <cell r="C413" t="str">
            <v>B</v>
          </cell>
          <cell r="D413" t="str">
            <v>BALEARES</v>
          </cell>
          <cell r="E413" t="str">
            <v>G</v>
          </cell>
          <cell r="F413" t="str">
            <v>PAQ00a02</v>
          </cell>
          <cell r="G413" t="str">
            <v>B</v>
          </cell>
          <cell r="H413">
            <v>0</v>
          </cell>
        </row>
        <row r="414">
          <cell r="A414" t="str">
            <v>1;G;B;B;PAQ02a04</v>
          </cell>
          <cell r="B414">
            <v>730069</v>
          </cell>
          <cell r="C414" t="str">
            <v>B</v>
          </cell>
          <cell r="D414" t="str">
            <v>BALEARES</v>
          </cell>
          <cell r="E414" t="str">
            <v>G</v>
          </cell>
          <cell r="F414" t="str">
            <v>PAQ02a04</v>
          </cell>
          <cell r="G414" t="str">
            <v>B</v>
          </cell>
          <cell r="H414">
            <v>0</v>
          </cell>
        </row>
        <row r="415">
          <cell r="A415" t="str">
            <v>1;G;B;B;PAQ04a06</v>
          </cell>
          <cell r="B415">
            <v>730069</v>
          </cell>
          <cell r="C415" t="str">
            <v>B</v>
          </cell>
          <cell r="D415" t="str">
            <v>BALEARES</v>
          </cell>
          <cell r="E415" t="str">
            <v>G</v>
          </cell>
          <cell r="F415" t="str">
            <v>PAQ04a06</v>
          </cell>
          <cell r="G415" t="str">
            <v>B</v>
          </cell>
          <cell r="H415">
            <v>0</v>
          </cell>
        </row>
        <row r="416">
          <cell r="A416" t="str">
            <v>1;G;B;B;PAQ06a08</v>
          </cell>
          <cell r="B416">
            <v>730069</v>
          </cell>
          <cell r="C416" t="str">
            <v>B</v>
          </cell>
          <cell r="D416" t="str">
            <v>BALEARES</v>
          </cell>
          <cell r="E416" t="str">
            <v>G</v>
          </cell>
          <cell r="F416" t="str">
            <v>PAQ06a08</v>
          </cell>
          <cell r="G416" t="str">
            <v>B</v>
          </cell>
          <cell r="H416">
            <v>0</v>
          </cell>
        </row>
        <row r="417">
          <cell r="A417" t="str">
            <v>1;G;B;B;PAQ08a10</v>
          </cell>
          <cell r="B417">
            <v>730069</v>
          </cell>
          <cell r="C417" t="str">
            <v>B</v>
          </cell>
          <cell r="D417" t="str">
            <v>BALEARES</v>
          </cell>
          <cell r="E417" t="str">
            <v>G</v>
          </cell>
          <cell r="F417" t="str">
            <v>PAQ08a10</v>
          </cell>
          <cell r="G417" t="str">
            <v>B</v>
          </cell>
          <cell r="H417">
            <v>0</v>
          </cell>
        </row>
        <row r="418">
          <cell r="A418" t="str">
            <v>1;G;B;B;PAQ10a12</v>
          </cell>
          <cell r="B418">
            <v>730069</v>
          </cell>
          <cell r="C418" t="str">
            <v>B</v>
          </cell>
          <cell r="D418" t="str">
            <v>BALEARES</v>
          </cell>
          <cell r="E418" t="str">
            <v>G</v>
          </cell>
          <cell r="F418" t="str">
            <v>PAQ10a12</v>
          </cell>
          <cell r="G418" t="str">
            <v>B</v>
          </cell>
          <cell r="H418">
            <v>0</v>
          </cell>
        </row>
        <row r="419">
          <cell r="A419" t="str">
            <v>1;G;B;B;PAQ12a14</v>
          </cell>
          <cell r="B419">
            <v>730069</v>
          </cell>
          <cell r="C419" t="str">
            <v>B</v>
          </cell>
          <cell r="D419" t="str">
            <v>BALEARES</v>
          </cell>
          <cell r="E419" t="str">
            <v>G</v>
          </cell>
          <cell r="F419" t="str">
            <v>PAQ12a14</v>
          </cell>
          <cell r="G419" t="str">
            <v>B</v>
          </cell>
          <cell r="H419">
            <v>0</v>
          </cell>
        </row>
        <row r="420">
          <cell r="A420" t="str">
            <v>1;G;B;B;PAQ14a16</v>
          </cell>
          <cell r="B420">
            <v>730069</v>
          </cell>
          <cell r="C420" t="str">
            <v>B</v>
          </cell>
          <cell r="D420" t="str">
            <v>BALEARES</v>
          </cell>
          <cell r="E420" t="str">
            <v>G</v>
          </cell>
          <cell r="F420" t="str">
            <v>PAQ14a16</v>
          </cell>
          <cell r="G420" t="str">
            <v>B</v>
          </cell>
          <cell r="H420">
            <v>0</v>
          </cell>
        </row>
        <row r="421">
          <cell r="A421" t="str">
            <v>1;G;B;B;PAQ16a18</v>
          </cell>
          <cell r="B421">
            <v>730069</v>
          </cell>
          <cell r="C421" t="str">
            <v>B</v>
          </cell>
          <cell r="D421" t="str">
            <v>BALEARES</v>
          </cell>
          <cell r="E421" t="str">
            <v>G</v>
          </cell>
          <cell r="F421" t="str">
            <v>PAQ16a18</v>
          </cell>
          <cell r="G421" t="str">
            <v>B</v>
          </cell>
          <cell r="H421">
            <v>0</v>
          </cell>
        </row>
        <row r="422">
          <cell r="A422" t="str">
            <v>1;G;B;B;PAQ18a20</v>
          </cell>
          <cell r="B422">
            <v>730069</v>
          </cell>
          <cell r="C422" t="str">
            <v>B</v>
          </cell>
          <cell r="D422" t="str">
            <v>BALEARES</v>
          </cell>
          <cell r="E422" t="str">
            <v>G</v>
          </cell>
          <cell r="F422" t="str">
            <v>PAQ18a20</v>
          </cell>
          <cell r="G422" t="str">
            <v>B</v>
          </cell>
          <cell r="H422">
            <v>0</v>
          </cell>
        </row>
        <row r="423">
          <cell r="A423" t="str">
            <v>1;G;B;B;PAQ20a22</v>
          </cell>
          <cell r="B423">
            <v>730069</v>
          </cell>
          <cell r="C423" t="str">
            <v>B</v>
          </cell>
          <cell r="D423" t="str">
            <v>BALEARES</v>
          </cell>
          <cell r="E423" t="str">
            <v>G</v>
          </cell>
          <cell r="F423" t="str">
            <v>PAQ20a22</v>
          </cell>
          <cell r="G423" t="str">
            <v>B</v>
          </cell>
          <cell r="H423">
            <v>0</v>
          </cell>
        </row>
        <row r="424">
          <cell r="A424" t="str">
            <v>1;G;B;B;PAQ22a24</v>
          </cell>
          <cell r="B424">
            <v>730069</v>
          </cell>
          <cell r="C424" t="str">
            <v>B</v>
          </cell>
          <cell r="D424" t="str">
            <v>BALEARES</v>
          </cell>
          <cell r="E424" t="str">
            <v>G</v>
          </cell>
          <cell r="F424" t="str">
            <v>PAQ22a24</v>
          </cell>
          <cell r="G424" t="str">
            <v>B</v>
          </cell>
          <cell r="H424">
            <v>0</v>
          </cell>
        </row>
        <row r="425">
          <cell r="A425" t="str">
            <v>1;G;B;B;PAQ24a26</v>
          </cell>
          <cell r="B425">
            <v>730069</v>
          </cell>
          <cell r="C425" t="str">
            <v>B</v>
          </cell>
          <cell r="D425" t="str">
            <v>BALEARES</v>
          </cell>
          <cell r="E425" t="str">
            <v>G</v>
          </cell>
          <cell r="F425" t="str">
            <v>PAQ24a26</v>
          </cell>
          <cell r="G425" t="str">
            <v>B</v>
          </cell>
          <cell r="H425">
            <v>0</v>
          </cell>
        </row>
        <row r="426">
          <cell r="A426" t="str">
            <v>1;G;B;B;PAQ26a28</v>
          </cell>
          <cell r="B426">
            <v>730069</v>
          </cell>
          <cell r="C426" t="str">
            <v>B</v>
          </cell>
          <cell r="D426" t="str">
            <v>BALEARES</v>
          </cell>
          <cell r="E426" t="str">
            <v>G</v>
          </cell>
          <cell r="F426" t="str">
            <v>PAQ26a28</v>
          </cell>
          <cell r="G426" t="str">
            <v>B</v>
          </cell>
          <cell r="H426">
            <v>0</v>
          </cell>
        </row>
        <row r="427">
          <cell r="A427" t="str">
            <v>1;G;B;B;PAQ28a30</v>
          </cell>
          <cell r="B427">
            <v>730069</v>
          </cell>
          <cell r="C427" t="str">
            <v>B</v>
          </cell>
          <cell r="D427" t="str">
            <v>BALEARES</v>
          </cell>
          <cell r="E427" t="str">
            <v>G</v>
          </cell>
          <cell r="F427" t="str">
            <v>PAQ28a30</v>
          </cell>
          <cell r="G427" t="str">
            <v>B</v>
          </cell>
          <cell r="H427">
            <v>0</v>
          </cell>
        </row>
        <row r="428">
          <cell r="A428" t="str">
            <v>1;G;B;B;PAQ30a32</v>
          </cell>
          <cell r="B428">
            <v>730069</v>
          </cell>
          <cell r="C428" t="str">
            <v>B</v>
          </cell>
          <cell r="D428" t="str">
            <v>BALEARES</v>
          </cell>
          <cell r="E428" t="str">
            <v>G</v>
          </cell>
          <cell r="F428" t="str">
            <v>PAQ30a32</v>
          </cell>
          <cell r="G428" t="str">
            <v>B</v>
          </cell>
          <cell r="H428">
            <v>0</v>
          </cell>
        </row>
        <row r="429">
          <cell r="A429" t="str">
            <v>1;G;B;B;PAQ32a34</v>
          </cell>
          <cell r="B429">
            <v>730069</v>
          </cell>
          <cell r="C429" t="str">
            <v>B</v>
          </cell>
          <cell r="D429" t="str">
            <v>BALEARES</v>
          </cell>
          <cell r="E429" t="str">
            <v>G</v>
          </cell>
          <cell r="F429" t="str">
            <v>PAQ32a34</v>
          </cell>
          <cell r="G429" t="str">
            <v>B</v>
          </cell>
          <cell r="H429">
            <v>0</v>
          </cell>
        </row>
        <row r="430">
          <cell r="A430" t="str">
            <v>1;G;B;B;PAQ34a36</v>
          </cell>
          <cell r="B430">
            <v>730069</v>
          </cell>
          <cell r="C430" t="str">
            <v>B</v>
          </cell>
          <cell r="D430" t="str">
            <v>BALEARES</v>
          </cell>
          <cell r="E430" t="str">
            <v>G</v>
          </cell>
          <cell r="F430" t="str">
            <v>PAQ34a36</v>
          </cell>
          <cell r="G430" t="str">
            <v>B</v>
          </cell>
          <cell r="H430">
            <v>0</v>
          </cell>
        </row>
        <row r="431">
          <cell r="A431" t="str">
            <v>1;G;B;B;PAQ36a38</v>
          </cell>
          <cell r="B431">
            <v>730069</v>
          </cell>
          <cell r="C431" t="str">
            <v>B</v>
          </cell>
          <cell r="D431" t="str">
            <v>BALEARES</v>
          </cell>
          <cell r="E431" t="str">
            <v>G</v>
          </cell>
          <cell r="F431" t="str">
            <v>PAQ36a38</v>
          </cell>
          <cell r="G431" t="str">
            <v>B</v>
          </cell>
          <cell r="H431">
            <v>0</v>
          </cell>
        </row>
        <row r="432">
          <cell r="A432" t="str">
            <v>1;G;B;B;PAQ38a40</v>
          </cell>
          <cell r="B432">
            <v>730069</v>
          </cell>
          <cell r="C432" t="str">
            <v>B</v>
          </cell>
          <cell r="D432" t="str">
            <v>BALEARES</v>
          </cell>
          <cell r="E432" t="str">
            <v>G</v>
          </cell>
          <cell r="F432" t="str">
            <v>PAQ38a40</v>
          </cell>
          <cell r="G432" t="str">
            <v>B</v>
          </cell>
          <cell r="H432">
            <v>0</v>
          </cell>
        </row>
        <row r="433">
          <cell r="A433" t="str">
            <v>1;G;B;F;</v>
          </cell>
          <cell r="B433">
            <v>730069</v>
          </cell>
          <cell r="C433" t="str">
            <v>B</v>
          </cell>
          <cell r="D433" t="str">
            <v>BALEARES</v>
          </cell>
          <cell r="E433" t="str">
            <v>G</v>
          </cell>
          <cell r="F433" t="str">
            <v/>
          </cell>
          <cell r="G433" t="str">
            <v>F</v>
          </cell>
          <cell r="H433">
            <v>0</v>
          </cell>
        </row>
        <row r="434">
          <cell r="A434" t="str">
            <v>1;G;B;E;</v>
          </cell>
          <cell r="B434">
            <v>730069</v>
          </cell>
          <cell r="C434" t="str">
            <v>B</v>
          </cell>
          <cell r="D434" t="str">
            <v>BALEARES</v>
          </cell>
          <cell r="E434" t="str">
            <v>G</v>
          </cell>
          <cell r="F434" t="str">
            <v/>
          </cell>
          <cell r="G434" t="str">
            <v>E</v>
          </cell>
          <cell r="H434">
            <v>0</v>
          </cell>
        </row>
        <row r="435">
          <cell r="A435" t="str">
            <v>1;G;B;P;</v>
          </cell>
          <cell r="B435">
            <v>730069</v>
          </cell>
          <cell r="C435" t="str">
            <v>B</v>
          </cell>
          <cell r="D435" t="str">
            <v>BALEARES</v>
          </cell>
          <cell r="E435" t="str">
            <v>G</v>
          </cell>
          <cell r="F435" t="str">
            <v/>
          </cell>
          <cell r="G435" t="str">
            <v>P</v>
          </cell>
          <cell r="H435">
            <v>0</v>
          </cell>
        </row>
        <row r="436">
          <cell r="A436" t="str">
            <v>1;01;B;B;BAG</v>
          </cell>
          <cell r="B436">
            <v>730069</v>
          </cell>
          <cell r="C436" t="str">
            <v>B</v>
          </cell>
          <cell r="D436" t="str">
            <v>BALEARES</v>
          </cell>
          <cell r="E436" t="str">
            <v>01</v>
          </cell>
          <cell r="F436" t="str">
            <v>BAG</v>
          </cell>
          <cell r="G436" t="str">
            <v>B</v>
          </cell>
          <cell r="H436">
            <v>19.38</v>
          </cell>
        </row>
        <row r="437">
          <cell r="A437" t="str">
            <v>1;01;B;B;DOCS</v>
          </cell>
          <cell r="B437">
            <v>730069</v>
          </cell>
          <cell r="C437" t="str">
            <v>B</v>
          </cell>
          <cell r="D437" t="str">
            <v>BALEARES</v>
          </cell>
          <cell r="E437" t="str">
            <v>01</v>
          </cell>
          <cell r="F437" t="str">
            <v>DOCS</v>
          </cell>
          <cell r="G437" t="str">
            <v>B</v>
          </cell>
          <cell r="H437">
            <v>14.2</v>
          </cell>
        </row>
        <row r="438">
          <cell r="A438" t="str">
            <v>1;01;B;B;PAQ00a02</v>
          </cell>
          <cell r="B438">
            <v>730069</v>
          </cell>
          <cell r="C438" t="str">
            <v>B</v>
          </cell>
          <cell r="D438" t="str">
            <v>BALEARES</v>
          </cell>
          <cell r="E438" t="str">
            <v>01</v>
          </cell>
          <cell r="F438" t="str">
            <v>PAQ00a02</v>
          </cell>
          <cell r="G438" t="str">
            <v>B</v>
          </cell>
          <cell r="H438">
            <v>24.09</v>
          </cell>
        </row>
        <row r="439">
          <cell r="A439" t="str">
            <v>1;01;B;B;PAQ02a04</v>
          </cell>
          <cell r="B439">
            <v>730069</v>
          </cell>
          <cell r="C439" t="str">
            <v>B</v>
          </cell>
          <cell r="D439" t="str">
            <v>BALEARES</v>
          </cell>
          <cell r="E439" t="str">
            <v>01</v>
          </cell>
          <cell r="F439" t="str">
            <v>PAQ02a04</v>
          </cell>
          <cell r="G439" t="str">
            <v>B</v>
          </cell>
          <cell r="H439">
            <v>42.04</v>
          </cell>
        </row>
        <row r="440">
          <cell r="A440" t="str">
            <v>1;01;B;B;PAQ04a06</v>
          </cell>
          <cell r="B440">
            <v>730069</v>
          </cell>
          <cell r="C440" t="str">
            <v>B</v>
          </cell>
          <cell r="D440" t="str">
            <v>BALEARES</v>
          </cell>
          <cell r="E440" t="str">
            <v>01</v>
          </cell>
          <cell r="F440" t="str">
            <v>PAQ04a06</v>
          </cell>
          <cell r="G440" t="str">
            <v>B</v>
          </cell>
          <cell r="H440">
            <v>62.04</v>
          </cell>
        </row>
        <row r="441">
          <cell r="A441" t="str">
            <v>1;01;B;B;PAQ06a08</v>
          </cell>
          <cell r="B441">
            <v>730069</v>
          </cell>
          <cell r="C441" t="str">
            <v>B</v>
          </cell>
          <cell r="D441" t="str">
            <v>BALEARES</v>
          </cell>
          <cell r="E441" t="str">
            <v>01</v>
          </cell>
          <cell r="F441" t="str">
            <v>PAQ06a08</v>
          </cell>
          <cell r="G441" t="str">
            <v>B</v>
          </cell>
          <cell r="H441">
            <v>82.06</v>
          </cell>
        </row>
        <row r="442">
          <cell r="A442" t="str">
            <v>1;01;B;B;PAQ08a10</v>
          </cell>
          <cell r="B442">
            <v>730069</v>
          </cell>
          <cell r="C442" t="str">
            <v>B</v>
          </cell>
          <cell r="D442" t="str">
            <v>BALEARES</v>
          </cell>
          <cell r="E442" t="str">
            <v>01</v>
          </cell>
          <cell r="F442" t="str">
            <v>PAQ08a10</v>
          </cell>
          <cell r="G442" t="str">
            <v>B</v>
          </cell>
          <cell r="H442">
            <v>102.07</v>
          </cell>
        </row>
        <row r="443">
          <cell r="A443" t="str">
            <v>1;01;B;B;PAQ10a12</v>
          </cell>
          <cell r="B443">
            <v>730069</v>
          </cell>
          <cell r="C443" t="str">
            <v>B</v>
          </cell>
          <cell r="D443" t="str">
            <v>BALEARES</v>
          </cell>
          <cell r="E443" t="str">
            <v>01</v>
          </cell>
          <cell r="F443" t="str">
            <v>PAQ10a12</v>
          </cell>
          <cell r="G443" t="str">
            <v>B</v>
          </cell>
          <cell r="H443">
            <v>122.08</v>
          </cell>
        </row>
        <row r="444">
          <cell r="A444" t="str">
            <v>1;01;B;B;PAQ12a14</v>
          </cell>
          <cell r="B444">
            <v>730069</v>
          </cell>
          <cell r="C444" t="str">
            <v>B</v>
          </cell>
          <cell r="D444" t="str">
            <v>BALEARES</v>
          </cell>
          <cell r="E444" t="str">
            <v>01</v>
          </cell>
          <cell r="F444" t="str">
            <v>PAQ12a14</v>
          </cell>
          <cell r="G444" t="str">
            <v>B</v>
          </cell>
          <cell r="H444">
            <v>142.09</v>
          </cell>
        </row>
        <row r="445">
          <cell r="A445" t="str">
            <v>1;01;B;B;PAQ14a16</v>
          </cell>
          <cell r="B445">
            <v>730069</v>
          </cell>
          <cell r="C445" t="str">
            <v>B</v>
          </cell>
          <cell r="D445" t="str">
            <v>BALEARES</v>
          </cell>
          <cell r="E445" t="str">
            <v>01</v>
          </cell>
          <cell r="F445" t="str">
            <v>PAQ14a16</v>
          </cell>
          <cell r="G445" t="str">
            <v>B</v>
          </cell>
          <cell r="H445">
            <v>162.1</v>
          </cell>
        </row>
        <row r="446">
          <cell r="A446" t="str">
            <v>1;01;B;B;PAQ16a18</v>
          </cell>
          <cell r="B446">
            <v>730069</v>
          </cell>
          <cell r="C446" t="str">
            <v>B</v>
          </cell>
          <cell r="D446" t="str">
            <v>BALEARES</v>
          </cell>
          <cell r="E446" t="str">
            <v>01</v>
          </cell>
          <cell r="F446" t="str">
            <v>PAQ16a18</v>
          </cell>
          <cell r="G446" t="str">
            <v>B</v>
          </cell>
          <cell r="H446">
            <v>182.11</v>
          </cell>
        </row>
        <row r="447">
          <cell r="A447" t="str">
            <v>1;01;B;B;PAQ18a20</v>
          </cell>
          <cell r="B447">
            <v>730069</v>
          </cell>
          <cell r="C447" t="str">
            <v>B</v>
          </cell>
          <cell r="D447" t="str">
            <v>BALEARES</v>
          </cell>
          <cell r="E447" t="str">
            <v>01</v>
          </cell>
          <cell r="F447" t="str">
            <v>PAQ18a20</v>
          </cell>
          <cell r="G447" t="str">
            <v>B</v>
          </cell>
          <cell r="H447">
            <v>202.13</v>
          </cell>
        </row>
        <row r="448">
          <cell r="A448" t="str">
            <v>1;01;B;B;PAQ20a22</v>
          </cell>
          <cell r="B448">
            <v>730069</v>
          </cell>
          <cell r="C448" t="str">
            <v>B</v>
          </cell>
          <cell r="D448" t="str">
            <v>BALEARES</v>
          </cell>
          <cell r="E448" t="str">
            <v>01</v>
          </cell>
          <cell r="F448" t="str">
            <v>PAQ20a22</v>
          </cell>
          <cell r="G448" t="str">
            <v>B</v>
          </cell>
          <cell r="H448">
            <v>222.13</v>
          </cell>
        </row>
        <row r="449">
          <cell r="A449" t="str">
            <v>1;01;B;B;PAQ22a24</v>
          </cell>
          <cell r="B449">
            <v>730069</v>
          </cell>
          <cell r="C449" t="str">
            <v>B</v>
          </cell>
          <cell r="D449" t="str">
            <v>BALEARES</v>
          </cell>
          <cell r="E449" t="str">
            <v>01</v>
          </cell>
          <cell r="F449" t="str">
            <v>PAQ22a24</v>
          </cell>
          <cell r="G449" t="str">
            <v>B</v>
          </cell>
          <cell r="H449">
            <v>242.14</v>
          </cell>
        </row>
        <row r="450">
          <cell r="A450" t="str">
            <v>1;01;B;B;PAQ24a26</v>
          </cell>
          <cell r="B450">
            <v>730069</v>
          </cell>
          <cell r="C450" t="str">
            <v>B</v>
          </cell>
          <cell r="D450" t="str">
            <v>BALEARES</v>
          </cell>
          <cell r="E450" t="str">
            <v>01</v>
          </cell>
          <cell r="F450" t="str">
            <v>PAQ24a26</v>
          </cell>
          <cell r="G450" t="str">
            <v>B</v>
          </cell>
          <cell r="H450">
            <v>262.14999999999998</v>
          </cell>
        </row>
        <row r="451">
          <cell r="A451" t="str">
            <v>1;01;B;B;PAQ26a28</v>
          </cell>
          <cell r="B451">
            <v>730069</v>
          </cell>
          <cell r="C451" t="str">
            <v>B</v>
          </cell>
          <cell r="D451" t="str">
            <v>BALEARES</v>
          </cell>
          <cell r="E451" t="str">
            <v>01</v>
          </cell>
          <cell r="F451" t="str">
            <v>PAQ26a28</v>
          </cell>
          <cell r="G451" t="str">
            <v>B</v>
          </cell>
          <cell r="H451">
            <v>282.17</v>
          </cell>
        </row>
        <row r="452">
          <cell r="A452" t="str">
            <v>1;01;B;B;PAQ28a30</v>
          </cell>
          <cell r="B452">
            <v>730069</v>
          </cell>
          <cell r="C452" t="str">
            <v>B</v>
          </cell>
          <cell r="D452" t="str">
            <v>BALEARES</v>
          </cell>
          <cell r="E452" t="str">
            <v>01</v>
          </cell>
          <cell r="F452" t="str">
            <v>PAQ28a30</v>
          </cell>
          <cell r="G452" t="str">
            <v>B</v>
          </cell>
          <cell r="H452">
            <v>302.17</v>
          </cell>
        </row>
        <row r="453">
          <cell r="A453" t="str">
            <v>1;01;B;B;PAQ30a32</v>
          </cell>
          <cell r="B453">
            <v>730069</v>
          </cell>
          <cell r="C453" t="str">
            <v>B</v>
          </cell>
          <cell r="D453" t="str">
            <v>BALEARES</v>
          </cell>
          <cell r="E453" t="str">
            <v>01</v>
          </cell>
          <cell r="F453" t="str">
            <v>PAQ30a32</v>
          </cell>
          <cell r="G453" t="str">
            <v>B</v>
          </cell>
          <cell r="H453">
            <v>322.18</v>
          </cell>
        </row>
        <row r="454">
          <cell r="A454" t="str">
            <v>1;01;B;B;PAQ32a34</v>
          </cell>
          <cell r="B454">
            <v>730069</v>
          </cell>
          <cell r="C454" t="str">
            <v>B</v>
          </cell>
          <cell r="D454" t="str">
            <v>BALEARES</v>
          </cell>
          <cell r="E454" t="str">
            <v>01</v>
          </cell>
          <cell r="F454" t="str">
            <v>PAQ32a34</v>
          </cell>
          <cell r="G454" t="str">
            <v>B</v>
          </cell>
          <cell r="H454">
            <v>342.2</v>
          </cell>
        </row>
        <row r="455">
          <cell r="A455" t="str">
            <v>1;01;B;B;PAQ34a36</v>
          </cell>
          <cell r="B455">
            <v>730069</v>
          </cell>
          <cell r="C455" t="str">
            <v>B</v>
          </cell>
          <cell r="D455" t="str">
            <v>BALEARES</v>
          </cell>
          <cell r="E455" t="str">
            <v>01</v>
          </cell>
          <cell r="F455" t="str">
            <v>PAQ34a36</v>
          </cell>
          <cell r="G455" t="str">
            <v>B</v>
          </cell>
          <cell r="H455">
            <v>362.21</v>
          </cell>
        </row>
        <row r="456">
          <cell r="A456" t="str">
            <v>1;01;B;B;PAQ36a38</v>
          </cell>
          <cell r="B456">
            <v>730069</v>
          </cell>
          <cell r="C456" t="str">
            <v>B</v>
          </cell>
          <cell r="D456" t="str">
            <v>BALEARES</v>
          </cell>
          <cell r="E456" t="str">
            <v>01</v>
          </cell>
          <cell r="F456" t="str">
            <v>PAQ36a38</v>
          </cell>
          <cell r="G456" t="str">
            <v>B</v>
          </cell>
          <cell r="H456">
            <v>382.21</v>
          </cell>
        </row>
        <row r="457">
          <cell r="A457" t="str">
            <v>1;01;B;B;PAQ38a40</v>
          </cell>
          <cell r="B457">
            <v>730069</v>
          </cell>
          <cell r="C457" t="str">
            <v>B</v>
          </cell>
          <cell r="D457" t="str">
            <v>BALEARES</v>
          </cell>
          <cell r="E457" t="str">
            <v>01</v>
          </cell>
          <cell r="F457" t="str">
            <v>PAQ38a40</v>
          </cell>
          <cell r="G457" t="str">
            <v>B</v>
          </cell>
          <cell r="H457">
            <v>402.22</v>
          </cell>
        </row>
        <row r="458">
          <cell r="A458" t="str">
            <v>1;01;B;F;</v>
          </cell>
          <cell r="B458">
            <v>730069</v>
          </cell>
          <cell r="C458" t="str">
            <v>B</v>
          </cell>
          <cell r="D458" t="str">
            <v>BALEARES</v>
          </cell>
          <cell r="E458" t="str">
            <v>01</v>
          </cell>
          <cell r="F458" t="str">
            <v/>
          </cell>
          <cell r="G458" t="str">
            <v>F</v>
          </cell>
          <cell r="H458">
            <v>20.010000000000002</v>
          </cell>
        </row>
        <row r="459">
          <cell r="A459" t="str">
            <v>1;01;B;P;</v>
          </cell>
          <cell r="B459">
            <v>730069</v>
          </cell>
          <cell r="C459" t="str">
            <v>B</v>
          </cell>
          <cell r="D459" t="str">
            <v>BALEARES</v>
          </cell>
          <cell r="E459" t="str">
            <v>01</v>
          </cell>
          <cell r="F459" t="str">
            <v/>
          </cell>
          <cell r="G459" t="str">
            <v>P</v>
          </cell>
          <cell r="H459">
            <v>0</v>
          </cell>
        </row>
        <row r="460">
          <cell r="A460" t="str">
            <v>1;01;B;E;</v>
          </cell>
          <cell r="B460">
            <v>730069</v>
          </cell>
          <cell r="C460" t="str">
            <v>B</v>
          </cell>
          <cell r="D460" t="str">
            <v>BALEARES</v>
          </cell>
          <cell r="E460" t="str">
            <v>01</v>
          </cell>
          <cell r="F460" t="str">
            <v/>
          </cell>
          <cell r="G460" t="str">
            <v>E</v>
          </cell>
          <cell r="H460">
            <v>0</v>
          </cell>
        </row>
        <row r="461">
          <cell r="A461" t="str">
            <v>1;02;B;B;BAG</v>
          </cell>
          <cell r="B461">
            <v>730069</v>
          </cell>
          <cell r="C461" t="str">
            <v>B</v>
          </cell>
          <cell r="D461" t="str">
            <v>BALEARES</v>
          </cell>
          <cell r="E461" t="str">
            <v>02</v>
          </cell>
          <cell r="F461" t="str">
            <v>BAG</v>
          </cell>
          <cell r="G461" t="str">
            <v>B</v>
          </cell>
          <cell r="H461">
            <v>14.26</v>
          </cell>
        </row>
        <row r="462">
          <cell r="A462" t="str">
            <v>1;02;B;B;DOCS</v>
          </cell>
          <cell r="B462">
            <v>730069</v>
          </cell>
          <cell r="C462" t="str">
            <v>B</v>
          </cell>
          <cell r="D462" t="str">
            <v>BALEARES</v>
          </cell>
          <cell r="E462" t="str">
            <v>02</v>
          </cell>
          <cell r="F462" t="str">
            <v>DOCS</v>
          </cell>
          <cell r="G462" t="str">
            <v>B</v>
          </cell>
          <cell r="H462">
            <v>10.19</v>
          </cell>
        </row>
        <row r="463">
          <cell r="A463" t="str">
            <v>1;02;B;B;PAQ00a02</v>
          </cell>
          <cell r="B463">
            <v>730069</v>
          </cell>
          <cell r="C463" t="str">
            <v>B</v>
          </cell>
          <cell r="D463" t="str">
            <v>BALEARES</v>
          </cell>
          <cell r="E463" t="str">
            <v>02</v>
          </cell>
          <cell r="F463" t="str">
            <v>PAQ00a02</v>
          </cell>
          <cell r="G463" t="str">
            <v>B</v>
          </cell>
          <cell r="H463">
            <v>16.989999999999998</v>
          </cell>
        </row>
        <row r="464">
          <cell r="A464" t="str">
            <v>1;02;B;B;PAQ02a04</v>
          </cell>
          <cell r="B464">
            <v>730069</v>
          </cell>
          <cell r="C464" t="str">
            <v>B</v>
          </cell>
          <cell r="D464" t="str">
            <v>BALEARES</v>
          </cell>
          <cell r="E464" t="str">
            <v>02</v>
          </cell>
          <cell r="F464" t="str">
            <v>PAQ02a04</v>
          </cell>
          <cell r="G464" t="str">
            <v>B</v>
          </cell>
          <cell r="H464">
            <v>27.41</v>
          </cell>
        </row>
        <row r="465">
          <cell r="A465" t="str">
            <v>1;02;B;B;PAQ04a06</v>
          </cell>
          <cell r="B465">
            <v>730069</v>
          </cell>
          <cell r="C465" t="str">
            <v>B</v>
          </cell>
          <cell r="D465" t="str">
            <v>BALEARES</v>
          </cell>
          <cell r="E465" t="str">
            <v>02</v>
          </cell>
          <cell r="F465" t="str">
            <v>PAQ04a06</v>
          </cell>
          <cell r="G465" t="str">
            <v>B</v>
          </cell>
          <cell r="H465">
            <v>38.1</v>
          </cell>
        </row>
        <row r="466">
          <cell r="A466" t="str">
            <v>1;02;B;B;PAQ06a08</v>
          </cell>
          <cell r="B466">
            <v>730069</v>
          </cell>
          <cell r="C466" t="str">
            <v>B</v>
          </cell>
          <cell r="D466" t="str">
            <v>BALEARES</v>
          </cell>
          <cell r="E466" t="str">
            <v>02</v>
          </cell>
          <cell r="F466" t="str">
            <v>PAQ06a08</v>
          </cell>
          <cell r="G466" t="str">
            <v>B</v>
          </cell>
          <cell r="H466">
            <v>48.79</v>
          </cell>
        </row>
        <row r="467">
          <cell r="A467" t="str">
            <v>1;02;B;B;PAQ08a10</v>
          </cell>
          <cell r="B467">
            <v>730069</v>
          </cell>
          <cell r="C467" t="str">
            <v>B</v>
          </cell>
          <cell r="D467" t="str">
            <v>BALEARES</v>
          </cell>
          <cell r="E467" t="str">
            <v>02</v>
          </cell>
          <cell r="F467" t="str">
            <v>PAQ08a10</v>
          </cell>
          <cell r="G467" t="str">
            <v>B</v>
          </cell>
          <cell r="H467">
            <v>59.49</v>
          </cell>
        </row>
        <row r="468">
          <cell r="A468" t="str">
            <v>1;02;B;B;PAQ10a12</v>
          </cell>
          <cell r="B468">
            <v>730069</v>
          </cell>
          <cell r="C468" t="str">
            <v>B</v>
          </cell>
          <cell r="D468" t="str">
            <v>BALEARES</v>
          </cell>
          <cell r="E468" t="str">
            <v>02</v>
          </cell>
          <cell r="F468" t="str">
            <v>PAQ10a12</v>
          </cell>
          <cell r="G468" t="str">
            <v>B</v>
          </cell>
          <cell r="H468">
            <v>70.180000000000007</v>
          </cell>
        </row>
        <row r="469">
          <cell r="A469" t="str">
            <v>1;02;B;B;PAQ12a14</v>
          </cell>
          <cell r="B469">
            <v>730069</v>
          </cell>
          <cell r="C469" t="str">
            <v>B</v>
          </cell>
          <cell r="D469" t="str">
            <v>BALEARES</v>
          </cell>
          <cell r="E469" t="str">
            <v>02</v>
          </cell>
          <cell r="F469" t="str">
            <v>PAQ12a14</v>
          </cell>
          <cell r="G469" t="str">
            <v>B</v>
          </cell>
          <cell r="H469">
            <v>80.88</v>
          </cell>
        </row>
        <row r="470">
          <cell r="A470" t="str">
            <v>1;02;B;B;PAQ14a16</v>
          </cell>
          <cell r="B470">
            <v>730069</v>
          </cell>
          <cell r="C470" t="str">
            <v>B</v>
          </cell>
          <cell r="D470" t="str">
            <v>BALEARES</v>
          </cell>
          <cell r="E470" t="str">
            <v>02</v>
          </cell>
          <cell r="F470" t="str">
            <v>PAQ14a16</v>
          </cell>
          <cell r="G470" t="str">
            <v>B</v>
          </cell>
          <cell r="H470">
            <v>91.57</v>
          </cell>
        </row>
        <row r="471">
          <cell r="A471" t="str">
            <v>1;02;B;B;PAQ16a18</v>
          </cell>
          <cell r="B471">
            <v>730069</v>
          </cell>
          <cell r="C471" t="str">
            <v>B</v>
          </cell>
          <cell r="D471" t="str">
            <v>BALEARES</v>
          </cell>
          <cell r="E471" t="str">
            <v>02</v>
          </cell>
          <cell r="F471" t="str">
            <v>PAQ16a18</v>
          </cell>
          <cell r="G471" t="str">
            <v>B</v>
          </cell>
          <cell r="H471">
            <v>102.27</v>
          </cell>
        </row>
        <row r="472">
          <cell r="A472" t="str">
            <v>1;02;B;B;PAQ18a20</v>
          </cell>
          <cell r="B472">
            <v>730069</v>
          </cell>
          <cell r="C472" t="str">
            <v>B</v>
          </cell>
          <cell r="D472" t="str">
            <v>BALEARES</v>
          </cell>
          <cell r="E472" t="str">
            <v>02</v>
          </cell>
          <cell r="F472" t="str">
            <v>PAQ18a20</v>
          </cell>
          <cell r="G472" t="str">
            <v>B</v>
          </cell>
          <cell r="H472">
            <v>112.96</v>
          </cell>
        </row>
        <row r="473">
          <cell r="A473" t="str">
            <v>1;02;B;B;PAQ20a22</v>
          </cell>
          <cell r="B473">
            <v>730069</v>
          </cell>
          <cell r="C473" t="str">
            <v>B</v>
          </cell>
          <cell r="D473" t="str">
            <v>BALEARES</v>
          </cell>
          <cell r="E473" t="str">
            <v>02</v>
          </cell>
          <cell r="F473" t="str">
            <v>PAQ20a22</v>
          </cell>
          <cell r="G473" t="str">
            <v>B</v>
          </cell>
          <cell r="H473">
            <v>123.66</v>
          </cell>
        </row>
        <row r="474">
          <cell r="A474" t="str">
            <v>1;02;B;B;PAQ22a24</v>
          </cell>
          <cell r="B474">
            <v>730069</v>
          </cell>
          <cell r="C474" t="str">
            <v>B</v>
          </cell>
          <cell r="D474" t="str">
            <v>BALEARES</v>
          </cell>
          <cell r="E474" t="str">
            <v>02</v>
          </cell>
          <cell r="F474" t="str">
            <v>PAQ22a24</v>
          </cell>
          <cell r="G474" t="str">
            <v>B</v>
          </cell>
          <cell r="H474">
            <v>134.35</v>
          </cell>
        </row>
        <row r="475">
          <cell r="A475" t="str">
            <v>1;02;B;B;PAQ24a26</v>
          </cell>
          <cell r="B475">
            <v>730069</v>
          </cell>
          <cell r="C475" t="str">
            <v>B</v>
          </cell>
          <cell r="D475" t="str">
            <v>BALEARES</v>
          </cell>
          <cell r="E475" t="str">
            <v>02</v>
          </cell>
          <cell r="F475" t="str">
            <v>PAQ24a26</v>
          </cell>
          <cell r="G475" t="str">
            <v>B</v>
          </cell>
          <cell r="H475">
            <v>145.05000000000001</v>
          </cell>
        </row>
        <row r="476">
          <cell r="A476" t="str">
            <v>1;02;B;B;PAQ26a28</v>
          </cell>
          <cell r="B476">
            <v>730069</v>
          </cell>
          <cell r="C476" t="str">
            <v>B</v>
          </cell>
          <cell r="D476" t="str">
            <v>BALEARES</v>
          </cell>
          <cell r="E476" t="str">
            <v>02</v>
          </cell>
          <cell r="F476" t="str">
            <v>PAQ26a28</v>
          </cell>
          <cell r="G476" t="str">
            <v>B</v>
          </cell>
          <cell r="H476">
            <v>155.74</v>
          </cell>
        </row>
        <row r="477">
          <cell r="A477" t="str">
            <v>1;02;B;B;PAQ28a30</v>
          </cell>
          <cell r="B477">
            <v>730069</v>
          </cell>
          <cell r="C477" t="str">
            <v>B</v>
          </cell>
          <cell r="D477" t="str">
            <v>BALEARES</v>
          </cell>
          <cell r="E477" t="str">
            <v>02</v>
          </cell>
          <cell r="F477" t="str">
            <v>PAQ28a30</v>
          </cell>
          <cell r="G477" t="str">
            <v>B</v>
          </cell>
          <cell r="H477">
            <v>166.44</v>
          </cell>
        </row>
        <row r="478">
          <cell r="A478" t="str">
            <v>1;02;B;B;PAQ30a32</v>
          </cell>
          <cell r="B478">
            <v>730069</v>
          </cell>
          <cell r="C478" t="str">
            <v>B</v>
          </cell>
          <cell r="D478" t="str">
            <v>BALEARES</v>
          </cell>
          <cell r="E478" t="str">
            <v>02</v>
          </cell>
          <cell r="F478" t="str">
            <v>PAQ30a32</v>
          </cell>
          <cell r="G478" t="str">
            <v>B</v>
          </cell>
          <cell r="H478">
            <v>177.12</v>
          </cell>
        </row>
        <row r="479">
          <cell r="A479" t="str">
            <v>1;02;B;B;PAQ32a34</v>
          </cell>
          <cell r="B479">
            <v>730069</v>
          </cell>
          <cell r="C479" t="str">
            <v>B</v>
          </cell>
          <cell r="D479" t="str">
            <v>BALEARES</v>
          </cell>
          <cell r="E479" t="str">
            <v>02</v>
          </cell>
          <cell r="F479" t="str">
            <v>PAQ32a34</v>
          </cell>
          <cell r="G479" t="str">
            <v>B</v>
          </cell>
          <cell r="H479">
            <v>187.82</v>
          </cell>
        </row>
        <row r="480">
          <cell r="A480" t="str">
            <v>1;02;B;B;PAQ34a36</v>
          </cell>
          <cell r="B480">
            <v>730069</v>
          </cell>
          <cell r="C480" t="str">
            <v>B</v>
          </cell>
          <cell r="D480" t="str">
            <v>BALEARES</v>
          </cell>
          <cell r="E480" t="str">
            <v>02</v>
          </cell>
          <cell r="F480" t="str">
            <v>PAQ34a36</v>
          </cell>
          <cell r="G480" t="str">
            <v>B</v>
          </cell>
          <cell r="H480">
            <v>198.51</v>
          </cell>
        </row>
        <row r="481">
          <cell r="A481" t="str">
            <v>1;02;B;B;PAQ36a38</v>
          </cell>
          <cell r="B481">
            <v>730069</v>
          </cell>
          <cell r="C481" t="str">
            <v>B</v>
          </cell>
          <cell r="D481" t="str">
            <v>BALEARES</v>
          </cell>
          <cell r="E481" t="str">
            <v>02</v>
          </cell>
          <cell r="F481" t="str">
            <v>PAQ36a38</v>
          </cell>
          <cell r="G481" t="str">
            <v>B</v>
          </cell>
          <cell r="H481">
            <v>209.21</v>
          </cell>
        </row>
        <row r="482">
          <cell r="A482" t="str">
            <v>1;02;B;B;PAQ38a40</v>
          </cell>
          <cell r="B482">
            <v>730069</v>
          </cell>
          <cell r="C482" t="str">
            <v>B</v>
          </cell>
          <cell r="D482" t="str">
            <v>BALEARES</v>
          </cell>
          <cell r="E482" t="str">
            <v>02</v>
          </cell>
          <cell r="F482" t="str">
            <v>PAQ38a40</v>
          </cell>
          <cell r="G482" t="str">
            <v>B</v>
          </cell>
          <cell r="H482">
            <v>219.9</v>
          </cell>
        </row>
        <row r="483">
          <cell r="A483" t="str">
            <v>1;02;B;F;</v>
          </cell>
          <cell r="B483">
            <v>730069</v>
          </cell>
          <cell r="C483" t="str">
            <v>B</v>
          </cell>
          <cell r="D483" t="str">
            <v>BALEARES</v>
          </cell>
          <cell r="E483" t="str">
            <v>02</v>
          </cell>
          <cell r="F483" t="str">
            <v/>
          </cell>
          <cell r="G483" t="str">
            <v>F</v>
          </cell>
          <cell r="H483">
            <v>10.7</v>
          </cell>
        </row>
        <row r="484">
          <cell r="A484" t="str">
            <v>1;02;B;E;</v>
          </cell>
          <cell r="B484">
            <v>730069</v>
          </cell>
          <cell r="C484" t="str">
            <v>B</v>
          </cell>
          <cell r="D484" t="str">
            <v>BALEARES</v>
          </cell>
          <cell r="E484" t="str">
            <v>02</v>
          </cell>
          <cell r="F484" t="str">
            <v/>
          </cell>
          <cell r="G484" t="str">
            <v>E</v>
          </cell>
          <cell r="H484">
            <v>0</v>
          </cell>
        </row>
        <row r="485">
          <cell r="A485" t="str">
            <v>1;02;B;P;</v>
          </cell>
          <cell r="B485">
            <v>730069</v>
          </cell>
          <cell r="C485" t="str">
            <v>B</v>
          </cell>
          <cell r="D485" t="str">
            <v>BALEARES</v>
          </cell>
          <cell r="E485" t="str">
            <v>02</v>
          </cell>
          <cell r="F485" t="str">
            <v/>
          </cell>
          <cell r="G485" t="str">
            <v>P</v>
          </cell>
          <cell r="H485">
            <v>0</v>
          </cell>
        </row>
        <row r="486">
          <cell r="A486" t="str">
            <v>1;04;B;B;BAG</v>
          </cell>
          <cell r="B486">
            <v>730069</v>
          </cell>
          <cell r="C486" t="str">
            <v>B</v>
          </cell>
          <cell r="D486" t="str">
            <v>BALEARES</v>
          </cell>
          <cell r="E486" t="str">
            <v>04</v>
          </cell>
          <cell r="F486" t="str">
            <v>BAG</v>
          </cell>
          <cell r="G486" t="str">
            <v>B</v>
          </cell>
          <cell r="H486">
            <v>5.76</v>
          </cell>
        </row>
        <row r="487">
          <cell r="A487" t="str">
            <v>1;05;B;B;BAG</v>
          </cell>
          <cell r="B487">
            <v>730069</v>
          </cell>
          <cell r="C487" t="str">
            <v>B</v>
          </cell>
          <cell r="D487" t="str">
            <v>BALEARES</v>
          </cell>
          <cell r="E487" t="str">
            <v>05</v>
          </cell>
          <cell r="F487" t="str">
            <v>BAG</v>
          </cell>
          <cell r="G487" t="str">
            <v>B</v>
          </cell>
          <cell r="H487">
            <v>5.76</v>
          </cell>
        </row>
        <row r="488">
          <cell r="A488" t="str">
            <v>1;06;B;B;BAG</v>
          </cell>
          <cell r="B488">
            <v>730069</v>
          </cell>
          <cell r="C488" t="str">
            <v>B</v>
          </cell>
          <cell r="D488" t="str">
            <v>BALEARES</v>
          </cell>
          <cell r="E488" t="str">
            <v>06</v>
          </cell>
          <cell r="F488" t="str">
            <v>BAG</v>
          </cell>
          <cell r="G488" t="str">
            <v>B</v>
          </cell>
          <cell r="H488">
            <v>0</v>
          </cell>
        </row>
        <row r="489">
          <cell r="A489" t="str">
            <v>1;06;B;B;DOCS</v>
          </cell>
          <cell r="B489">
            <v>730069</v>
          </cell>
          <cell r="C489" t="str">
            <v>B</v>
          </cell>
          <cell r="D489" t="str">
            <v>BALEARES</v>
          </cell>
          <cell r="E489" t="str">
            <v>06</v>
          </cell>
          <cell r="F489" t="str">
            <v>DOCS</v>
          </cell>
          <cell r="G489" t="str">
            <v>B</v>
          </cell>
          <cell r="H489">
            <v>0</v>
          </cell>
        </row>
        <row r="490">
          <cell r="A490" t="str">
            <v>1;06;B;B;PAQ00a02</v>
          </cell>
          <cell r="B490">
            <v>730069</v>
          </cell>
          <cell r="C490" t="str">
            <v>B</v>
          </cell>
          <cell r="D490" t="str">
            <v>BALEARES</v>
          </cell>
          <cell r="E490" t="str">
            <v>06</v>
          </cell>
          <cell r="F490" t="str">
            <v>PAQ00a02</v>
          </cell>
          <cell r="G490" t="str">
            <v>B</v>
          </cell>
          <cell r="H490">
            <v>0</v>
          </cell>
        </row>
        <row r="491">
          <cell r="A491" t="str">
            <v>1;06;B;B;PAQ02a04</v>
          </cell>
          <cell r="B491">
            <v>730069</v>
          </cell>
          <cell r="C491" t="str">
            <v>B</v>
          </cell>
          <cell r="D491" t="str">
            <v>BALEARES</v>
          </cell>
          <cell r="E491" t="str">
            <v>06</v>
          </cell>
          <cell r="F491" t="str">
            <v>PAQ02a04</v>
          </cell>
          <cell r="G491" t="str">
            <v>B</v>
          </cell>
          <cell r="H491">
            <v>0</v>
          </cell>
        </row>
        <row r="492">
          <cell r="A492" t="str">
            <v>1;06;B;B;PAQ04a06</v>
          </cell>
          <cell r="B492">
            <v>730069</v>
          </cell>
          <cell r="C492" t="str">
            <v>B</v>
          </cell>
          <cell r="D492" t="str">
            <v>BALEARES</v>
          </cell>
          <cell r="E492" t="str">
            <v>06</v>
          </cell>
          <cell r="F492" t="str">
            <v>PAQ04a06</v>
          </cell>
          <cell r="G492" t="str">
            <v>B</v>
          </cell>
          <cell r="H492">
            <v>0</v>
          </cell>
        </row>
        <row r="493">
          <cell r="A493" t="str">
            <v>1;06;B;B;PAQ06a08</v>
          </cell>
          <cell r="B493">
            <v>730069</v>
          </cell>
          <cell r="C493" t="str">
            <v>B</v>
          </cell>
          <cell r="D493" t="str">
            <v>BALEARES</v>
          </cell>
          <cell r="E493" t="str">
            <v>06</v>
          </cell>
          <cell r="F493" t="str">
            <v>PAQ06a08</v>
          </cell>
          <cell r="G493" t="str">
            <v>B</v>
          </cell>
          <cell r="H493">
            <v>0</v>
          </cell>
        </row>
        <row r="494">
          <cell r="A494" t="str">
            <v>1;06;B;B;PAQ08a10</v>
          </cell>
          <cell r="B494">
            <v>730069</v>
          </cell>
          <cell r="C494" t="str">
            <v>B</v>
          </cell>
          <cell r="D494" t="str">
            <v>BALEARES</v>
          </cell>
          <cell r="E494" t="str">
            <v>06</v>
          </cell>
          <cell r="F494" t="str">
            <v>PAQ08a10</v>
          </cell>
          <cell r="G494" t="str">
            <v>B</v>
          </cell>
          <cell r="H494">
            <v>0</v>
          </cell>
        </row>
        <row r="495">
          <cell r="A495" t="str">
            <v>1;06;B;B;PAQ10a12</v>
          </cell>
          <cell r="B495">
            <v>730069</v>
          </cell>
          <cell r="C495" t="str">
            <v>B</v>
          </cell>
          <cell r="D495" t="str">
            <v>BALEARES</v>
          </cell>
          <cell r="E495" t="str">
            <v>06</v>
          </cell>
          <cell r="F495" t="str">
            <v>PAQ10a12</v>
          </cell>
          <cell r="G495" t="str">
            <v>B</v>
          </cell>
          <cell r="H495">
            <v>0</v>
          </cell>
        </row>
        <row r="496">
          <cell r="A496" t="str">
            <v>1;06;B;B;PAQ12a14</v>
          </cell>
          <cell r="B496">
            <v>730069</v>
          </cell>
          <cell r="C496" t="str">
            <v>B</v>
          </cell>
          <cell r="D496" t="str">
            <v>BALEARES</v>
          </cell>
          <cell r="E496" t="str">
            <v>06</v>
          </cell>
          <cell r="F496" t="str">
            <v>PAQ12a14</v>
          </cell>
          <cell r="G496" t="str">
            <v>B</v>
          </cell>
          <cell r="H496">
            <v>0</v>
          </cell>
        </row>
        <row r="497">
          <cell r="A497" t="str">
            <v>1;06;B;B;PAQ14a16</v>
          </cell>
          <cell r="B497">
            <v>730069</v>
          </cell>
          <cell r="C497" t="str">
            <v>B</v>
          </cell>
          <cell r="D497" t="str">
            <v>BALEARES</v>
          </cell>
          <cell r="E497" t="str">
            <v>06</v>
          </cell>
          <cell r="F497" t="str">
            <v>PAQ14a16</v>
          </cell>
          <cell r="G497" t="str">
            <v>B</v>
          </cell>
          <cell r="H497">
            <v>0</v>
          </cell>
        </row>
        <row r="498">
          <cell r="A498" t="str">
            <v>1;06;B;B;PAQ16a18</v>
          </cell>
          <cell r="B498">
            <v>730069</v>
          </cell>
          <cell r="C498" t="str">
            <v>B</v>
          </cell>
          <cell r="D498" t="str">
            <v>BALEARES</v>
          </cell>
          <cell r="E498" t="str">
            <v>06</v>
          </cell>
          <cell r="F498" t="str">
            <v>PAQ16a18</v>
          </cell>
          <cell r="G498" t="str">
            <v>B</v>
          </cell>
          <cell r="H498">
            <v>0</v>
          </cell>
        </row>
        <row r="499">
          <cell r="A499" t="str">
            <v>1;06;B;B;PAQ18a20</v>
          </cell>
          <cell r="B499">
            <v>730069</v>
          </cell>
          <cell r="C499" t="str">
            <v>B</v>
          </cell>
          <cell r="D499" t="str">
            <v>BALEARES</v>
          </cell>
          <cell r="E499" t="str">
            <v>06</v>
          </cell>
          <cell r="F499" t="str">
            <v>PAQ18a20</v>
          </cell>
          <cell r="G499" t="str">
            <v>B</v>
          </cell>
          <cell r="H499">
            <v>0</v>
          </cell>
        </row>
        <row r="500">
          <cell r="A500" t="str">
            <v>1;06;B;B;PAQ20a22</v>
          </cell>
          <cell r="B500">
            <v>730069</v>
          </cell>
          <cell r="C500" t="str">
            <v>B</v>
          </cell>
          <cell r="D500" t="str">
            <v>BALEARES</v>
          </cell>
          <cell r="E500" t="str">
            <v>06</v>
          </cell>
          <cell r="F500" t="str">
            <v>PAQ20a22</v>
          </cell>
          <cell r="G500" t="str">
            <v>B</v>
          </cell>
          <cell r="H500">
            <v>0</v>
          </cell>
        </row>
        <row r="501">
          <cell r="A501" t="str">
            <v>1;06;B;B;PAQ22a24</v>
          </cell>
          <cell r="B501">
            <v>730069</v>
          </cell>
          <cell r="C501" t="str">
            <v>B</v>
          </cell>
          <cell r="D501" t="str">
            <v>BALEARES</v>
          </cell>
          <cell r="E501" t="str">
            <v>06</v>
          </cell>
          <cell r="F501" t="str">
            <v>PAQ22a24</v>
          </cell>
          <cell r="G501" t="str">
            <v>B</v>
          </cell>
          <cell r="H501">
            <v>0</v>
          </cell>
        </row>
        <row r="502">
          <cell r="A502" t="str">
            <v>1;06;B;B;PAQ24a26</v>
          </cell>
          <cell r="B502">
            <v>730069</v>
          </cell>
          <cell r="C502" t="str">
            <v>B</v>
          </cell>
          <cell r="D502" t="str">
            <v>BALEARES</v>
          </cell>
          <cell r="E502" t="str">
            <v>06</v>
          </cell>
          <cell r="F502" t="str">
            <v>PAQ24a26</v>
          </cell>
          <cell r="G502" t="str">
            <v>B</v>
          </cell>
          <cell r="H502">
            <v>0</v>
          </cell>
        </row>
        <row r="503">
          <cell r="A503" t="str">
            <v>1;06;B;B;PAQ26a28</v>
          </cell>
          <cell r="B503">
            <v>730069</v>
          </cell>
          <cell r="C503" t="str">
            <v>B</v>
          </cell>
          <cell r="D503" t="str">
            <v>BALEARES</v>
          </cell>
          <cell r="E503" t="str">
            <v>06</v>
          </cell>
          <cell r="F503" t="str">
            <v>PAQ26a28</v>
          </cell>
          <cell r="G503" t="str">
            <v>B</v>
          </cell>
          <cell r="H503">
            <v>0</v>
          </cell>
        </row>
        <row r="504">
          <cell r="A504" t="str">
            <v>1;06;B;B;PAQ28a30</v>
          </cell>
          <cell r="B504">
            <v>730069</v>
          </cell>
          <cell r="C504" t="str">
            <v>B</v>
          </cell>
          <cell r="D504" t="str">
            <v>BALEARES</v>
          </cell>
          <cell r="E504" t="str">
            <v>06</v>
          </cell>
          <cell r="F504" t="str">
            <v>PAQ28a30</v>
          </cell>
          <cell r="G504" t="str">
            <v>B</v>
          </cell>
          <cell r="H504">
            <v>0</v>
          </cell>
        </row>
        <row r="505">
          <cell r="A505" t="str">
            <v>1;06;B;B;PAQ30a32</v>
          </cell>
          <cell r="B505">
            <v>730069</v>
          </cell>
          <cell r="C505" t="str">
            <v>B</v>
          </cell>
          <cell r="D505" t="str">
            <v>BALEARES</v>
          </cell>
          <cell r="E505" t="str">
            <v>06</v>
          </cell>
          <cell r="F505" t="str">
            <v>PAQ30a32</v>
          </cell>
          <cell r="G505" t="str">
            <v>B</v>
          </cell>
          <cell r="H505">
            <v>0</v>
          </cell>
        </row>
        <row r="506">
          <cell r="A506" t="str">
            <v>1;06;B;B;PAQ32a34</v>
          </cell>
          <cell r="B506">
            <v>730069</v>
          </cell>
          <cell r="C506" t="str">
            <v>B</v>
          </cell>
          <cell r="D506" t="str">
            <v>BALEARES</v>
          </cell>
          <cell r="E506" t="str">
            <v>06</v>
          </cell>
          <cell r="F506" t="str">
            <v>PAQ32a34</v>
          </cell>
          <cell r="G506" t="str">
            <v>B</v>
          </cell>
          <cell r="H506">
            <v>0</v>
          </cell>
        </row>
        <row r="507">
          <cell r="A507" t="str">
            <v>1;06;B;B;PAQ34a36</v>
          </cell>
          <cell r="B507">
            <v>730069</v>
          </cell>
          <cell r="C507" t="str">
            <v>B</v>
          </cell>
          <cell r="D507" t="str">
            <v>BALEARES</v>
          </cell>
          <cell r="E507" t="str">
            <v>06</v>
          </cell>
          <cell r="F507" t="str">
            <v>PAQ34a36</v>
          </cell>
          <cell r="G507" t="str">
            <v>B</v>
          </cell>
          <cell r="H507">
            <v>0</v>
          </cell>
        </row>
        <row r="508">
          <cell r="A508" t="str">
            <v>1;06;B;B;PAQ36a38</v>
          </cell>
          <cell r="B508">
            <v>730069</v>
          </cell>
          <cell r="C508" t="str">
            <v>B</v>
          </cell>
          <cell r="D508" t="str">
            <v>BALEARES</v>
          </cell>
          <cell r="E508" t="str">
            <v>06</v>
          </cell>
          <cell r="F508" t="str">
            <v>PAQ36a38</v>
          </cell>
          <cell r="G508" t="str">
            <v>B</v>
          </cell>
          <cell r="H508">
            <v>0</v>
          </cell>
        </row>
        <row r="509">
          <cell r="A509" t="str">
            <v>1;06;B;B;PAQ38a40</v>
          </cell>
          <cell r="B509">
            <v>730069</v>
          </cell>
          <cell r="C509" t="str">
            <v>B</v>
          </cell>
          <cell r="D509" t="str">
            <v>BALEARES</v>
          </cell>
          <cell r="E509" t="str">
            <v>06</v>
          </cell>
          <cell r="F509" t="str">
            <v>PAQ38a40</v>
          </cell>
          <cell r="G509" t="str">
            <v>B</v>
          </cell>
          <cell r="H509">
            <v>0</v>
          </cell>
        </row>
        <row r="510">
          <cell r="A510" t="str">
            <v>1;06;B;F;</v>
          </cell>
          <cell r="B510">
            <v>730069</v>
          </cell>
          <cell r="C510" t="str">
            <v>B</v>
          </cell>
          <cell r="D510" t="str">
            <v>BALEARES</v>
          </cell>
          <cell r="E510" t="str">
            <v>06</v>
          </cell>
          <cell r="F510" t="str">
            <v/>
          </cell>
          <cell r="G510" t="str">
            <v>F</v>
          </cell>
          <cell r="H510">
            <v>0</v>
          </cell>
        </row>
        <row r="511">
          <cell r="A511" t="str">
            <v>1;06;B;P;</v>
          </cell>
          <cell r="B511">
            <v>730069</v>
          </cell>
          <cell r="C511" t="str">
            <v>B</v>
          </cell>
          <cell r="D511" t="str">
            <v>BALEARES</v>
          </cell>
          <cell r="E511" t="str">
            <v>06</v>
          </cell>
          <cell r="F511" t="str">
            <v/>
          </cell>
          <cell r="G511" t="str">
            <v>P</v>
          </cell>
          <cell r="H511">
            <v>0</v>
          </cell>
        </row>
        <row r="512">
          <cell r="A512" t="str">
            <v>1;06;B;E;</v>
          </cell>
          <cell r="B512">
            <v>730069</v>
          </cell>
          <cell r="C512" t="str">
            <v>B</v>
          </cell>
          <cell r="D512" t="str">
            <v>BALEARES</v>
          </cell>
          <cell r="E512" t="str">
            <v>06</v>
          </cell>
          <cell r="F512" t="str">
            <v/>
          </cell>
          <cell r="G512" t="str">
            <v>E</v>
          </cell>
          <cell r="H512">
            <v>0</v>
          </cell>
        </row>
        <row r="513">
          <cell r="A513" t="str">
            <v>1;07;B;B;BAG</v>
          </cell>
          <cell r="B513">
            <v>730069</v>
          </cell>
          <cell r="C513" t="str">
            <v>B</v>
          </cell>
          <cell r="D513" t="str">
            <v>BALEARES</v>
          </cell>
          <cell r="E513" t="str">
            <v>07</v>
          </cell>
          <cell r="F513" t="str">
            <v>BAG</v>
          </cell>
          <cell r="G513" t="str">
            <v>B</v>
          </cell>
          <cell r="H513">
            <v>0</v>
          </cell>
        </row>
        <row r="514">
          <cell r="A514" t="str">
            <v>1;07;B;B;DOCS</v>
          </cell>
          <cell r="B514">
            <v>730069</v>
          </cell>
          <cell r="C514" t="str">
            <v>B</v>
          </cell>
          <cell r="D514" t="str">
            <v>BALEARES</v>
          </cell>
          <cell r="E514" t="str">
            <v>07</v>
          </cell>
          <cell r="F514" t="str">
            <v>DOCS</v>
          </cell>
          <cell r="G514" t="str">
            <v>B</v>
          </cell>
          <cell r="H514">
            <v>0</v>
          </cell>
        </row>
        <row r="515">
          <cell r="A515" t="str">
            <v>1;07;B;B;PAQ00a02</v>
          </cell>
          <cell r="B515">
            <v>730069</v>
          </cell>
          <cell r="C515" t="str">
            <v>B</v>
          </cell>
          <cell r="D515" t="str">
            <v>BALEARES</v>
          </cell>
          <cell r="E515" t="str">
            <v>07</v>
          </cell>
          <cell r="F515" t="str">
            <v>PAQ00a02</v>
          </cell>
          <cell r="G515" t="str">
            <v>B</v>
          </cell>
          <cell r="H515">
            <v>0</v>
          </cell>
        </row>
        <row r="516">
          <cell r="A516" t="str">
            <v>1;07;B;B;PAQ02a04</v>
          </cell>
          <cell r="B516">
            <v>730069</v>
          </cell>
          <cell r="C516" t="str">
            <v>B</v>
          </cell>
          <cell r="D516" t="str">
            <v>BALEARES</v>
          </cell>
          <cell r="E516" t="str">
            <v>07</v>
          </cell>
          <cell r="F516" t="str">
            <v>PAQ02a04</v>
          </cell>
          <cell r="G516" t="str">
            <v>B</v>
          </cell>
          <cell r="H516">
            <v>0</v>
          </cell>
        </row>
        <row r="517">
          <cell r="A517" t="str">
            <v>1;07;B;B;PAQ04a06</v>
          </cell>
          <cell r="B517">
            <v>730069</v>
          </cell>
          <cell r="C517" t="str">
            <v>B</v>
          </cell>
          <cell r="D517" t="str">
            <v>BALEARES</v>
          </cell>
          <cell r="E517" t="str">
            <v>07</v>
          </cell>
          <cell r="F517" t="str">
            <v>PAQ04a06</v>
          </cell>
          <cell r="G517" t="str">
            <v>B</v>
          </cell>
          <cell r="H517">
            <v>0</v>
          </cell>
        </row>
        <row r="518">
          <cell r="A518" t="str">
            <v>1;07;B;B;PAQ06a08</v>
          </cell>
          <cell r="B518">
            <v>730069</v>
          </cell>
          <cell r="C518" t="str">
            <v>B</v>
          </cell>
          <cell r="D518" t="str">
            <v>BALEARES</v>
          </cell>
          <cell r="E518" t="str">
            <v>07</v>
          </cell>
          <cell r="F518" t="str">
            <v>PAQ06a08</v>
          </cell>
          <cell r="G518" t="str">
            <v>B</v>
          </cell>
          <cell r="H518">
            <v>0</v>
          </cell>
        </row>
        <row r="519">
          <cell r="A519" t="str">
            <v>1;07;B;B;PAQ08a10</v>
          </cell>
          <cell r="B519">
            <v>730069</v>
          </cell>
          <cell r="C519" t="str">
            <v>B</v>
          </cell>
          <cell r="D519" t="str">
            <v>BALEARES</v>
          </cell>
          <cell r="E519" t="str">
            <v>07</v>
          </cell>
          <cell r="F519" t="str">
            <v>PAQ08a10</v>
          </cell>
          <cell r="G519" t="str">
            <v>B</v>
          </cell>
          <cell r="H519">
            <v>0</v>
          </cell>
        </row>
        <row r="520">
          <cell r="A520" t="str">
            <v>1;07;B;B;PAQ10a12</v>
          </cell>
          <cell r="B520">
            <v>730069</v>
          </cell>
          <cell r="C520" t="str">
            <v>B</v>
          </cell>
          <cell r="D520" t="str">
            <v>BALEARES</v>
          </cell>
          <cell r="E520" t="str">
            <v>07</v>
          </cell>
          <cell r="F520" t="str">
            <v>PAQ10a12</v>
          </cell>
          <cell r="G520" t="str">
            <v>B</v>
          </cell>
          <cell r="H520">
            <v>0</v>
          </cell>
        </row>
        <row r="521">
          <cell r="A521" t="str">
            <v>1;07;B;B;PAQ12a14</v>
          </cell>
          <cell r="B521">
            <v>730069</v>
          </cell>
          <cell r="C521" t="str">
            <v>B</v>
          </cell>
          <cell r="D521" t="str">
            <v>BALEARES</v>
          </cell>
          <cell r="E521" t="str">
            <v>07</v>
          </cell>
          <cell r="F521" t="str">
            <v>PAQ12a14</v>
          </cell>
          <cell r="G521" t="str">
            <v>B</v>
          </cell>
          <cell r="H521">
            <v>0</v>
          </cell>
        </row>
        <row r="522">
          <cell r="A522" t="str">
            <v>1;07;B;B;PAQ14a16</v>
          </cell>
          <cell r="B522">
            <v>730069</v>
          </cell>
          <cell r="C522" t="str">
            <v>B</v>
          </cell>
          <cell r="D522" t="str">
            <v>BALEARES</v>
          </cell>
          <cell r="E522" t="str">
            <v>07</v>
          </cell>
          <cell r="F522" t="str">
            <v>PAQ14a16</v>
          </cell>
          <cell r="G522" t="str">
            <v>B</v>
          </cell>
          <cell r="H522">
            <v>0</v>
          </cell>
        </row>
        <row r="523">
          <cell r="A523" t="str">
            <v>1;07;B;B;PAQ16a18</v>
          </cell>
          <cell r="B523">
            <v>730069</v>
          </cell>
          <cell r="C523" t="str">
            <v>B</v>
          </cell>
          <cell r="D523" t="str">
            <v>BALEARES</v>
          </cell>
          <cell r="E523" t="str">
            <v>07</v>
          </cell>
          <cell r="F523" t="str">
            <v>PAQ16a18</v>
          </cell>
          <cell r="G523" t="str">
            <v>B</v>
          </cell>
          <cell r="H523">
            <v>0</v>
          </cell>
        </row>
        <row r="524">
          <cell r="A524" t="str">
            <v>1;07;B;B;PAQ18a20</v>
          </cell>
          <cell r="B524">
            <v>730069</v>
          </cell>
          <cell r="C524" t="str">
            <v>B</v>
          </cell>
          <cell r="D524" t="str">
            <v>BALEARES</v>
          </cell>
          <cell r="E524" t="str">
            <v>07</v>
          </cell>
          <cell r="F524" t="str">
            <v>PAQ18a20</v>
          </cell>
          <cell r="G524" t="str">
            <v>B</v>
          </cell>
          <cell r="H524">
            <v>0</v>
          </cell>
        </row>
        <row r="525">
          <cell r="A525" t="str">
            <v>1;07;B;B;PAQ20a22</v>
          </cell>
          <cell r="B525">
            <v>730069</v>
          </cell>
          <cell r="C525" t="str">
            <v>B</v>
          </cell>
          <cell r="D525" t="str">
            <v>BALEARES</v>
          </cell>
          <cell r="E525" t="str">
            <v>07</v>
          </cell>
          <cell r="F525" t="str">
            <v>PAQ20a22</v>
          </cell>
          <cell r="G525" t="str">
            <v>B</v>
          </cell>
          <cell r="H525">
            <v>0</v>
          </cell>
        </row>
        <row r="526">
          <cell r="A526" t="str">
            <v>1;07;B;B;PAQ22a24</v>
          </cell>
          <cell r="B526">
            <v>730069</v>
          </cell>
          <cell r="C526" t="str">
            <v>B</v>
          </cell>
          <cell r="D526" t="str">
            <v>BALEARES</v>
          </cell>
          <cell r="E526" t="str">
            <v>07</v>
          </cell>
          <cell r="F526" t="str">
            <v>PAQ22a24</v>
          </cell>
          <cell r="G526" t="str">
            <v>B</v>
          </cell>
          <cell r="H526">
            <v>0</v>
          </cell>
        </row>
        <row r="527">
          <cell r="A527" t="str">
            <v>1;07;B;B;PAQ24a26</v>
          </cell>
          <cell r="B527">
            <v>730069</v>
          </cell>
          <cell r="C527" t="str">
            <v>B</v>
          </cell>
          <cell r="D527" t="str">
            <v>BALEARES</v>
          </cell>
          <cell r="E527" t="str">
            <v>07</v>
          </cell>
          <cell r="F527" t="str">
            <v>PAQ24a26</v>
          </cell>
          <cell r="G527" t="str">
            <v>B</v>
          </cell>
          <cell r="H527">
            <v>0</v>
          </cell>
        </row>
        <row r="528">
          <cell r="A528" t="str">
            <v>1;07;B;B;PAQ26a28</v>
          </cell>
          <cell r="B528">
            <v>730069</v>
          </cell>
          <cell r="C528" t="str">
            <v>B</v>
          </cell>
          <cell r="D528" t="str">
            <v>BALEARES</v>
          </cell>
          <cell r="E528" t="str">
            <v>07</v>
          </cell>
          <cell r="F528" t="str">
            <v>PAQ26a28</v>
          </cell>
          <cell r="G528" t="str">
            <v>B</v>
          </cell>
          <cell r="H528">
            <v>0</v>
          </cell>
        </row>
        <row r="529">
          <cell r="A529" t="str">
            <v>1;07;B;B;PAQ28a30</v>
          </cell>
          <cell r="B529">
            <v>730069</v>
          </cell>
          <cell r="C529" t="str">
            <v>B</v>
          </cell>
          <cell r="D529" t="str">
            <v>BALEARES</v>
          </cell>
          <cell r="E529" t="str">
            <v>07</v>
          </cell>
          <cell r="F529" t="str">
            <v>PAQ28a30</v>
          </cell>
          <cell r="G529" t="str">
            <v>B</v>
          </cell>
          <cell r="H529">
            <v>0</v>
          </cell>
        </row>
        <row r="530">
          <cell r="A530" t="str">
            <v>1;07;B;B;PAQ30a32</v>
          </cell>
          <cell r="B530">
            <v>730069</v>
          </cell>
          <cell r="C530" t="str">
            <v>B</v>
          </cell>
          <cell r="D530" t="str">
            <v>BALEARES</v>
          </cell>
          <cell r="E530" t="str">
            <v>07</v>
          </cell>
          <cell r="F530" t="str">
            <v>PAQ30a32</v>
          </cell>
          <cell r="G530" t="str">
            <v>B</v>
          </cell>
          <cell r="H530">
            <v>0</v>
          </cell>
        </row>
        <row r="531">
          <cell r="A531" t="str">
            <v>1;07;B;B;PAQ32a34</v>
          </cell>
          <cell r="B531">
            <v>730069</v>
          </cell>
          <cell r="C531" t="str">
            <v>B</v>
          </cell>
          <cell r="D531" t="str">
            <v>BALEARES</v>
          </cell>
          <cell r="E531" t="str">
            <v>07</v>
          </cell>
          <cell r="F531" t="str">
            <v>PAQ32a34</v>
          </cell>
          <cell r="G531" t="str">
            <v>B</v>
          </cell>
          <cell r="H531">
            <v>0</v>
          </cell>
        </row>
        <row r="532">
          <cell r="A532" t="str">
            <v>1;07;B;B;PAQ34a36</v>
          </cell>
          <cell r="B532">
            <v>730069</v>
          </cell>
          <cell r="C532" t="str">
            <v>B</v>
          </cell>
          <cell r="D532" t="str">
            <v>BALEARES</v>
          </cell>
          <cell r="E532" t="str">
            <v>07</v>
          </cell>
          <cell r="F532" t="str">
            <v>PAQ34a36</v>
          </cell>
          <cell r="G532" t="str">
            <v>B</v>
          </cell>
          <cell r="H532">
            <v>0</v>
          </cell>
        </row>
        <row r="533">
          <cell r="A533" t="str">
            <v>1;07;B;B;PAQ36a38</v>
          </cell>
          <cell r="B533">
            <v>730069</v>
          </cell>
          <cell r="C533" t="str">
            <v>B</v>
          </cell>
          <cell r="D533" t="str">
            <v>BALEARES</v>
          </cell>
          <cell r="E533" t="str">
            <v>07</v>
          </cell>
          <cell r="F533" t="str">
            <v>PAQ36a38</v>
          </cell>
          <cell r="G533" t="str">
            <v>B</v>
          </cell>
          <cell r="H533">
            <v>0</v>
          </cell>
        </row>
        <row r="534">
          <cell r="A534" t="str">
            <v>1;07;B;B;PAQ38a40</v>
          </cell>
          <cell r="B534">
            <v>730069</v>
          </cell>
          <cell r="C534" t="str">
            <v>B</v>
          </cell>
          <cell r="D534" t="str">
            <v>BALEARES</v>
          </cell>
          <cell r="E534" t="str">
            <v>07</v>
          </cell>
          <cell r="F534" t="str">
            <v>PAQ38a40</v>
          </cell>
          <cell r="G534" t="str">
            <v>B</v>
          </cell>
          <cell r="H534">
            <v>0</v>
          </cell>
        </row>
        <row r="535">
          <cell r="A535" t="str">
            <v>1;07;B;F;</v>
          </cell>
          <cell r="B535">
            <v>730069</v>
          </cell>
          <cell r="C535" t="str">
            <v>B</v>
          </cell>
          <cell r="D535" t="str">
            <v>BALEARES</v>
          </cell>
          <cell r="E535" t="str">
            <v>07</v>
          </cell>
          <cell r="F535" t="str">
            <v/>
          </cell>
          <cell r="G535" t="str">
            <v>F</v>
          </cell>
          <cell r="H535">
            <v>0</v>
          </cell>
        </row>
        <row r="536">
          <cell r="A536" t="str">
            <v>1;07;B;P;</v>
          </cell>
          <cell r="B536">
            <v>730069</v>
          </cell>
          <cell r="C536" t="str">
            <v>B</v>
          </cell>
          <cell r="D536" t="str">
            <v>BALEARES</v>
          </cell>
          <cell r="E536" t="str">
            <v>07</v>
          </cell>
          <cell r="F536" t="str">
            <v/>
          </cell>
          <cell r="G536" t="str">
            <v>P</v>
          </cell>
          <cell r="H536">
            <v>0</v>
          </cell>
        </row>
        <row r="537">
          <cell r="A537" t="str">
            <v>1;07;B;E;</v>
          </cell>
          <cell r="B537">
            <v>730069</v>
          </cell>
          <cell r="C537" t="str">
            <v>B</v>
          </cell>
          <cell r="D537" t="str">
            <v>BALEARES</v>
          </cell>
          <cell r="E537" t="str">
            <v>07</v>
          </cell>
          <cell r="F537" t="str">
            <v/>
          </cell>
          <cell r="G537" t="str">
            <v>E</v>
          </cell>
          <cell r="H537">
            <v>0</v>
          </cell>
        </row>
        <row r="538">
          <cell r="A538" t="str">
            <v>1;08;B;B;BAG</v>
          </cell>
          <cell r="B538">
            <v>730069</v>
          </cell>
          <cell r="C538" t="str">
            <v>B</v>
          </cell>
          <cell r="D538" t="str">
            <v>BALEARES</v>
          </cell>
          <cell r="E538" t="str">
            <v>08</v>
          </cell>
          <cell r="F538" t="str">
            <v>BAG</v>
          </cell>
          <cell r="G538" t="str">
            <v>B</v>
          </cell>
          <cell r="H538">
            <v>13.92</v>
          </cell>
        </row>
        <row r="539">
          <cell r="A539" t="str">
            <v>1;08;B;B;DOCS</v>
          </cell>
          <cell r="B539">
            <v>730069</v>
          </cell>
          <cell r="C539" t="str">
            <v>B</v>
          </cell>
          <cell r="D539" t="str">
            <v>BALEARES</v>
          </cell>
          <cell r="E539" t="str">
            <v>08</v>
          </cell>
          <cell r="F539" t="str">
            <v>DOCS</v>
          </cell>
          <cell r="G539" t="str">
            <v>B</v>
          </cell>
          <cell r="H539">
            <v>8.4700000000000006</v>
          </cell>
        </row>
        <row r="540">
          <cell r="A540" t="str">
            <v>1;08;B;B;PAQ00a02</v>
          </cell>
          <cell r="B540">
            <v>730069</v>
          </cell>
          <cell r="C540" t="str">
            <v>B</v>
          </cell>
          <cell r="D540" t="str">
            <v>BALEARES</v>
          </cell>
          <cell r="E540" t="str">
            <v>08</v>
          </cell>
          <cell r="F540" t="str">
            <v>PAQ00a02</v>
          </cell>
          <cell r="G540" t="str">
            <v>B</v>
          </cell>
          <cell r="H540">
            <v>16.47</v>
          </cell>
        </row>
        <row r="541">
          <cell r="A541" t="str">
            <v>1;08;B;B;PAQ02a04</v>
          </cell>
          <cell r="B541">
            <v>730069</v>
          </cell>
          <cell r="C541" t="str">
            <v>B</v>
          </cell>
          <cell r="D541" t="str">
            <v>BALEARES</v>
          </cell>
          <cell r="E541" t="str">
            <v>08</v>
          </cell>
          <cell r="F541" t="str">
            <v>PAQ02a04</v>
          </cell>
          <cell r="G541" t="str">
            <v>B</v>
          </cell>
          <cell r="H541">
            <v>21.74</v>
          </cell>
        </row>
        <row r="542">
          <cell r="A542" t="str">
            <v>1;08;B;B;PAQ04a06</v>
          </cell>
          <cell r="B542">
            <v>730069</v>
          </cell>
          <cell r="C542" t="str">
            <v>B</v>
          </cell>
          <cell r="D542" t="str">
            <v>BALEARES</v>
          </cell>
          <cell r="E542" t="str">
            <v>08</v>
          </cell>
          <cell r="F542" t="str">
            <v>PAQ04a06</v>
          </cell>
          <cell r="G542" t="str">
            <v>B</v>
          </cell>
          <cell r="H542">
            <v>27</v>
          </cell>
        </row>
        <row r="543">
          <cell r="A543" t="str">
            <v>1;08;B;B;PAQ06a08</v>
          </cell>
          <cell r="B543">
            <v>730069</v>
          </cell>
          <cell r="C543" t="str">
            <v>B</v>
          </cell>
          <cell r="D543" t="str">
            <v>BALEARES</v>
          </cell>
          <cell r="E543" t="str">
            <v>08</v>
          </cell>
          <cell r="F543" t="str">
            <v>PAQ06a08</v>
          </cell>
          <cell r="G543" t="str">
            <v>B</v>
          </cell>
          <cell r="H543">
            <v>32.270000000000003</v>
          </cell>
        </row>
        <row r="544">
          <cell r="A544" t="str">
            <v>1;08;B;B;PAQ08a10</v>
          </cell>
          <cell r="B544">
            <v>730069</v>
          </cell>
          <cell r="C544" t="str">
            <v>B</v>
          </cell>
          <cell r="D544" t="str">
            <v>BALEARES</v>
          </cell>
          <cell r="E544" t="str">
            <v>08</v>
          </cell>
          <cell r="F544" t="str">
            <v>PAQ08a10</v>
          </cell>
          <cell r="G544" t="str">
            <v>B</v>
          </cell>
          <cell r="H544">
            <v>37.54</v>
          </cell>
        </row>
        <row r="545">
          <cell r="A545" t="str">
            <v>1;08;B;B;PAQ10a12</v>
          </cell>
          <cell r="B545">
            <v>730069</v>
          </cell>
          <cell r="C545" t="str">
            <v>B</v>
          </cell>
          <cell r="D545" t="str">
            <v>BALEARES</v>
          </cell>
          <cell r="E545" t="str">
            <v>08</v>
          </cell>
          <cell r="F545" t="str">
            <v>PAQ10a12</v>
          </cell>
          <cell r="G545" t="str">
            <v>B</v>
          </cell>
          <cell r="H545">
            <v>42.81</v>
          </cell>
        </row>
        <row r="546">
          <cell r="A546" t="str">
            <v>1;08;B;B;PAQ12a14</v>
          </cell>
          <cell r="B546">
            <v>730069</v>
          </cell>
          <cell r="C546" t="str">
            <v>B</v>
          </cell>
          <cell r="D546" t="str">
            <v>BALEARES</v>
          </cell>
          <cell r="E546" t="str">
            <v>08</v>
          </cell>
          <cell r="F546" t="str">
            <v>PAQ12a14</v>
          </cell>
          <cell r="G546" t="str">
            <v>B</v>
          </cell>
          <cell r="H546">
            <v>48.08</v>
          </cell>
        </row>
        <row r="547">
          <cell r="A547" t="str">
            <v>1;08;B;B;PAQ14a16</v>
          </cell>
          <cell r="B547">
            <v>730069</v>
          </cell>
          <cell r="C547" t="str">
            <v>B</v>
          </cell>
          <cell r="D547" t="str">
            <v>BALEARES</v>
          </cell>
          <cell r="E547" t="str">
            <v>08</v>
          </cell>
          <cell r="F547" t="str">
            <v>PAQ14a16</v>
          </cell>
          <cell r="G547" t="str">
            <v>B</v>
          </cell>
          <cell r="H547">
            <v>53.35</v>
          </cell>
        </row>
        <row r="548">
          <cell r="A548" t="str">
            <v>1;08;B;B;PAQ16a18</v>
          </cell>
          <cell r="B548">
            <v>730069</v>
          </cell>
          <cell r="C548" t="str">
            <v>B</v>
          </cell>
          <cell r="D548" t="str">
            <v>BALEARES</v>
          </cell>
          <cell r="E548" t="str">
            <v>08</v>
          </cell>
          <cell r="F548" t="str">
            <v>PAQ16a18</v>
          </cell>
          <cell r="G548" t="str">
            <v>B</v>
          </cell>
          <cell r="H548">
            <v>58.62</v>
          </cell>
        </row>
        <row r="549">
          <cell r="A549" t="str">
            <v>1;08;B;B;PAQ18a20</v>
          </cell>
          <cell r="B549">
            <v>730069</v>
          </cell>
          <cell r="C549" t="str">
            <v>B</v>
          </cell>
          <cell r="D549" t="str">
            <v>BALEARES</v>
          </cell>
          <cell r="E549" t="str">
            <v>08</v>
          </cell>
          <cell r="F549" t="str">
            <v>PAQ18a20</v>
          </cell>
          <cell r="G549" t="str">
            <v>B</v>
          </cell>
          <cell r="H549">
            <v>63.89</v>
          </cell>
        </row>
        <row r="550">
          <cell r="A550" t="str">
            <v>1;08;B;B;PAQ20a22</v>
          </cell>
          <cell r="B550">
            <v>730069</v>
          </cell>
          <cell r="C550" t="str">
            <v>B</v>
          </cell>
          <cell r="D550" t="str">
            <v>BALEARES</v>
          </cell>
          <cell r="E550" t="str">
            <v>08</v>
          </cell>
          <cell r="F550" t="str">
            <v>PAQ20a22</v>
          </cell>
          <cell r="G550" t="str">
            <v>B</v>
          </cell>
          <cell r="H550">
            <v>69.16</v>
          </cell>
        </row>
        <row r="551">
          <cell r="A551" t="str">
            <v>1;08;B;B;PAQ22a24</v>
          </cell>
          <cell r="B551">
            <v>730069</v>
          </cell>
          <cell r="C551" t="str">
            <v>B</v>
          </cell>
          <cell r="D551" t="str">
            <v>BALEARES</v>
          </cell>
          <cell r="E551" t="str">
            <v>08</v>
          </cell>
          <cell r="F551" t="str">
            <v>PAQ22a24</v>
          </cell>
          <cell r="G551" t="str">
            <v>B</v>
          </cell>
          <cell r="H551">
            <v>74.430000000000007</v>
          </cell>
        </row>
        <row r="552">
          <cell r="A552" t="str">
            <v>1;08;B;B;PAQ24a26</v>
          </cell>
          <cell r="B552">
            <v>730069</v>
          </cell>
          <cell r="C552" t="str">
            <v>B</v>
          </cell>
          <cell r="D552" t="str">
            <v>BALEARES</v>
          </cell>
          <cell r="E552" t="str">
            <v>08</v>
          </cell>
          <cell r="F552" t="str">
            <v>PAQ24a26</v>
          </cell>
          <cell r="G552" t="str">
            <v>B</v>
          </cell>
          <cell r="H552">
            <v>79.7</v>
          </cell>
        </row>
        <row r="553">
          <cell r="A553" t="str">
            <v>1;08;B;B;PAQ26a28</v>
          </cell>
          <cell r="B553">
            <v>730069</v>
          </cell>
          <cell r="C553" t="str">
            <v>B</v>
          </cell>
          <cell r="D553" t="str">
            <v>BALEARES</v>
          </cell>
          <cell r="E553" t="str">
            <v>08</v>
          </cell>
          <cell r="F553" t="str">
            <v>PAQ26a28</v>
          </cell>
          <cell r="G553" t="str">
            <v>B</v>
          </cell>
          <cell r="H553">
            <v>84.97</v>
          </cell>
        </row>
        <row r="554">
          <cell r="A554" t="str">
            <v>1;08;B;B;PAQ28a30</v>
          </cell>
          <cell r="B554">
            <v>730069</v>
          </cell>
          <cell r="C554" t="str">
            <v>B</v>
          </cell>
          <cell r="D554" t="str">
            <v>BALEARES</v>
          </cell>
          <cell r="E554" t="str">
            <v>08</v>
          </cell>
          <cell r="F554" t="str">
            <v>PAQ28a30</v>
          </cell>
          <cell r="G554" t="str">
            <v>B</v>
          </cell>
          <cell r="H554">
            <v>90.24</v>
          </cell>
        </row>
        <row r="555">
          <cell r="A555" t="str">
            <v>1;08;B;B;PAQ30a32</v>
          </cell>
          <cell r="B555">
            <v>730069</v>
          </cell>
          <cell r="C555" t="str">
            <v>B</v>
          </cell>
          <cell r="D555" t="str">
            <v>BALEARES</v>
          </cell>
          <cell r="E555" t="str">
            <v>08</v>
          </cell>
          <cell r="F555" t="str">
            <v>PAQ30a32</v>
          </cell>
          <cell r="G555" t="str">
            <v>B</v>
          </cell>
          <cell r="H555">
            <v>95.51</v>
          </cell>
        </row>
        <row r="556">
          <cell r="A556" t="str">
            <v>1;08;B;B;PAQ32a34</v>
          </cell>
          <cell r="B556">
            <v>730069</v>
          </cell>
          <cell r="C556" t="str">
            <v>B</v>
          </cell>
          <cell r="D556" t="str">
            <v>BALEARES</v>
          </cell>
          <cell r="E556" t="str">
            <v>08</v>
          </cell>
          <cell r="F556" t="str">
            <v>PAQ32a34</v>
          </cell>
          <cell r="G556" t="str">
            <v>B</v>
          </cell>
          <cell r="H556">
            <v>100.78</v>
          </cell>
        </row>
        <row r="557">
          <cell r="A557" t="str">
            <v>1;08;B;B;PAQ34a36</v>
          </cell>
          <cell r="B557">
            <v>730069</v>
          </cell>
          <cell r="C557" t="str">
            <v>B</v>
          </cell>
          <cell r="D557" t="str">
            <v>BALEARES</v>
          </cell>
          <cell r="E557" t="str">
            <v>08</v>
          </cell>
          <cell r="F557" t="str">
            <v>PAQ34a36</v>
          </cell>
          <cell r="G557" t="str">
            <v>B</v>
          </cell>
          <cell r="H557">
            <v>106.05</v>
          </cell>
        </row>
        <row r="558">
          <cell r="A558" t="str">
            <v>1;08;B;B;PAQ36a38</v>
          </cell>
          <cell r="B558">
            <v>730069</v>
          </cell>
          <cell r="C558" t="str">
            <v>B</v>
          </cell>
          <cell r="D558" t="str">
            <v>BALEARES</v>
          </cell>
          <cell r="E558" t="str">
            <v>08</v>
          </cell>
          <cell r="F558" t="str">
            <v>PAQ36a38</v>
          </cell>
          <cell r="G558" t="str">
            <v>B</v>
          </cell>
          <cell r="H558">
            <v>111.32</v>
          </cell>
        </row>
        <row r="559">
          <cell r="A559" t="str">
            <v>1;08;B;B;PAQ38a40</v>
          </cell>
          <cell r="B559">
            <v>730069</v>
          </cell>
          <cell r="C559" t="str">
            <v>B</v>
          </cell>
          <cell r="D559" t="str">
            <v>BALEARES</v>
          </cell>
          <cell r="E559" t="str">
            <v>08</v>
          </cell>
          <cell r="F559" t="str">
            <v>PAQ38a40</v>
          </cell>
          <cell r="G559" t="str">
            <v>B</v>
          </cell>
          <cell r="H559">
            <v>116.59</v>
          </cell>
        </row>
        <row r="560">
          <cell r="A560" t="str">
            <v>1;08;B;F;</v>
          </cell>
          <cell r="B560">
            <v>730069</v>
          </cell>
          <cell r="C560" t="str">
            <v>B</v>
          </cell>
          <cell r="D560" t="str">
            <v>BALEARES</v>
          </cell>
          <cell r="E560" t="str">
            <v>08</v>
          </cell>
          <cell r="F560" t="str">
            <v/>
          </cell>
          <cell r="G560" t="str">
            <v>F</v>
          </cell>
          <cell r="H560">
            <v>5.27</v>
          </cell>
        </row>
        <row r="561">
          <cell r="A561" t="str">
            <v>1;08;B;P;</v>
          </cell>
          <cell r="B561">
            <v>730069</v>
          </cell>
          <cell r="C561" t="str">
            <v>B</v>
          </cell>
          <cell r="D561" t="str">
            <v>BALEARES</v>
          </cell>
          <cell r="E561" t="str">
            <v>08</v>
          </cell>
          <cell r="F561" t="str">
            <v/>
          </cell>
          <cell r="G561" t="str">
            <v>P</v>
          </cell>
          <cell r="H561">
            <v>0</v>
          </cell>
        </row>
        <row r="562">
          <cell r="A562" t="str">
            <v>1;08;B;E;</v>
          </cell>
          <cell r="B562">
            <v>730069</v>
          </cell>
          <cell r="C562" t="str">
            <v>B</v>
          </cell>
          <cell r="D562" t="str">
            <v>BALEARES</v>
          </cell>
          <cell r="E562" t="str">
            <v>08</v>
          </cell>
          <cell r="F562" t="str">
            <v/>
          </cell>
          <cell r="G562" t="str">
            <v>E</v>
          </cell>
          <cell r="H562">
            <v>0</v>
          </cell>
        </row>
        <row r="563">
          <cell r="A563" t="str">
            <v>1;10;B;B;BAG</v>
          </cell>
          <cell r="B563">
            <v>730069</v>
          </cell>
          <cell r="C563" t="str">
            <v>B</v>
          </cell>
          <cell r="D563" t="str">
            <v>BALEARES</v>
          </cell>
          <cell r="E563" t="str">
            <v>10</v>
          </cell>
          <cell r="F563" t="str">
            <v>BAG</v>
          </cell>
          <cell r="G563" t="str">
            <v>B</v>
          </cell>
          <cell r="H563">
            <v>1.7</v>
          </cell>
        </row>
        <row r="564">
          <cell r="A564" t="str">
            <v>1;10;B;B;DOCS</v>
          </cell>
          <cell r="B564">
            <v>730069</v>
          </cell>
          <cell r="C564" t="str">
            <v>B</v>
          </cell>
          <cell r="D564" t="str">
            <v>BALEARES</v>
          </cell>
          <cell r="E564" t="str">
            <v>10</v>
          </cell>
          <cell r="F564" t="str">
            <v>DOCS</v>
          </cell>
          <cell r="G564" t="str">
            <v>B</v>
          </cell>
          <cell r="H564">
            <v>1.7</v>
          </cell>
        </row>
        <row r="565">
          <cell r="A565" t="str">
            <v>1;11;B;B;BAG</v>
          </cell>
          <cell r="B565">
            <v>730069</v>
          </cell>
          <cell r="C565" t="str">
            <v>B</v>
          </cell>
          <cell r="D565" t="str">
            <v>BALEARES</v>
          </cell>
          <cell r="E565" t="str">
            <v>11</v>
          </cell>
          <cell r="F565" t="str">
            <v>BAG</v>
          </cell>
          <cell r="G565" t="str">
            <v>B</v>
          </cell>
          <cell r="H565">
            <v>30.84</v>
          </cell>
        </row>
        <row r="566">
          <cell r="A566" t="str">
            <v>1;11;B;B;DOCS</v>
          </cell>
          <cell r="B566">
            <v>730069</v>
          </cell>
          <cell r="C566" t="str">
            <v>B</v>
          </cell>
          <cell r="D566" t="str">
            <v>BALEARES</v>
          </cell>
          <cell r="E566" t="str">
            <v>11</v>
          </cell>
          <cell r="F566" t="str">
            <v>DOCS</v>
          </cell>
          <cell r="G566" t="str">
            <v>B</v>
          </cell>
          <cell r="H566">
            <v>25.66</v>
          </cell>
        </row>
        <row r="567">
          <cell r="A567" t="str">
            <v>1;11;B;B;PAQ00a02</v>
          </cell>
          <cell r="B567">
            <v>730069</v>
          </cell>
          <cell r="C567" t="str">
            <v>B</v>
          </cell>
          <cell r="D567" t="str">
            <v>BALEARES</v>
          </cell>
          <cell r="E567" t="str">
            <v>11</v>
          </cell>
          <cell r="F567" t="str">
            <v>PAQ00a02</v>
          </cell>
          <cell r="G567" t="str">
            <v>B</v>
          </cell>
          <cell r="H567">
            <v>35.549999999999997</v>
          </cell>
        </row>
        <row r="568">
          <cell r="A568" t="str">
            <v>1;11;B;B;PAQ02a04</v>
          </cell>
          <cell r="B568">
            <v>730069</v>
          </cell>
          <cell r="C568" t="str">
            <v>B</v>
          </cell>
          <cell r="D568" t="str">
            <v>BALEARES</v>
          </cell>
          <cell r="E568" t="str">
            <v>11</v>
          </cell>
          <cell r="F568" t="str">
            <v>PAQ02a04</v>
          </cell>
          <cell r="G568" t="str">
            <v>B</v>
          </cell>
          <cell r="H568">
            <v>53.5</v>
          </cell>
        </row>
        <row r="569">
          <cell r="A569" t="str">
            <v>1;11;B;B;PAQ04a06</v>
          </cell>
          <cell r="B569">
            <v>730069</v>
          </cell>
          <cell r="C569" t="str">
            <v>B</v>
          </cell>
          <cell r="D569" t="str">
            <v>BALEARES</v>
          </cell>
          <cell r="E569" t="str">
            <v>11</v>
          </cell>
          <cell r="F569" t="str">
            <v>PAQ04a06</v>
          </cell>
          <cell r="G569" t="str">
            <v>B</v>
          </cell>
          <cell r="H569">
            <v>73.5</v>
          </cell>
        </row>
        <row r="570">
          <cell r="A570" t="str">
            <v>1;11;B;B;PAQ06a08</v>
          </cell>
          <cell r="B570">
            <v>730069</v>
          </cell>
          <cell r="C570" t="str">
            <v>B</v>
          </cell>
          <cell r="D570" t="str">
            <v>BALEARES</v>
          </cell>
          <cell r="E570" t="str">
            <v>11</v>
          </cell>
          <cell r="F570" t="str">
            <v>PAQ06a08</v>
          </cell>
          <cell r="G570" t="str">
            <v>B</v>
          </cell>
          <cell r="H570">
            <v>93.51</v>
          </cell>
        </row>
        <row r="571">
          <cell r="A571" t="str">
            <v>1;11;B;B;PAQ08a10</v>
          </cell>
          <cell r="B571">
            <v>730069</v>
          </cell>
          <cell r="C571" t="str">
            <v>B</v>
          </cell>
          <cell r="D571" t="str">
            <v>BALEARES</v>
          </cell>
          <cell r="E571" t="str">
            <v>11</v>
          </cell>
          <cell r="F571" t="str">
            <v>PAQ08a10</v>
          </cell>
          <cell r="G571" t="str">
            <v>B</v>
          </cell>
          <cell r="H571">
            <v>113.53</v>
          </cell>
        </row>
        <row r="572">
          <cell r="A572" t="str">
            <v>1;11;B;B;PAQ10a12</v>
          </cell>
          <cell r="B572">
            <v>730069</v>
          </cell>
          <cell r="C572" t="str">
            <v>B</v>
          </cell>
          <cell r="D572" t="str">
            <v>BALEARES</v>
          </cell>
          <cell r="E572" t="str">
            <v>11</v>
          </cell>
          <cell r="F572" t="str">
            <v>PAQ10a12</v>
          </cell>
          <cell r="G572" t="str">
            <v>B</v>
          </cell>
          <cell r="H572">
            <v>133.54</v>
          </cell>
        </row>
        <row r="573">
          <cell r="A573" t="str">
            <v>1;11;B;B;PAQ12a14</v>
          </cell>
          <cell r="B573">
            <v>730069</v>
          </cell>
          <cell r="C573" t="str">
            <v>B</v>
          </cell>
          <cell r="D573" t="str">
            <v>BALEARES</v>
          </cell>
          <cell r="E573" t="str">
            <v>11</v>
          </cell>
          <cell r="F573" t="str">
            <v>PAQ12a14</v>
          </cell>
          <cell r="G573" t="str">
            <v>B</v>
          </cell>
          <cell r="H573">
            <v>153.54</v>
          </cell>
        </row>
        <row r="574">
          <cell r="A574" t="str">
            <v>1;11;B;B;PAQ14a16</v>
          </cell>
          <cell r="B574">
            <v>730069</v>
          </cell>
          <cell r="C574" t="str">
            <v>B</v>
          </cell>
          <cell r="D574" t="str">
            <v>BALEARES</v>
          </cell>
          <cell r="E574" t="str">
            <v>11</v>
          </cell>
          <cell r="F574" t="str">
            <v>PAQ14a16</v>
          </cell>
          <cell r="G574" t="str">
            <v>B</v>
          </cell>
          <cell r="H574">
            <v>173.55</v>
          </cell>
        </row>
        <row r="575">
          <cell r="A575" t="str">
            <v>1;11;B;B;PAQ16a18</v>
          </cell>
          <cell r="B575">
            <v>730069</v>
          </cell>
          <cell r="C575" t="str">
            <v>B</v>
          </cell>
          <cell r="D575" t="str">
            <v>BALEARES</v>
          </cell>
          <cell r="E575" t="str">
            <v>11</v>
          </cell>
          <cell r="F575" t="str">
            <v>PAQ16a18</v>
          </cell>
          <cell r="G575" t="str">
            <v>B</v>
          </cell>
          <cell r="H575">
            <v>193.57</v>
          </cell>
        </row>
        <row r="576">
          <cell r="A576" t="str">
            <v>1;11;B;B;PAQ18a20</v>
          </cell>
          <cell r="B576">
            <v>730069</v>
          </cell>
          <cell r="C576" t="str">
            <v>B</v>
          </cell>
          <cell r="D576" t="str">
            <v>BALEARES</v>
          </cell>
          <cell r="E576" t="str">
            <v>11</v>
          </cell>
          <cell r="F576" t="str">
            <v>PAQ18a20</v>
          </cell>
          <cell r="G576" t="str">
            <v>B</v>
          </cell>
          <cell r="H576">
            <v>213.58</v>
          </cell>
        </row>
        <row r="577">
          <cell r="A577" t="str">
            <v>1;11;B;B;PAQ20a22</v>
          </cell>
          <cell r="B577">
            <v>730069</v>
          </cell>
          <cell r="C577" t="str">
            <v>B</v>
          </cell>
          <cell r="D577" t="str">
            <v>BALEARES</v>
          </cell>
          <cell r="E577" t="str">
            <v>11</v>
          </cell>
          <cell r="F577" t="str">
            <v>PAQ20a22</v>
          </cell>
          <cell r="G577" t="str">
            <v>B</v>
          </cell>
          <cell r="H577">
            <v>233.58</v>
          </cell>
        </row>
        <row r="578">
          <cell r="A578" t="str">
            <v>1;11;B;B;PAQ22a24</v>
          </cell>
          <cell r="B578">
            <v>730069</v>
          </cell>
          <cell r="C578" t="str">
            <v>B</v>
          </cell>
          <cell r="D578" t="str">
            <v>BALEARES</v>
          </cell>
          <cell r="E578" t="str">
            <v>11</v>
          </cell>
          <cell r="F578" t="str">
            <v>PAQ22a24</v>
          </cell>
          <cell r="G578" t="str">
            <v>B</v>
          </cell>
          <cell r="H578">
            <v>253.6</v>
          </cell>
        </row>
        <row r="579">
          <cell r="A579" t="str">
            <v>1;11;B;B;PAQ24a26</v>
          </cell>
          <cell r="B579">
            <v>730069</v>
          </cell>
          <cell r="C579" t="str">
            <v>B</v>
          </cell>
          <cell r="D579" t="str">
            <v>BALEARES</v>
          </cell>
          <cell r="E579" t="str">
            <v>11</v>
          </cell>
          <cell r="F579" t="str">
            <v>PAQ24a26</v>
          </cell>
          <cell r="G579" t="str">
            <v>B</v>
          </cell>
          <cell r="H579">
            <v>273.61</v>
          </cell>
        </row>
        <row r="580">
          <cell r="A580" t="str">
            <v>1;11;B;B;PAQ26a28</v>
          </cell>
          <cell r="B580">
            <v>730069</v>
          </cell>
          <cell r="C580" t="str">
            <v>B</v>
          </cell>
          <cell r="D580" t="str">
            <v>BALEARES</v>
          </cell>
          <cell r="E580" t="str">
            <v>11</v>
          </cell>
          <cell r="F580" t="str">
            <v>PAQ26a28</v>
          </cell>
          <cell r="G580" t="str">
            <v>B</v>
          </cell>
          <cell r="H580">
            <v>293.62</v>
          </cell>
        </row>
        <row r="581">
          <cell r="A581" t="str">
            <v>1;11;B;B;PAQ28a30</v>
          </cell>
          <cell r="B581">
            <v>730069</v>
          </cell>
          <cell r="C581" t="str">
            <v>B</v>
          </cell>
          <cell r="D581" t="str">
            <v>BALEARES</v>
          </cell>
          <cell r="E581" t="str">
            <v>11</v>
          </cell>
          <cell r="F581" t="str">
            <v>PAQ28a30</v>
          </cell>
          <cell r="G581" t="str">
            <v>B</v>
          </cell>
          <cell r="H581">
            <v>313.62</v>
          </cell>
        </row>
        <row r="582">
          <cell r="A582" t="str">
            <v>1;11;B;B;PAQ30a32</v>
          </cell>
          <cell r="B582">
            <v>730069</v>
          </cell>
          <cell r="C582" t="str">
            <v>B</v>
          </cell>
          <cell r="D582" t="str">
            <v>BALEARES</v>
          </cell>
          <cell r="E582" t="str">
            <v>11</v>
          </cell>
          <cell r="F582" t="str">
            <v>PAQ30a32</v>
          </cell>
          <cell r="G582" t="str">
            <v>B</v>
          </cell>
          <cell r="H582">
            <v>333.64</v>
          </cell>
        </row>
        <row r="583">
          <cell r="A583" t="str">
            <v>1;11;B;B;PAQ32a34</v>
          </cell>
          <cell r="B583">
            <v>730069</v>
          </cell>
          <cell r="C583" t="str">
            <v>B</v>
          </cell>
          <cell r="D583" t="str">
            <v>BALEARES</v>
          </cell>
          <cell r="E583" t="str">
            <v>11</v>
          </cell>
          <cell r="F583" t="str">
            <v>PAQ32a34</v>
          </cell>
          <cell r="G583" t="str">
            <v>B</v>
          </cell>
          <cell r="H583">
            <v>353.65</v>
          </cell>
        </row>
        <row r="584">
          <cell r="A584" t="str">
            <v>1;11;B;B;PAQ34a36</v>
          </cell>
          <cell r="B584">
            <v>730069</v>
          </cell>
          <cell r="C584" t="str">
            <v>B</v>
          </cell>
          <cell r="D584" t="str">
            <v>BALEARES</v>
          </cell>
          <cell r="E584" t="str">
            <v>11</v>
          </cell>
          <cell r="F584" t="str">
            <v>PAQ34a36</v>
          </cell>
          <cell r="G584" t="str">
            <v>B</v>
          </cell>
          <cell r="H584">
            <v>373.66</v>
          </cell>
        </row>
        <row r="585">
          <cell r="A585" t="str">
            <v>1;11;B;B;PAQ36a38</v>
          </cell>
          <cell r="B585">
            <v>730069</v>
          </cell>
          <cell r="C585" t="str">
            <v>B</v>
          </cell>
          <cell r="D585" t="str">
            <v>BALEARES</v>
          </cell>
          <cell r="E585" t="str">
            <v>11</v>
          </cell>
          <cell r="F585" t="str">
            <v>PAQ36a38</v>
          </cell>
          <cell r="G585" t="str">
            <v>B</v>
          </cell>
          <cell r="H585">
            <v>393.67</v>
          </cell>
        </row>
        <row r="586">
          <cell r="A586" t="str">
            <v>1;11;B;B;PAQ38a40</v>
          </cell>
          <cell r="B586">
            <v>730069</v>
          </cell>
          <cell r="C586" t="str">
            <v>B</v>
          </cell>
          <cell r="D586" t="str">
            <v>BALEARES</v>
          </cell>
          <cell r="E586" t="str">
            <v>11</v>
          </cell>
          <cell r="F586" t="str">
            <v>PAQ38a40</v>
          </cell>
          <cell r="G586" t="str">
            <v>B</v>
          </cell>
          <cell r="H586">
            <v>413.68</v>
          </cell>
        </row>
        <row r="587">
          <cell r="A587" t="str">
            <v>1;11;B;F;</v>
          </cell>
          <cell r="B587">
            <v>730069</v>
          </cell>
          <cell r="C587" t="str">
            <v>B</v>
          </cell>
          <cell r="D587" t="str">
            <v>BALEARES</v>
          </cell>
          <cell r="E587" t="str">
            <v>11</v>
          </cell>
          <cell r="F587" t="str">
            <v/>
          </cell>
          <cell r="G587" t="str">
            <v>F</v>
          </cell>
          <cell r="H587">
            <v>20.010000000000002</v>
          </cell>
        </row>
        <row r="588">
          <cell r="A588" t="str">
            <v>1;11;B;E;</v>
          </cell>
          <cell r="B588">
            <v>730069</v>
          </cell>
          <cell r="C588" t="str">
            <v>B</v>
          </cell>
          <cell r="D588" t="str">
            <v>BALEARES</v>
          </cell>
          <cell r="E588" t="str">
            <v>11</v>
          </cell>
          <cell r="F588" t="str">
            <v/>
          </cell>
          <cell r="G588" t="str">
            <v>E</v>
          </cell>
          <cell r="H588">
            <v>0</v>
          </cell>
        </row>
        <row r="589">
          <cell r="A589" t="str">
            <v>1;11;B;P;</v>
          </cell>
          <cell r="B589">
            <v>730069</v>
          </cell>
          <cell r="C589" t="str">
            <v>B</v>
          </cell>
          <cell r="D589" t="str">
            <v>BALEARES</v>
          </cell>
          <cell r="E589" t="str">
            <v>11</v>
          </cell>
          <cell r="F589" t="str">
            <v/>
          </cell>
          <cell r="G589" t="str">
            <v>P</v>
          </cell>
          <cell r="H589">
            <v>0</v>
          </cell>
        </row>
        <row r="590">
          <cell r="A590" t="str">
            <v>1;13;B;B;PAQ00a02</v>
          </cell>
          <cell r="B590">
            <v>730069</v>
          </cell>
          <cell r="C590" t="str">
            <v>B</v>
          </cell>
          <cell r="D590" t="str">
            <v>BALEARES</v>
          </cell>
          <cell r="E590" t="str">
            <v>13</v>
          </cell>
          <cell r="F590" t="str">
            <v>PAQ00a02</v>
          </cell>
          <cell r="G590" t="str">
            <v>B</v>
          </cell>
          <cell r="H590">
            <v>0</v>
          </cell>
        </row>
        <row r="591">
          <cell r="A591" t="str">
            <v>1;13;B;B;PAQ02a04</v>
          </cell>
          <cell r="B591">
            <v>730069</v>
          </cell>
          <cell r="C591" t="str">
            <v>B</v>
          </cell>
          <cell r="D591" t="str">
            <v>BALEARES</v>
          </cell>
          <cell r="E591" t="str">
            <v>13</v>
          </cell>
          <cell r="F591" t="str">
            <v>PAQ02a04</v>
          </cell>
          <cell r="G591" t="str">
            <v>B</v>
          </cell>
          <cell r="H591">
            <v>0</v>
          </cell>
        </row>
        <row r="592">
          <cell r="A592" t="str">
            <v>1;13;B;B;PAQ04a06</v>
          </cell>
          <cell r="B592">
            <v>730069</v>
          </cell>
          <cell r="C592" t="str">
            <v>B</v>
          </cell>
          <cell r="D592" t="str">
            <v>BALEARES</v>
          </cell>
          <cell r="E592" t="str">
            <v>13</v>
          </cell>
          <cell r="F592" t="str">
            <v>PAQ04a06</v>
          </cell>
          <cell r="G592" t="str">
            <v>B</v>
          </cell>
          <cell r="H592">
            <v>0</v>
          </cell>
        </row>
        <row r="593">
          <cell r="A593" t="str">
            <v>1;13;B;B;PAQ06a08</v>
          </cell>
          <cell r="B593">
            <v>730069</v>
          </cell>
          <cell r="C593" t="str">
            <v>B</v>
          </cell>
          <cell r="D593" t="str">
            <v>BALEARES</v>
          </cell>
          <cell r="E593" t="str">
            <v>13</v>
          </cell>
          <cell r="F593" t="str">
            <v>PAQ06a08</v>
          </cell>
          <cell r="G593" t="str">
            <v>B</v>
          </cell>
          <cell r="H593">
            <v>0</v>
          </cell>
        </row>
        <row r="594">
          <cell r="A594" t="str">
            <v>1;13;B;B;PAQ08a10</v>
          </cell>
          <cell r="B594">
            <v>730069</v>
          </cell>
          <cell r="C594" t="str">
            <v>B</v>
          </cell>
          <cell r="D594" t="str">
            <v>BALEARES</v>
          </cell>
          <cell r="E594" t="str">
            <v>13</v>
          </cell>
          <cell r="F594" t="str">
            <v>PAQ08a10</v>
          </cell>
          <cell r="G594" t="str">
            <v>B</v>
          </cell>
          <cell r="H594">
            <v>0</v>
          </cell>
        </row>
        <row r="595">
          <cell r="A595" t="str">
            <v>1;13;B;B;PAQ10a12</v>
          </cell>
          <cell r="B595">
            <v>730069</v>
          </cell>
          <cell r="C595" t="str">
            <v>B</v>
          </cell>
          <cell r="D595" t="str">
            <v>BALEARES</v>
          </cell>
          <cell r="E595" t="str">
            <v>13</v>
          </cell>
          <cell r="F595" t="str">
            <v>PAQ10a12</v>
          </cell>
          <cell r="G595" t="str">
            <v>B</v>
          </cell>
          <cell r="H595">
            <v>0</v>
          </cell>
        </row>
        <row r="596">
          <cell r="A596" t="str">
            <v>1;13;B;B;PAQ12a14</v>
          </cell>
          <cell r="B596">
            <v>730069</v>
          </cell>
          <cell r="C596" t="str">
            <v>B</v>
          </cell>
          <cell r="D596" t="str">
            <v>BALEARES</v>
          </cell>
          <cell r="E596" t="str">
            <v>13</v>
          </cell>
          <cell r="F596" t="str">
            <v>PAQ12a14</v>
          </cell>
          <cell r="G596" t="str">
            <v>B</v>
          </cell>
          <cell r="H596">
            <v>0</v>
          </cell>
        </row>
        <row r="597">
          <cell r="A597" t="str">
            <v>1;13;B;B;PAQ14a16</v>
          </cell>
          <cell r="B597">
            <v>730069</v>
          </cell>
          <cell r="C597" t="str">
            <v>B</v>
          </cell>
          <cell r="D597" t="str">
            <v>BALEARES</v>
          </cell>
          <cell r="E597" t="str">
            <v>13</v>
          </cell>
          <cell r="F597" t="str">
            <v>PAQ14a16</v>
          </cell>
          <cell r="G597" t="str">
            <v>B</v>
          </cell>
          <cell r="H597">
            <v>0</v>
          </cell>
        </row>
        <row r="598">
          <cell r="A598" t="str">
            <v>1;13;B;B;PAQ16a18</v>
          </cell>
          <cell r="B598">
            <v>730069</v>
          </cell>
          <cell r="C598" t="str">
            <v>B</v>
          </cell>
          <cell r="D598" t="str">
            <v>BALEARES</v>
          </cell>
          <cell r="E598" t="str">
            <v>13</v>
          </cell>
          <cell r="F598" t="str">
            <v>PAQ16a18</v>
          </cell>
          <cell r="G598" t="str">
            <v>B</v>
          </cell>
          <cell r="H598">
            <v>0</v>
          </cell>
        </row>
        <row r="599">
          <cell r="A599" t="str">
            <v>1;13;B;B;PAQ18a20</v>
          </cell>
          <cell r="B599">
            <v>730069</v>
          </cell>
          <cell r="C599" t="str">
            <v>B</v>
          </cell>
          <cell r="D599" t="str">
            <v>BALEARES</v>
          </cell>
          <cell r="E599" t="str">
            <v>13</v>
          </cell>
          <cell r="F599" t="str">
            <v>PAQ18a20</v>
          </cell>
          <cell r="G599" t="str">
            <v>B</v>
          </cell>
          <cell r="H599">
            <v>0</v>
          </cell>
        </row>
        <row r="600">
          <cell r="A600" t="str">
            <v>1;13;B;B;PAQ20a22</v>
          </cell>
          <cell r="B600">
            <v>730069</v>
          </cell>
          <cell r="C600" t="str">
            <v>B</v>
          </cell>
          <cell r="D600" t="str">
            <v>BALEARES</v>
          </cell>
          <cell r="E600" t="str">
            <v>13</v>
          </cell>
          <cell r="F600" t="str">
            <v>PAQ20a22</v>
          </cell>
          <cell r="G600" t="str">
            <v>B</v>
          </cell>
          <cell r="H600">
            <v>0</v>
          </cell>
        </row>
        <row r="601">
          <cell r="A601" t="str">
            <v>1;13;B;B;PAQ22a24</v>
          </cell>
          <cell r="B601">
            <v>730069</v>
          </cell>
          <cell r="C601" t="str">
            <v>B</v>
          </cell>
          <cell r="D601" t="str">
            <v>BALEARES</v>
          </cell>
          <cell r="E601" t="str">
            <v>13</v>
          </cell>
          <cell r="F601" t="str">
            <v>PAQ22a24</v>
          </cell>
          <cell r="G601" t="str">
            <v>B</v>
          </cell>
          <cell r="H601">
            <v>0</v>
          </cell>
        </row>
        <row r="602">
          <cell r="A602" t="str">
            <v>1;13;B;B;PAQ24a26</v>
          </cell>
          <cell r="B602">
            <v>730069</v>
          </cell>
          <cell r="C602" t="str">
            <v>B</v>
          </cell>
          <cell r="D602" t="str">
            <v>BALEARES</v>
          </cell>
          <cell r="E602" t="str">
            <v>13</v>
          </cell>
          <cell r="F602" t="str">
            <v>PAQ24a26</v>
          </cell>
          <cell r="G602" t="str">
            <v>B</v>
          </cell>
          <cell r="H602">
            <v>0</v>
          </cell>
        </row>
        <row r="603">
          <cell r="A603" t="str">
            <v>1;13;B;B;PAQ26a28</v>
          </cell>
          <cell r="B603">
            <v>730069</v>
          </cell>
          <cell r="C603" t="str">
            <v>B</v>
          </cell>
          <cell r="D603" t="str">
            <v>BALEARES</v>
          </cell>
          <cell r="E603" t="str">
            <v>13</v>
          </cell>
          <cell r="F603" t="str">
            <v>PAQ26a28</v>
          </cell>
          <cell r="G603" t="str">
            <v>B</v>
          </cell>
          <cell r="H603">
            <v>0</v>
          </cell>
        </row>
        <row r="604">
          <cell r="A604" t="str">
            <v>1;13;B;B;PAQ28a30</v>
          </cell>
          <cell r="B604">
            <v>730069</v>
          </cell>
          <cell r="C604" t="str">
            <v>B</v>
          </cell>
          <cell r="D604" t="str">
            <v>BALEARES</v>
          </cell>
          <cell r="E604" t="str">
            <v>13</v>
          </cell>
          <cell r="F604" t="str">
            <v>PAQ28a30</v>
          </cell>
          <cell r="G604" t="str">
            <v>B</v>
          </cell>
          <cell r="H604">
            <v>0</v>
          </cell>
        </row>
        <row r="605">
          <cell r="A605" t="str">
            <v>1;13;B;B;PAQ30a32</v>
          </cell>
          <cell r="B605">
            <v>730069</v>
          </cell>
          <cell r="C605" t="str">
            <v>B</v>
          </cell>
          <cell r="D605" t="str">
            <v>BALEARES</v>
          </cell>
          <cell r="E605" t="str">
            <v>13</v>
          </cell>
          <cell r="F605" t="str">
            <v>PAQ30a32</v>
          </cell>
          <cell r="G605" t="str">
            <v>B</v>
          </cell>
          <cell r="H605">
            <v>0</v>
          </cell>
        </row>
        <row r="606">
          <cell r="A606" t="str">
            <v>1;13;B;B;PAQ32a34</v>
          </cell>
          <cell r="B606">
            <v>730069</v>
          </cell>
          <cell r="C606" t="str">
            <v>B</v>
          </cell>
          <cell r="D606" t="str">
            <v>BALEARES</v>
          </cell>
          <cell r="E606" t="str">
            <v>13</v>
          </cell>
          <cell r="F606" t="str">
            <v>PAQ32a34</v>
          </cell>
          <cell r="G606" t="str">
            <v>B</v>
          </cell>
          <cell r="H606">
            <v>0</v>
          </cell>
        </row>
        <row r="607">
          <cell r="A607" t="str">
            <v>1;13;B;B;PAQ34a36</v>
          </cell>
          <cell r="B607">
            <v>730069</v>
          </cell>
          <cell r="C607" t="str">
            <v>B</v>
          </cell>
          <cell r="D607" t="str">
            <v>BALEARES</v>
          </cell>
          <cell r="E607" t="str">
            <v>13</v>
          </cell>
          <cell r="F607" t="str">
            <v>PAQ34a36</v>
          </cell>
          <cell r="G607" t="str">
            <v>B</v>
          </cell>
          <cell r="H607">
            <v>0</v>
          </cell>
        </row>
        <row r="608">
          <cell r="A608" t="str">
            <v>1;13;B;B;PAQ36a38</v>
          </cell>
          <cell r="B608">
            <v>730069</v>
          </cell>
          <cell r="C608" t="str">
            <v>B</v>
          </cell>
          <cell r="D608" t="str">
            <v>BALEARES</v>
          </cell>
          <cell r="E608" t="str">
            <v>13</v>
          </cell>
          <cell r="F608" t="str">
            <v>PAQ36a38</v>
          </cell>
          <cell r="G608" t="str">
            <v>B</v>
          </cell>
          <cell r="H608">
            <v>0</v>
          </cell>
        </row>
        <row r="609">
          <cell r="A609" t="str">
            <v>1;13;B;F;</v>
          </cell>
          <cell r="B609">
            <v>730069</v>
          </cell>
          <cell r="C609" t="str">
            <v>B</v>
          </cell>
          <cell r="D609" t="str">
            <v>BALEARES</v>
          </cell>
          <cell r="E609" t="str">
            <v>13</v>
          </cell>
          <cell r="F609" t="str">
            <v/>
          </cell>
          <cell r="G609" t="str">
            <v>F</v>
          </cell>
          <cell r="H609">
            <v>0</v>
          </cell>
        </row>
        <row r="610">
          <cell r="A610" t="str">
            <v>1;13;B;B;PAQ38a40</v>
          </cell>
          <cell r="B610">
            <v>730069</v>
          </cell>
          <cell r="C610" t="str">
            <v>B</v>
          </cell>
          <cell r="D610" t="str">
            <v>BALEARES</v>
          </cell>
          <cell r="E610" t="str">
            <v>13</v>
          </cell>
          <cell r="F610" t="str">
            <v>PAQ38a40</v>
          </cell>
          <cell r="G610" t="str">
            <v>B</v>
          </cell>
          <cell r="H610">
            <v>0</v>
          </cell>
        </row>
        <row r="611">
          <cell r="A611" t="str">
            <v>1;13;B;E;</v>
          </cell>
          <cell r="B611">
            <v>730069</v>
          </cell>
          <cell r="C611" t="str">
            <v>B</v>
          </cell>
          <cell r="D611" t="str">
            <v>BALEARES</v>
          </cell>
          <cell r="E611" t="str">
            <v>13</v>
          </cell>
          <cell r="F611" t="str">
            <v/>
          </cell>
          <cell r="G611" t="str">
            <v>E</v>
          </cell>
          <cell r="H611">
            <v>0</v>
          </cell>
        </row>
        <row r="612">
          <cell r="A612" t="str">
            <v>1;13;B;P;</v>
          </cell>
          <cell r="B612">
            <v>730069</v>
          </cell>
          <cell r="C612" t="str">
            <v>B</v>
          </cell>
          <cell r="D612" t="str">
            <v>BALEARES</v>
          </cell>
          <cell r="E612" t="str">
            <v>13</v>
          </cell>
          <cell r="F612" t="str">
            <v/>
          </cell>
          <cell r="G612" t="str">
            <v>P</v>
          </cell>
          <cell r="H612">
            <v>0</v>
          </cell>
        </row>
        <row r="613">
          <cell r="A613" t="str">
            <v>1;14;B;B;BAG</v>
          </cell>
          <cell r="B613">
            <v>730069</v>
          </cell>
          <cell r="C613" t="str">
            <v>B</v>
          </cell>
          <cell r="D613" t="str">
            <v>BALEARES</v>
          </cell>
          <cell r="E613" t="str">
            <v>14</v>
          </cell>
          <cell r="F613" t="str">
            <v>BAG</v>
          </cell>
          <cell r="G613" t="str">
            <v>B</v>
          </cell>
          <cell r="H613">
            <v>1.79</v>
          </cell>
        </row>
        <row r="614">
          <cell r="A614" t="str">
            <v>1;15;B;B;BAG</v>
          </cell>
          <cell r="B614">
            <v>730069</v>
          </cell>
          <cell r="C614" t="str">
            <v>B</v>
          </cell>
          <cell r="D614" t="str">
            <v>BALEARES</v>
          </cell>
          <cell r="E614" t="str">
            <v>15</v>
          </cell>
          <cell r="F614" t="str">
            <v>BAG</v>
          </cell>
          <cell r="G614" t="str">
            <v>B</v>
          </cell>
          <cell r="H614">
            <v>1.79</v>
          </cell>
        </row>
        <row r="615">
          <cell r="A615" t="str">
            <v>1;17;B;B;PAQ00a02</v>
          </cell>
          <cell r="B615">
            <v>730069</v>
          </cell>
          <cell r="C615" t="str">
            <v>B</v>
          </cell>
          <cell r="D615" t="str">
            <v>BALEARES</v>
          </cell>
          <cell r="E615" t="str">
            <v>17</v>
          </cell>
          <cell r="F615" t="str">
            <v>PAQ00a02</v>
          </cell>
          <cell r="G615" t="str">
            <v>B</v>
          </cell>
          <cell r="H615">
            <v>9.33</v>
          </cell>
        </row>
        <row r="616">
          <cell r="A616" t="str">
            <v>1;17;B;B;PAQ02a04</v>
          </cell>
          <cell r="B616">
            <v>730069</v>
          </cell>
          <cell r="C616" t="str">
            <v>B</v>
          </cell>
          <cell r="D616" t="str">
            <v>BALEARES</v>
          </cell>
          <cell r="E616" t="str">
            <v>17</v>
          </cell>
          <cell r="F616" t="str">
            <v>PAQ02a04</v>
          </cell>
          <cell r="G616" t="str">
            <v>B</v>
          </cell>
          <cell r="H616">
            <v>14.61</v>
          </cell>
        </row>
        <row r="617">
          <cell r="A617" t="str">
            <v>1;17;B;B;PAQ04a06</v>
          </cell>
          <cell r="B617">
            <v>730069</v>
          </cell>
          <cell r="C617" t="str">
            <v>B</v>
          </cell>
          <cell r="D617" t="str">
            <v>BALEARES</v>
          </cell>
          <cell r="E617" t="str">
            <v>17</v>
          </cell>
          <cell r="F617" t="str">
            <v>PAQ04a06</v>
          </cell>
          <cell r="G617" t="str">
            <v>B</v>
          </cell>
          <cell r="H617">
            <v>19.88</v>
          </cell>
        </row>
        <row r="618">
          <cell r="A618" t="str">
            <v>1;17;B;B;PAQ06a08</v>
          </cell>
          <cell r="B618">
            <v>730069</v>
          </cell>
          <cell r="C618" t="str">
            <v>B</v>
          </cell>
          <cell r="D618" t="str">
            <v>BALEARES</v>
          </cell>
          <cell r="E618" t="str">
            <v>17</v>
          </cell>
          <cell r="F618" t="str">
            <v>PAQ06a08</v>
          </cell>
          <cell r="G618" t="str">
            <v>B</v>
          </cell>
          <cell r="H618">
            <v>25.15</v>
          </cell>
        </row>
        <row r="619">
          <cell r="A619" t="str">
            <v>1;17;B;B;PAQ08a10</v>
          </cell>
          <cell r="B619">
            <v>730069</v>
          </cell>
          <cell r="C619" t="str">
            <v>B</v>
          </cell>
          <cell r="D619" t="str">
            <v>BALEARES</v>
          </cell>
          <cell r="E619" t="str">
            <v>17</v>
          </cell>
          <cell r="F619" t="str">
            <v>PAQ08a10</v>
          </cell>
          <cell r="G619" t="str">
            <v>B</v>
          </cell>
          <cell r="H619">
            <v>30.42</v>
          </cell>
        </row>
        <row r="620">
          <cell r="A620" t="str">
            <v>1;17;B;B;PAQ10a12</v>
          </cell>
          <cell r="B620">
            <v>730069</v>
          </cell>
          <cell r="C620" t="str">
            <v>B</v>
          </cell>
          <cell r="D620" t="str">
            <v>BALEARES</v>
          </cell>
          <cell r="E620" t="str">
            <v>17</v>
          </cell>
          <cell r="F620" t="str">
            <v>PAQ10a12</v>
          </cell>
          <cell r="G620" t="str">
            <v>B</v>
          </cell>
          <cell r="H620">
            <v>35.69</v>
          </cell>
        </row>
        <row r="621">
          <cell r="A621" t="str">
            <v>1;17;B;B;PAQ12a14</v>
          </cell>
          <cell r="B621">
            <v>730069</v>
          </cell>
          <cell r="C621" t="str">
            <v>B</v>
          </cell>
          <cell r="D621" t="str">
            <v>BALEARES</v>
          </cell>
          <cell r="E621" t="str">
            <v>17</v>
          </cell>
          <cell r="F621" t="str">
            <v>PAQ12a14</v>
          </cell>
          <cell r="G621" t="str">
            <v>B</v>
          </cell>
          <cell r="H621">
            <v>40.96</v>
          </cell>
        </row>
        <row r="622">
          <cell r="A622" t="str">
            <v>1;17;B;B;PAQ14a16</v>
          </cell>
          <cell r="B622">
            <v>730069</v>
          </cell>
          <cell r="C622" t="str">
            <v>B</v>
          </cell>
          <cell r="D622" t="str">
            <v>BALEARES</v>
          </cell>
          <cell r="E622" t="str">
            <v>17</v>
          </cell>
          <cell r="F622" t="str">
            <v>PAQ14a16</v>
          </cell>
          <cell r="G622" t="str">
            <v>B</v>
          </cell>
          <cell r="H622">
            <v>46.23</v>
          </cell>
        </row>
        <row r="623">
          <cell r="A623" t="str">
            <v>1;17;B;B;PAQ16a18</v>
          </cell>
          <cell r="B623">
            <v>730069</v>
          </cell>
          <cell r="C623" t="str">
            <v>B</v>
          </cell>
          <cell r="D623" t="str">
            <v>BALEARES</v>
          </cell>
          <cell r="E623" t="str">
            <v>17</v>
          </cell>
          <cell r="F623" t="str">
            <v>PAQ16a18</v>
          </cell>
          <cell r="G623" t="str">
            <v>B</v>
          </cell>
          <cell r="H623">
            <v>51.5</v>
          </cell>
        </row>
        <row r="624">
          <cell r="A624" t="str">
            <v>1;17;B;B;PAQ18a20</v>
          </cell>
          <cell r="B624">
            <v>730069</v>
          </cell>
          <cell r="C624" t="str">
            <v>B</v>
          </cell>
          <cell r="D624" t="str">
            <v>BALEARES</v>
          </cell>
          <cell r="E624" t="str">
            <v>17</v>
          </cell>
          <cell r="F624" t="str">
            <v>PAQ18a20</v>
          </cell>
          <cell r="G624" t="str">
            <v>B</v>
          </cell>
          <cell r="H624">
            <v>56.76</v>
          </cell>
        </row>
        <row r="625">
          <cell r="A625" t="str">
            <v>1;17;B;B;PAQ20a22</v>
          </cell>
          <cell r="B625">
            <v>730069</v>
          </cell>
          <cell r="C625" t="str">
            <v>B</v>
          </cell>
          <cell r="D625" t="str">
            <v>BALEARES</v>
          </cell>
          <cell r="E625" t="str">
            <v>17</v>
          </cell>
          <cell r="F625" t="str">
            <v>PAQ20a22</v>
          </cell>
          <cell r="G625" t="str">
            <v>B</v>
          </cell>
          <cell r="H625">
            <v>62.03</v>
          </cell>
        </row>
        <row r="626">
          <cell r="A626" t="str">
            <v>1;17;B;B;PAQ22a24</v>
          </cell>
          <cell r="B626">
            <v>730069</v>
          </cell>
          <cell r="C626" t="str">
            <v>B</v>
          </cell>
          <cell r="D626" t="str">
            <v>BALEARES</v>
          </cell>
          <cell r="E626" t="str">
            <v>17</v>
          </cell>
          <cell r="F626" t="str">
            <v>PAQ22a24</v>
          </cell>
          <cell r="G626" t="str">
            <v>B</v>
          </cell>
          <cell r="H626">
            <v>67.31</v>
          </cell>
        </row>
        <row r="627">
          <cell r="A627" t="str">
            <v>1;17;B;B;PAQ24a26</v>
          </cell>
          <cell r="B627">
            <v>730069</v>
          </cell>
          <cell r="C627" t="str">
            <v>B</v>
          </cell>
          <cell r="D627" t="str">
            <v>BALEARES</v>
          </cell>
          <cell r="E627" t="str">
            <v>17</v>
          </cell>
          <cell r="F627" t="str">
            <v>PAQ24a26</v>
          </cell>
          <cell r="G627" t="str">
            <v>B</v>
          </cell>
          <cell r="H627">
            <v>72.58</v>
          </cell>
        </row>
        <row r="628">
          <cell r="A628" t="str">
            <v>1;17;B;B;PAQ26a28</v>
          </cell>
          <cell r="B628">
            <v>730069</v>
          </cell>
          <cell r="C628" t="str">
            <v>B</v>
          </cell>
          <cell r="D628" t="str">
            <v>BALEARES</v>
          </cell>
          <cell r="E628" t="str">
            <v>17</v>
          </cell>
          <cell r="F628" t="str">
            <v>PAQ26a28</v>
          </cell>
          <cell r="G628" t="str">
            <v>B</v>
          </cell>
          <cell r="H628">
            <v>77.849999999999994</v>
          </cell>
        </row>
        <row r="629">
          <cell r="A629" t="str">
            <v>1;17;B;B;PAQ28a30</v>
          </cell>
          <cell r="B629">
            <v>730069</v>
          </cell>
          <cell r="C629" t="str">
            <v>B</v>
          </cell>
          <cell r="D629" t="str">
            <v>BALEARES</v>
          </cell>
          <cell r="E629" t="str">
            <v>17</v>
          </cell>
          <cell r="F629" t="str">
            <v>PAQ28a30</v>
          </cell>
          <cell r="G629" t="str">
            <v>B</v>
          </cell>
          <cell r="H629">
            <v>83.12</v>
          </cell>
        </row>
        <row r="630">
          <cell r="A630" t="str">
            <v>1;17;B;B;PAQ30a32</v>
          </cell>
          <cell r="B630">
            <v>730069</v>
          </cell>
          <cell r="C630" t="str">
            <v>B</v>
          </cell>
          <cell r="D630" t="str">
            <v>BALEARES</v>
          </cell>
          <cell r="E630" t="str">
            <v>17</v>
          </cell>
          <cell r="F630" t="str">
            <v>PAQ30a32</v>
          </cell>
          <cell r="G630" t="str">
            <v>B</v>
          </cell>
          <cell r="H630">
            <v>88.39</v>
          </cell>
        </row>
        <row r="631">
          <cell r="A631" t="str">
            <v>1;17;B;B;PAQ32a34</v>
          </cell>
          <cell r="B631">
            <v>730069</v>
          </cell>
          <cell r="C631" t="str">
            <v>B</v>
          </cell>
          <cell r="D631" t="str">
            <v>BALEARES</v>
          </cell>
          <cell r="E631" t="str">
            <v>17</v>
          </cell>
          <cell r="F631" t="str">
            <v>PAQ32a34</v>
          </cell>
          <cell r="G631" t="str">
            <v>B</v>
          </cell>
          <cell r="H631">
            <v>93.66</v>
          </cell>
        </row>
        <row r="632">
          <cell r="A632" t="str">
            <v>1;17;B;B;PAQ34a36</v>
          </cell>
          <cell r="B632">
            <v>730069</v>
          </cell>
          <cell r="C632" t="str">
            <v>B</v>
          </cell>
          <cell r="D632" t="str">
            <v>BALEARES</v>
          </cell>
          <cell r="E632" t="str">
            <v>17</v>
          </cell>
          <cell r="F632" t="str">
            <v>PAQ34a36</v>
          </cell>
          <cell r="G632" t="str">
            <v>B</v>
          </cell>
          <cell r="H632">
            <v>98.93</v>
          </cell>
        </row>
        <row r="633">
          <cell r="A633" t="str">
            <v>1;17;B;B;PAQ36a38</v>
          </cell>
          <cell r="B633">
            <v>730069</v>
          </cell>
          <cell r="C633" t="str">
            <v>B</v>
          </cell>
          <cell r="D633" t="str">
            <v>BALEARES</v>
          </cell>
          <cell r="E633" t="str">
            <v>17</v>
          </cell>
          <cell r="F633" t="str">
            <v>PAQ36a38</v>
          </cell>
          <cell r="G633" t="str">
            <v>B</v>
          </cell>
          <cell r="H633">
            <v>104.2</v>
          </cell>
        </row>
        <row r="634">
          <cell r="A634" t="str">
            <v>1;17;B;B;PAQ38a40</v>
          </cell>
          <cell r="B634">
            <v>730069</v>
          </cell>
          <cell r="C634" t="str">
            <v>B</v>
          </cell>
          <cell r="D634" t="str">
            <v>BALEARES</v>
          </cell>
          <cell r="E634" t="str">
            <v>17</v>
          </cell>
          <cell r="F634" t="str">
            <v>PAQ38a40</v>
          </cell>
          <cell r="G634" t="str">
            <v>B</v>
          </cell>
          <cell r="H634">
            <v>109.46</v>
          </cell>
        </row>
        <row r="635">
          <cell r="A635" t="str">
            <v>1;17;B;F;</v>
          </cell>
          <cell r="B635">
            <v>730069</v>
          </cell>
          <cell r="C635" t="str">
            <v>B</v>
          </cell>
          <cell r="D635" t="str">
            <v>BALEARES</v>
          </cell>
          <cell r="E635" t="str">
            <v>17</v>
          </cell>
          <cell r="F635" t="str">
            <v/>
          </cell>
          <cell r="G635" t="str">
            <v>F</v>
          </cell>
          <cell r="H635">
            <v>5.27</v>
          </cell>
        </row>
        <row r="636">
          <cell r="A636" t="str">
            <v>1;17;B;P;</v>
          </cell>
          <cell r="B636">
            <v>730069</v>
          </cell>
          <cell r="C636" t="str">
            <v>B</v>
          </cell>
          <cell r="D636" t="str">
            <v>BALEARES</v>
          </cell>
          <cell r="E636" t="str">
            <v>17</v>
          </cell>
          <cell r="F636" t="str">
            <v/>
          </cell>
          <cell r="G636" t="str">
            <v>P</v>
          </cell>
          <cell r="H636">
            <v>0</v>
          </cell>
        </row>
        <row r="637">
          <cell r="A637" t="str">
            <v>1;17;B;E;</v>
          </cell>
          <cell r="B637">
            <v>730069</v>
          </cell>
          <cell r="C637" t="str">
            <v>B</v>
          </cell>
          <cell r="D637" t="str">
            <v>BALEARES</v>
          </cell>
          <cell r="E637" t="str">
            <v>17</v>
          </cell>
          <cell r="F637" t="str">
            <v/>
          </cell>
          <cell r="G637" t="str">
            <v>E</v>
          </cell>
          <cell r="H637">
            <v>0</v>
          </cell>
        </row>
        <row r="638">
          <cell r="A638" t="str">
            <v>1;21;B;B;BAG</v>
          </cell>
          <cell r="B638">
            <v>730069</v>
          </cell>
          <cell r="C638" t="str">
            <v>B</v>
          </cell>
          <cell r="D638" t="str">
            <v>BALEARES</v>
          </cell>
          <cell r="E638" t="str">
            <v>21</v>
          </cell>
          <cell r="F638" t="str">
            <v>BAG</v>
          </cell>
          <cell r="G638" t="str">
            <v>B</v>
          </cell>
          <cell r="H638">
            <v>21.67</v>
          </cell>
        </row>
        <row r="639">
          <cell r="A639" t="str">
            <v>1;21;B;B;DOCS</v>
          </cell>
          <cell r="B639">
            <v>730069</v>
          </cell>
          <cell r="C639" t="str">
            <v>B</v>
          </cell>
          <cell r="D639" t="str">
            <v>BALEARES</v>
          </cell>
          <cell r="E639" t="str">
            <v>21</v>
          </cell>
          <cell r="F639" t="str">
            <v>DOCS</v>
          </cell>
          <cell r="G639" t="str">
            <v>B</v>
          </cell>
          <cell r="H639">
            <v>21.67</v>
          </cell>
        </row>
        <row r="640">
          <cell r="A640" t="str">
            <v>1;21;B;B;PAQ00a02</v>
          </cell>
          <cell r="B640">
            <v>730069</v>
          </cell>
          <cell r="C640" t="str">
            <v>B</v>
          </cell>
          <cell r="D640" t="str">
            <v>BALEARES</v>
          </cell>
          <cell r="E640" t="str">
            <v>21</v>
          </cell>
          <cell r="F640" t="str">
            <v>PAQ00a02</v>
          </cell>
          <cell r="G640" t="str">
            <v>B</v>
          </cell>
          <cell r="H640">
            <v>24.4</v>
          </cell>
        </row>
        <row r="641">
          <cell r="A641" t="str">
            <v>1;21;B;B;PAQ02a04</v>
          </cell>
          <cell r="B641">
            <v>730069</v>
          </cell>
          <cell r="C641" t="str">
            <v>B</v>
          </cell>
          <cell r="D641" t="str">
            <v>BALEARES</v>
          </cell>
          <cell r="E641" t="str">
            <v>21</v>
          </cell>
          <cell r="F641" t="str">
            <v>PAQ02a04</v>
          </cell>
          <cell r="G641" t="str">
            <v>B</v>
          </cell>
          <cell r="H641">
            <v>34.83</v>
          </cell>
        </row>
        <row r="642">
          <cell r="A642" t="str">
            <v>1;21;B;B;PAQ04a06</v>
          </cell>
          <cell r="B642">
            <v>730069</v>
          </cell>
          <cell r="C642" t="str">
            <v>B</v>
          </cell>
          <cell r="D642" t="str">
            <v>BALEARES</v>
          </cell>
          <cell r="E642" t="str">
            <v>21</v>
          </cell>
          <cell r="F642" t="str">
            <v>PAQ04a06</v>
          </cell>
          <cell r="G642" t="str">
            <v>B</v>
          </cell>
          <cell r="H642">
            <v>45.52</v>
          </cell>
        </row>
        <row r="643">
          <cell r="A643" t="str">
            <v>1;21;B;B;PAQ06a08</v>
          </cell>
          <cell r="B643">
            <v>730069</v>
          </cell>
          <cell r="C643" t="str">
            <v>B</v>
          </cell>
          <cell r="D643" t="str">
            <v>BALEARES</v>
          </cell>
          <cell r="E643" t="str">
            <v>21</v>
          </cell>
          <cell r="F643" t="str">
            <v>PAQ06a08</v>
          </cell>
          <cell r="G643" t="str">
            <v>B</v>
          </cell>
          <cell r="H643">
            <v>56.22</v>
          </cell>
        </row>
        <row r="644">
          <cell r="A644" t="str">
            <v>1;21;B;B;PAQ08a10</v>
          </cell>
          <cell r="B644">
            <v>730069</v>
          </cell>
          <cell r="C644" t="str">
            <v>B</v>
          </cell>
          <cell r="D644" t="str">
            <v>BALEARES</v>
          </cell>
          <cell r="E644" t="str">
            <v>21</v>
          </cell>
          <cell r="F644" t="str">
            <v>PAQ08a10</v>
          </cell>
          <cell r="G644" t="str">
            <v>B</v>
          </cell>
          <cell r="H644">
            <v>66.91</v>
          </cell>
        </row>
        <row r="645">
          <cell r="A645" t="str">
            <v>1;21;B;B;PAQ10a12</v>
          </cell>
          <cell r="B645">
            <v>730069</v>
          </cell>
          <cell r="C645" t="str">
            <v>B</v>
          </cell>
          <cell r="D645" t="str">
            <v>BALEARES</v>
          </cell>
          <cell r="E645" t="str">
            <v>21</v>
          </cell>
          <cell r="F645" t="str">
            <v>PAQ10a12</v>
          </cell>
          <cell r="G645" t="str">
            <v>B</v>
          </cell>
          <cell r="H645">
            <v>77.61</v>
          </cell>
        </row>
        <row r="646">
          <cell r="A646" t="str">
            <v>1;21;B;B;PAQ12a14</v>
          </cell>
          <cell r="B646">
            <v>730069</v>
          </cell>
          <cell r="C646" t="str">
            <v>B</v>
          </cell>
          <cell r="D646" t="str">
            <v>BALEARES</v>
          </cell>
          <cell r="E646" t="str">
            <v>21</v>
          </cell>
          <cell r="F646" t="str">
            <v>PAQ12a14</v>
          </cell>
          <cell r="G646" t="str">
            <v>B</v>
          </cell>
          <cell r="H646">
            <v>88.29</v>
          </cell>
        </row>
        <row r="647">
          <cell r="A647" t="str">
            <v>1;21;B;B;PAQ14a16</v>
          </cell>
          <cell r="B647">
            <v>730069</v>
          </cell>
          <cell r="C647" t="str">
            <v>B</v>
          </cell>
          <cell r="D647" t="str">
            <v>BALEARES</v>
          </cell>
          <cell r="E647" t="str">
            <v>21</v>
          </cell>
          <cell r="F647" t="str">
            <v>PAQ14a16</v>
          </cell>
          <cell r="G647" t="str">
            <v>B</v>
          </cell>
          <cell r="H647">
            <v>98.99</v>
          </cell>
        </row>
        <row r="648">
          <cell r="A648" t="str">
            <v>1;21;B;B;PAQ16a18</v>
          </cell>
          <cell r="B648">
            <v>730069</v>
          </cell>
          <cell r="C648" t="str">
            <v>B</v>
          </cell>
          <cell r="D648" t="str">
            <v>BALEARES</v>
          </cell>
          <cell r="E648" t="str">
            <v>21</v>
          </cell>
          <cell r="F648" t="str">
            <v>PAQ16a18</v>
          </cell>
          <cell r="G648" t="str">
            <v>B</v>
          </cell>
          <cell r="H648">
            <v>109.68</v>
          </cell>
        </row>
        <row r="649">
          <cell r="A649" t="str">
            <v>1;21;B;B;PAQ18a20</v>
          </cell>
          <cell r="B649">
            <v>730069</v>
          </cell>
          <cell r="C649" t="str">
            <v>B</v>
          </cell>
          <cell r="D649" t="str">
            <v>BALEARES</v>
          </cell>
          <cell r="E649" t="str">
            <v>21</v>
          </cell>
          <cell r="F649" t="str">
            <v>PAQ18a20</v>
          </cell>
          <cell r="G649" t="str">
            <v>B</v>
          </cell>
          <cell r="H649">
            <v>120.38</v>
          </cell>
        </row>
        <row r="650">
          <cell r="A650" t="str">
            <v>1;21;B;B;PAQ20a22</v>
          </cell>
          <cell r="B650">
            <v>730069</v>
          </cell>
          <cell r="C650" t="str">
            <v>B</v>
          </cell>
          <cell r="D650" t="str">
            <v>BALEARES</v>
          </cell>
          <cell r="E650" t="str">
            <v>21</v>
          </cell>
          <cell r="F650" t="str">
            <v>PAQ20a22</v>
          </cell>
          <cell r="G650" t="str">
            <v>B</v>
          </cell>
          <cell r="H650">
            <v>131.07</v>
          </cell>
        </row>
        <row r="651">
          <cell r="A651" t="str">
            <v>1;21;B;B;PAQ22a24</v>
          </cell>
          <cell r="B651">
            <v>730069</v>
          </cell>
          <cell r="C651" t="str">
            <v>B</v>
          </cell>
          <cell r="D651" t="str">
            <v>BALEARES</v>
          </cell>
          <cell r="E651" t="str">
            <v>21</v>
          </cell>
          <cell r="F651" t="str">
            <v>PAQ22a24</v>
          </cell>
          <cell r="G651" t="str">
            <v>B</v>
          </cell>
          <cell r="H651">
            <v>141.77000000000001</v>
          </cell>
        </row>
        <row r="652">
          <cell r="A652" t="str">
            <v>1;21;B;B;PAQ24a26</v>
          </cell>
          <cell r="B652">
            <v>730069</v>
          </cell>
          <cell r="C652" t="str">
            <v>B</v>
          </cell>
          <cell r="D652" t="str">
            <v>BALEARES</v>
          </cell>
          <cell r="E652" t="str">
            <v>21</v>
          </cell>
          <cell r="F652" t="str">
            <v>PAQ24a26</v>
          </cell>
          <cell r="G652" t="str">
            <v>B</v>
          </cell>
          <cell r="H652">
            <v>152.46</v>
          </cell>
        </row>
        <row r="653">
          <cell r="A653" t="str">
            <v>1;21;B;B;PAQ26a28</v>
          </cell>
          <cell r="B653">
            <v>730069</v>
          </cell>
          <cell r="C653" t="str">
            <v>B</v>
          </cell>
          <cell r="D653" t="str">
            <v>BALEARES</v>
          </cell>
          <cell r="E653" t="str">
            <v>21</v>
          </cell>
          <cell r="F653" t="str">
            <v>PAQ26a28</v>
          </cell>
          <cell r="G653" t="str">
            <v>B</v>
          </cell>
          <cell r="H653">
            <v>163.16</v>
          </cell>
        </row>
        <row r="654">
          <cell r="A654" t="str">
            <v>1;21;B;B;PAQ28a30</v>
          </cell>
          <cell r="B654">
            <v>730069</v>
          </cell>
          <cell r="C654" t="str">
            <v>B</v>
          </cell>
          <cell r="D654" t="str">
            <v>BALEARES</v>
          </cell>
          <cell r="E654" t="str">
            <v>21</v>
          </cell>
          <cell r="F654" t="str">
            <v>PAQ28a30</v>
          </cell>
          <cell r="G654" t="str">
            <v>B</v>
          </cell>
          <cell r="H654">
            <v>173.85</v>
          </cell>
        </row>
        <row r="655">
          <cell r="A655" t="str">
            <v>1;21;B;B;PAQ30a32</v>
          </cell>
          <cell r="B655">
            <v>730069</v>
          </cell>
          <cell r="C655" t="str">
            <v>B</v>
          </cell>
          <cell r="D655" t="str">
            <v>BALEARES</v>
          </cell>
          <cell r="E655" t="str">
            <v>21</v>
          </cell>
          <cell r="F655" t="str">
            <v>PAQ30a32</v>
          </cell>
          <cell r="G655" t="str">
            <v>B</v>
          </cell>
          <cell r="H655">
            <v>184.55</v>
          </cell>
        </row>
        <row r="656">
          <cell r="A656" t="str">
            <v>1;21;B;B;PAQ32a34</v>
          </cell>
          <cell r="B656">
            <v>730069</v>
          </cell>
          <cell r="C656" t="str">
            <v>B</v>
          </cell>
          <cell r="D656" t="str">
            <v>BALEARES</v>
          </cell>
          <cell r="E656" t="str">
            <v>21</v>
          </cell>
          <cell r="F656" t="str">
            <v>PAQ32a34</v>
          </cell>
          <cell r="G656" t="str">
            <v>B</v>
          </cell>
          <cell r="H656">
            <v>195.24</v>
          </cell>
        </row>
        <row r="657">
          <cell r="A657" t="str">
            <v>1;21;B;B;PAQ34a36</v>
          </cell>
          <cell r="B657">
            <v>730069</v>
          </cell>
          <cell r="C657" t="str">
            <v>B</v>
          </cell>
          <cell r="D657" t="str">
            <v>BALEARES</v>
          </cell>
          <cell r="E657" t="str">
            <v>21</v>
          </cell>
          <cell r="F657" t="str">
            <v>PAQ34a36</v>
          </cell>
          <cell r="G657" t="str">
            <v>B</v>
          </cell>
          <cell r="H657">
            <v>205.94</v>
          </cell>
        </row>
        <row r="658">
          <cell r="A658" t="str">
            <v>1;21;B;B;PAQ36a38</v>
          </cell>
          <cell r="B658">
            <v>730069</v>
          </cell>
          <cell r="C658" t="str">
            <v>B</v>
          </cell>
          <cell r="D658" t="str">
            <v>BALEARES</v>
          </cell>
          <cell r="E658" t="str">
            <v>21</v>
          </cell>
          <cell r="F658" t="str">
            <v>PAQ36a38</v>
          </cell>
          <cell r="G658" t="str">
            <v>B</v>
          </cell>
          <cell r="H658">
            <v>216.63</v>
          </cell>
        </row>
        <row r="659">
          <cell r="A659" t="str">
            <v>1;21;B;B;PAQ38a40</v>
          </cell>
          <cell r="B659">
            <v>730069</v>
          </cell>
          <cell r="C659" t="str">
            <v>B</v>
          </cell>
          <cell r="D659" t="str">
            <v>BALEARES</v>
          </cell>
          <cell r="E659" t="str">
            <v>21</v>
          </cell>
          <cell r="F659" t="str">
            <v>PAQ38a40</v>
          </cell>
          <cell r="G659" t="str">
            <v>B</v>
          </cell>
          <cell r="H659">
            <v>227.33</v>
          </cell>
        </row>
        <row r="660">
          <cell r="A660" t="str">
            <v>1;21;B;F;</v>
          </cell>
          <cell r="B660">
            <v>730069</v>
          </cell>
          <cell r="C660" t="str">
            <v>B</v>
          </cell>
          <cell r="D660" t="str">
            <v>BALEARES</v>
          </cell>
          <cell r="E660" t="str">
            <v>21</v>
          </cell>
          <cell r="F660" t="str">
            <v/>
          </cell>
          <cell r="G660" t="str">
            <v>F</v>
          </cell>
          <cell r="H660">
            <v>10.7</v>
          </cell>
        </row>
        <row r="661">
          <cell r="A661" t="str">
            <v>1;21;B;E;</v>
          </cell>
          <cell r="B661">
            <v>730069</v>
          </cell>
          <cell r="C661" t="str">
            <v>B</v>
          </cell>
          <cell r="D661" t="str">
            <v>BALEARES</v>
          </cell>
          <cell r="E661" t="str">
            <v>21</v>
          </cell>
          <cell r="F661" t="str">
            <v/>
          </cell>
          <cell r="G661" t="str">
            <v>E</v>
          </cell>
          <cell r="H661">
            <v>0</v>
          </cell>
        </row>
        <row r="662">
          <cell r="A662" t="str">
            <v>1;21;B;P;</v>
          </cell>
          <cell r="B662">
            <v>730069</v>
          </cell>
          <cell r="C662" t="str">
            <v>B</v>
          </cell>
          <cell r="D662" t="str">
            <v>BALEARES</v>
          </cell>
          <cell r="E662" t="str">
            <v>21</v>
          </cell>
          <cell r="F662" t="str">
            <v/>
          </cell>
          <cell r="G662" t="str">
            <v>P</v>
          </cell>
          <cell r="H662">
            <v>0</v>
          </cell>
        </row>
        <row r="663">
          <cell r="A663" t="str">
            <v>1;27;B;B;PAQ00a02</v>
          </cell>
          <cell r="B663">
            <v>730069</v>
          </cell>
          <cell r="C663" t="str">
            <v>B</v>
          </cell>
          <cell r="D663" t="str">
            <v>BALEARES</v>
          </cell>
          <cell r="E663" t="str">
            <v>27</v>
          </cell>
          <cell r="F663" t="str">
            <v>PAQ00a02</v>
          </cell>
          <cell r="G663" t="str">
            <v>B</v>
          </cell>
          <cell r="H663">
            <v>16.47</v>
          </cell>
        </row>
        <row r="664">
          <cell r="A664" t="str">
            <v>1;27;B;B;PAQ02a04</v>
          </cell>
          <cell r="B664">
            <v>730069</v>
          </cell>
          <cell r="C664" t="str">
            <v>B</v>
          </cell>
          <cell r="D664" t="str">
            <v>BALEARES</v>
          </cell>
          <cell r="E664" t="str">
            <v>27</v>
          </cell>
          <cell r="F664" t="str">
            <v>PAQ02a04</v>
          </cell>
          <cell r="G664" t="str">
            <v>B</v>
          </cell>
          <cell r="H664">
            <v>21.74</v>
          </cell>
        </row>
        <row r="665">
          <cell r="A665" t="str">
            <v>1;27;B;B;PAQ04a06</v>
          </cell>
          <cell r="B665">
            <v>730069</v>
          </cell>
          <cell r="C665" t="str">
            <v>B</v>
          </cell>
          <cell r="D665" t="str">
            <v>BALEARES</v>
          </cell>
          <cell r="E665" t="str">
            <v>27</v>
          </cell>
          <cell r="F665" t="str">
            <v>PAQ04a06</v>
          </cell>
          <cell r="G665" t="str">
            <v>B</v>
          </cell>
          <cell r="H665">
            <v>27</v>
          </cell>
        </row>
        <row r="666">
          <cell r="A666" t="str">
            <v>1;27;B;B;PAQ06a08</v>
          </cell>
          <cell r="B666">
            <v>730069</v>
          </cell>
          <cell r="C666" t="str">
            <v>B</v>
          </cell>
          <cell r="D666" t="str">
            <v>BALEARES</v>
          </cell>
          <cell r="E666" t="str">
            <v>27</v>
          </cell>
          <cell r="F666" t="str">
            <v>PAQ06a08</v>
          </cell>
          <cell r="G666" t="str">
            <v>B</v>
          </cell>
          <cell r="H666">
            <v>32.270000000000003</v>
          </cell>
        </row>
        <row r="667">
          <cell r="A667" t="str">
            <v>1;27;B;B;PAQ08a10</v>
          </cell>
          <cell r="B667">
            <v>730069</v>
          </cell>
          <cell r="C667" t="str">
            <v>B</v>
          </cell>
          <cell r="D667" t="str">
            <v>BALEARES</v>
          </cell>
          <cell r="E667" t="str">
            <v>27</v>
          </cell>
          <cell r="F667" t="str">
            <v>PAQ08a10</v>
          </cell>
          <cell r="G667" t="str">
            <v>B</v>
          </cell>
          <cell r="H667">
            <v>37.54</v>
          </cell>
        </row>
        <row r="668">
          <cell r="A668" t="str">
            <v>1;27;B;B;PAQ10a12</v>
          </cell>
          <cell r="B668">
            <v>730069</v>
          </cell>
          <cell r="C668" t="str">
            <v>B</v>
          </cell>
          <cell r="D668" t="str">
            <v>BALEARES</v>
          </cell>
          <cell r="E668" t="str">
            <v>27</v>
          </cell>
          <cell r="F668" t="str">
            <v>PAQ10a12</v>
          </cell>
          <cell r="G668" t="str">
            <v>B</v>
          </cell>
          <cell r="H668">
            <v>42.81</v>
          </cell>
        </row>
        <row r="669">
          <cell r="A669" t="str">
            <v>1;27;B;B;PAQ12a14</v>
          </cell>
          <cell r="B669">
            <v>730069</v>
          </cell>
          <cell r="C669" t="str">
            <v>B</v>
          </cell>
          <cell r="D669" t="str">
            <v>BALEARES</v>
          </cell>
          <cell r="E669" t="str">
            <v>27</v>
          </cell>
          <cell r="F669" t="str">
            <v>PAQ12a14</v>
          </cell>
          <cell r="G669" t="str">
            <v>B</v>
          </cell>
          <cell r="H669">
            <v>48.08</v>
          </cell>
        </row>
        <row r="670">
          <cell r="A670" t="str">
            <v>1;27;B;B;PAQ14a16</v>
          </cell>
          <cell r="B670">
            <v>730069</v>
          </cell>
          <cell r="C670" t="str">
            <v>B</v>
          </cell>
          <cell r="D670" t="str">
            <v>BALEARES</v>
          </cell>
          <cell r="E670" t="str">
            <v>27</v>
          </cell>
          <cell r="F670" t="str">
            <v>PAQ14a16</v>
          </cell>
          <cell r="G670" t="str">
            <v>B</v>
          </cell>
          <cell r="H670">
            <v>53.35</v>
          </cell>
        </row>
        <row r="671">
          <cell r="A671" t="str">
            <v>1;27;B;B;PAQ16a18</v>
          </cell>
          <cell r="B671">
            <v>730069</v>
          </cell>
          <cell r="C671" t="str">
            <v>B</v>
          </cell>
          <cell r="D671" t="str">
            <v>BALEARES</v>
          </cell>
          <cell r="E671" t="str">
            <v>27</v>
          </cell>
          <cell r="F671" t="str">
            <v>PAQ16a18</v>
          </cell>
          <cell r="G671" t="str">
            <v>B</v>
          </cell>
          <cell r="H671">
            <v>58.62</v>
          </cell>
        </row>
        <row r="672">
          <cell r="A672" t="str">
            <v>1;27;B;B;PAQ18a20</v>
          </cell>
          <cell r="B672">
            <v>730069</v>
          </cell>
          <cell r="C672" t="str">
            <v>B</v>
          </cell>
          <cell r="D672" t="str">
            <v>BALEARES</v>
          </cell>
          <cell r="E672" t="str">
            <v>27</v>
          </cell>
          <cell r="F672" t="str">
            <v>PAQ18a20</v>
          </cell>
          <cell r="G672" t="str">
            <v>B</v>
          </cell>
          <cell r="H672">
            <v>63.89</v>
          </cell>
        </row>
        <row r="673">
          <cell r="A673" t="str">
            <v>1;27;B;B;PAQ20a22</v>
          </cell>
          <cell r="B673">
            <v>730069</v>
          </cell>
          <cell r="C673" t="str">
            <v>B</v>
          </cell>
          <cell r="D673" t="str">
            <v>BALEARES</v>
          </cell>
          <cell r="E673" t="str">
            <v>27</v>
          </cell>
          <cell r="F673" t="str">
            <v>PAQ20a22</v>
          </cell>
          <cell r="G673" t="str">
            <v>B</v>
          </cell>
          <cell r="H673">
            <v>69.16</v>
          </cell>
        </row>
        <row r="674">
          <cell r="A674" t="str">
            <v>1;27;B;B;PAQ22a24</v>
          </cell>
          <cell r="B674">
            <v>730069</v>
          </cell>
          <cell r="C674" t="str">
            <v>B</v>
          </cell>
          <cell r="D674" t="str">
            <v>BALEARES</v>
          </cell>
          <cell r="E674" t="str">
            <v>27</v>
          </cell>
          <cell r="F674" t="str">
            <v>PAQ22a24</v>
          </cell>
          <cell r="G674" t="str">
            <v>B</v>
          </cell>
          <cell r="H674">
            <v>74.430000000000007</v>
          </cell>
        </row>
        <row r="675">
          <cell r="A675" t="str">
            <v>1;27;B;B;PAQ24a26</v>
          </cell>
          <cell r="B675">
            <v>730069</v>
          </cell>
          <cell r="C675" t="str">
            <v>B</v>
          </cell>
          <cell r="D675" t="str">
            <v>BALEARES</v>
          </cell>
          <cell r="E675" t="str">
            <v>27</v>
          </cell>
          <cell r="F675" t="str">
            <v>PAQ24a26</v>
          </cell>
          <cell r="G675" t="str">
            <v>B</v>
          </cell>
          <cell r="H675">
            <v>79.7</v>
          </cell>
        </row>
        <row r="676">
          <cell r="A676" t="str">
            <v>1;27;B;B;PAQ26a28</v>
          </cell>
          <cell r="B676">
            <v>730069</v>
          </cell>
          <cell r="C676" t="str">
            <v>B</v>
          </cell>
          <cell r="D676" t="str">
            <v>BALEARES</v>
          </cell>
          <cell r="E676" t="str">
            <v>27</v>
          </cell>
          <cell r="F676" t="str">
            <v>PAQ26a28</v>
          </cell>
          <cell r="G676" t="str">
            <v>B</v>
          </cell>
          <cell r="H676">
            <v>84.97</v>
          </cell>
        </row>
        <row r="677">
          <cell r="A677" t="str">
            <v>1;27;B;B;PAQ28a30</v>
          </cell>
          <cell r="B677">
            <v>730069</v>
          </cell>
          <cell r="C677" t="str">
            <v>B</v>
          </cell>
          <cell r="D677" t="str">
            <v>BALEARES</v>
          </cell>
          <cell r="E677" t="str">
            <v>27</v>
          </cell>
          <cell r="F677" t="str">
            <v>PAQ28a30</v>
          </cell>
          <cell r="G677" t="str">
            <v>B</v>
          </cell>
          <cell r="H677">
            <v>90.24</v>
          </cell>
        </row>
        <row r="678">
          <cell r="A678" t="str">
            <v>1;27;B;B;PAQ30a32</v>
          </cell>
          <cell r="B678">
            <v>730069</v>
          </cell>
          <cell r="C678" t="str">
            <v>B</v>
          </cell>
          <cell r="D678" t="str">
            <v>BALEARES</v>
          </cell>
          <cell r="E678" t="str">
            <v>27</v>
          </cell>
          <cell r="F678" t="str">
            <v>PAQ30a32</v>
          </cell>
          <cell r="G678" t="str">
            <v>B</v>
          </cell>
          <cell r="H678">
            <v>95.51</v>
          </cell>
        </row>
        <row r="679">
          <cell r="A679" t="str">
            <v>1;27;B;B;PAQ32a34</v>
          </cell>
          <cell r="B679">
            <v>730069</v>
          </cell>
          <cell r="C679" t="str">
            <v>B</v>
          </cell>
          <cell r="D679" t="str">
            <v>BALEARES</v>
          </cell>
          <cell r="E679" t="str">
            <v>27</v>
          </cell>
          <cell r="F679" t="str">
            <v>PAQ32a34</v>
          </cell>
          <cell r="G679" t="str">
            <v>B</v>
          </cell>
          <cell r="H679">
            <v>100.78</v>
          </cell>
        </row>
        <row r="680">
          <cell r="A680" t="str">
            <v>1;27;B;B;PAQ34a36</v>
          </cell>
          <cell r="B680">
            <v>730069</v>
          </cell>
          <cell r="C680" t="str">
            <v>B</v>
          </cell>
          <cell r="D680" t="str">
            <v>BALEARES</v>
          </cell>
          <cell r="E680" t="str">
            <v>27</v>
          </cell>
          <cell r="F680" t="str">
            <v>PAQ34a36</v>
          </cell>
          <cell r="G680" t="str">
            <v>B</v>
          </cell>
          <cell r="H680">
            <v>106.05</v>
          </cell>
        </row>
        <row r="681">
          <cell r="A681" t="str">
            <v>1;27;B;B;PAQ36a38</v>
          </cell>
          <cell r="B681">
            <v>730069</v>
          </cell>
          <cell r="C681" t="str">
            <v>B</v>
          </cell>
          <cell r="D681" t="str">
            <v>BALEARES</v>
          </cell>
          <cell r="E681" t="str">
            <v>27</v>
          </cell>
          <cell r="F681" t="str">
            <v>PAQ36a38</v>
          </cell>
          <cell r="G681" t="str">
            <v>B</v>
          </cell>
          <cell r="H681">
            <v>111.32</v>
          </cell>
        </row>
        <row r="682">
          <cell r="A682" t="str">
            <v>1;27;B;B;PAQ38a40</v>
          </cell>
          <cell r="B682">
            <v>730069</v>
          </cell>
          <cell r="C682" t="str">
            <v>B</v>
          </cell>
          <cell r="D682" t="str">
            <v>BALEARES</v>
          </cell>
          <cell r="E682" t="str">
            <v>27</v>
          </cell>
          <cell r="F682" t="str">
            <v>PAQ38a40</v>
          </cell>
          <cell r="G682" t="str">
            <v>B</v>
          </cell>
          <cell r="H682">
            <v>116.59</v>
          </cell>
        </row>
        <row r="683">
          <cell r="A683" t="str">
            <v>1;27;B;F;</v>
          </cell>
          <cell r="B683">
            <v>730069</v>
          </cell>
          <cell r="C683" t="str">
            <v>B</v>
          </cell>
          <cell r="D683" t="str">
            <v>BALEARES</v>
          </cell>
          <cell r="E683" t="str">
            <v>27</v>
          </cell>
          <cell r="F683" t="str">
            <v/>
          </cell>
          <cell r="G683" t="str">
            <v>F</v>
          </cell>
          <cell r="H683">
            <v>5.27</v>
          </cell>
        </row>
        <row r="684">
          <cell r="A684" t="str">
            <v>1;27;B;E;</v>
          </cell>
          <cell r="B684">
            <v>730069</v>
          </cell>
          <cell r="C684" t="str">
            <v>B</v>
          </cell>
          <cell r="D684" t="str">
            <v>BALEARES</v>
          </cell>
          <cell r="E684" t="str">
            <v>27</v>
          </cell>
          <cell r="F684" t="str">
            <v/>
          </cell>
          <cell r="G684" t="str">
            <v>E</v>
          </cell>
          <cell r="H684">
            <v>0</v>
          </cell>
        </row>
        <row r="685">
          <cell r="A685" t="str">
            <v>1;27;B;P;</v>
          </cell>
          <cell r="B685">
            <v>730069</v>
          </cell>
          <cell r="C685" t="str">
            <v>B</v>
          </cell>
          <cell r="D685" t="str">
            <v>BALEARES</v>
          </cell>
          <cell r="E685" t="str">
            <v>27</v>
          </cell>
          <cell r="F685" t="str">
            <v/>
          </cell>
          <cell r="G685" t="str">
            <v>P</v>
          </cell>
          <cell r="H685">
            <v>0</v>
          </cell>
        </row>
        <row r="686">
          <cell r="A686" t="str">
            <v>1;31;B;B;PAQ00a02</v>
          </cell>
          <cell r="B686">
            <v>730069</v>
          </cell>
          <cell r="C686" t="str">
            <v>B</v>
          </cell>
          <cell r="D686" t="str">
            <v>BALEARES</v>
          </cell>
          <cell r="E686" t="str">
            <v>31</v>
          </cell>
          <cell r="F686" t="str">
            <v>PAQ00a02</v>
          </cell>
          <cell r="G686" t="str">
            <v>B</v>
          </cell>
          <cell r="H686">
            <v>14.91</v>
          </cell>
        </row>
        <row r="687">
          <cell r="A687" t="str">
            <v>1;31;B;B;PAQ02a04</v>
          </cell>
          <cell r="B687">
            <v>730069</v>
          </cell>
          <cell r="C687" t="str">
            <v>B</v>
          </cell>
          <cell r="D687" t="str">
            <v>BALEARES</v>
          </cell>
          <cell r="E687" t="str">
            <v>31</v>
          </cell>
          <cell r="F687" t="str">
            <v>PAQ02a04</v>
          </cell>
          <cell r="G687" t="str">
            <v>B</v>
          </cell>
          <cell r="H687">
            <v>19.649999999999999</v>
          </cell>
        </row>
        <row r="688">
          <cell r="A688" t="str">
            <v>1;31;B;B;PAQ04a06</v>
          </cell>
          <cell r="B688">
            <v>730069</v>
          </cell>
          <cell r="C688" t="str">
            <v>B</v>
          </cell>
          <cell r="D688" t="str">
            <v>BALEARES</v>
          </cell>
          <cell r="E688" t="str">
            <v>31</v>
          </cell>
          <cell r="F688" t="str">
            <v>PAQ04a06</v>
          </cell>
          <cell r="G688" t="str">
            <v>B</v>
          </cell>
          <cell r="H688">
            <v>24.42</v>
          </cell>
        </row>
        <row r="689">
          <cell r="A689" t="str">
            <v>1;31;B;B;PAQ06a08</v>
          </cell>
          <cell r="B689">
            <v>730069</v>
          </cell>
          <cell r="C689" t="str">
            <v>B</v>
          </cell>
          <cell r="D689" t="str">
            <v>BALEARES</v>
          </cell>
          <cell r="E689" t="str">
            <v>31</v>
          </cell>
          <cell r="F689" t="str">
            <v>PAQ06a08</v>
          </cell>
          <cell r="G689" t="str">
            <v>B</v>
          </cell>
          <cell r="H689">
            <v>29.19</v>
          </cell>
        </row>
        <row r="690">
          <cell r="A690" t="str">
            <v>1;31;B;B;PAQ08a10</v>
          </cell>
          <cell r="B690">
            <v>730069</v>
          </cell>
          <cell r="C690" t="str">
            <v>B</v>
          </cell>
          <cell r="D690" t="str">
            <v>BALEARES</v>
          </cell>
          <cell r="E690" t="str">
            <v>31</v>
          </cell>
          <cell r="F690" t="str">
            <v>PAQ08a10</v>
          </cell>
          <cell r="G690" t="str">
            <v>B</v>
          </cell>
          <cell r="H690">
            <v>33.96</v>
          </cell>
        </row>
        <row r="691">
          <cell r="A691" t="str">
            <v>1;31;B;B;PAQ10a12</v>
          </cell>
          <cell r="B691">
            <v>730069</v>
          </cell>
          <cell r="C691" t="str">
            <v>B</v>
          </cell>
          <cell r="D691" t="str">
            <v>BALEARES</v>
          </cell>
          <cell r="E691" t="str">
            <v>31</v>
          </cell>
          <cell r="F691" t="str">
            <v>PAQ10a12</v>
          </cell>
          <cell r="G691" t="str">
            <v>B</v>
          </cell>
          <cell r="H691">
            <v>38.729999999999997</v>
          </cell>
        </row>
        <row r="692">
          <cell r="A692" t="str">
            <v>1;31;B;B;PAQ12a14</v>
          </cell>
          <cell r="B692">
            <v>730069</v>
          </cell>
          <cell r="C692" t="str">
            <v>B</v>
          </cell>
          <cell r="D692" t="str">
            <v>BALEARES</v>
          </cell>
          <cell r="E692" t="str">
            <v>31</v>
          </cell>
          <cell r="F692" t="str">
            <v>PAQ12a14</v>
          </cell>
          <cell r="G692" t="str">
            <v>B</v>
          </cell>
          <cell r="H692">
            <v>43.48</v>
          </cell>
        </row>
        <row r="693">
          <cell r="A693" t="str">
            <v>1;31;B;B;PAQ14a16</v>
          </cell>
          <cell r="B693">
            <v>730069</v>
          </cell>
          <cell r="C693" t="str">
            <v>B</v>
          </cell>
          <cell r="D693" t="str">
            <v>BALEARES</v>
          </cell>
          <cell r="E693" t="str">
            <v>31</v>
          </cell>
          <cell r="F693" t="str">
            <v>PAQ14a16</v>
          </cell>
          <cell r="G693" t="str">
            <v>B</v>
          </cell>
          <cell r="H693">
            <v>48.26</v>
          </cell>
        </row>
        <row r="694">
          <cell r="A694" t="str">
            <v>1;31;B;B;PAQ16a18</v>
          </cell>
          <cell r="B694">
            <v>730069</v>
          </cell>
          <cell r="C694" t="str">
            <v>B</v>
          </cell>
          <cell r="D694" t="str">
            <v>BALEARES</v>
          </cell>
          <cell r="E694" t="str">
            <v>31</v>
          </cell>
          <cell r="F694" t="str">
            <v>PAQ16a18</v>
          </cell>
          <cell r="G694" t="str">
            <v>B</v>
          </cell>
          <cell r="H694">
            <v>53.01</v>
          </cell>
        </row>
        <row r="695">
          <cell r="A695" t="str">
            <v>1;31;B;B;PAQ18a20</v>
          </cell>
          <cell r="B695">
            <v>730069</v>
          </cell>
          <cell r="C695" t="str">
            <v>B</v>
          </cell>
          <cell r="D695" t="str">
            <v>BALEARES</v>
          </cell>
          <cell r="E695" t="str">
            <v>31</v>
          </cell>
          <cell r="F695" t="str">
            <v>PAQ18a20</v>
          </cell>
          <cell r="G695" t="str">
            <v>B</v>
          </cell>
          <cell r="H695">
            <v>57.79</v>
          </cell>
        </row>
        <row r="696">
          <cell r="A696" t="str">
            <v>1;33;B;B;PAQ00a02</v>
          </cell>
          <cell r="B696">
            <v>730069</v>
          </cell>
          <cell r="C696" t="str">
            <v>B</v>
          </cell>
          <cell r="D696" t="str">
            <v>BALEARES</v>
          </cell>
          <cell r="E696" t="str">
            <v>33</v>
          </cell>
          <cell r="F696" t="str">
            <v>PAQ00a02</v>
          </cell>
          <cell r="G696" t="str">
            <v>B</v>
          </cell>
          <cell r="H696">
            <v>24.71</v>
          </cell>
        </row>
        <row r="697">
          <cell r="A697" t="str">
            <v>1;33;B;B;PAQ02a04</v>
          </cell>
          <cell r="B697">
            <v>730069</v>
          </cell>
          <cell r="C697" t="str">
            <v>B</v>
          </cell>
          <cell r="D697" t="str">
            <v>BALEARES</v>
          </cell>
          <cell r="E697" t="str">
            <v>33</v>
          </cell>
          <cell r="F697" t="str">
            <v>PAQ02a04</v>
          </cell>
          <cell r="G697" t="str">
            <v>B</v>
          </cell>
          <cell r="H697">
            <v>32.61</v>
          </cell>
        </row>
        <row r="698">
          <cell r="A698" t="str">
            <v>1;33;B;B;PAQ04a06</v>
          </cell>
          <cell r="B698">
            <v>730069</v>
          </cell>
          <cell r="C698" t="str">
            <v>B</v>
          </cell>
          <cell r="D698" t="str">
            <v>BALEARES</v>
          </cell>
          <cell r="E698" t="str">
            <v>33</v>
          </cell>
          <cell r="F698" t="str">
            <v>PAQ04a06</v>
          </cell>
          <cell r="G698" t="str">
            <v>B</v>
          </cell>
          <cell r="H698">
            <v>40.520000000000003</v>
          </cell>
        </row>
        <row r="699">
          <cell r="A699" t="str">
            <v>1;33;B;B;PAQ06a08</v>
          </cell>
          <cell r="B699">
            <v>730069</v>
          </cell>
          <cell r="C699" t="str">
            <v>B</v>
          </cell>
          <cell r="D699" t="str">
            <v>BALEARES</v>
          </cell>
          <cell r="E699" t="str">
            <v>33</v>
          </cell>
          <cell r="F699" t="str">
            <v>PAQ06a08</v>
          </cell>
          <cell r="G699" t="str">
            <v>B</v>
          </cell>
          <cell r="H699">
            <v>48.43</v>
          </cell>
        </row>
        <row r="700">
          <cell r="A700" t="str">
            <v>1;33;B;B;PAQ08a10</v>
          </cell>
          <cell r="B700">
            <v>730069</v>
          </cell>
          <cell r="C700" t="str">
            <v>B</v>
          </cell>
          <cell r="D700" t="str">
            <v>BALEARES</v>
          </cell>
          <cell r="E700" t="str">
            <v>33</v>
          </cell>
          <cell r="F700" t="str">
            <v>PAQ08a10</v>
          </cell>
          <cell r="G700" t="str">
            <v>B</v>
          </cell>
          <cell r="H700">
            <v>56.32</v>
          </cell>
        </row>
        <row r="701">
          <cell r="A701" t="str">
            <v>1;33;B;B;PAQ10a12</v>
          </cell>
          <cell r="B701">
            <v>730069</v>
          </cell>
          <cell r="C701" t="str">
            <v>B</v>
          </cell>
          <cell r="D701" t="str">
            <v>BALEARES</v>
          </cell>
          <cell r="E701" t="str">
            <v>33</v>
          </cell>
          <cell r="F701" t="str">
            <v>PAQ10a12</v>
          </cell>
          <cell r="G701" t="str">
            <v>B</v>
          </cell>
          <cell r="H701">
            <v>64.23</v>
          </cell>
        </row>
        <row r="702">
          <cell r="A702" t="str">
            <v>1;33;B;B;PAQ12a14</v>
          </cell>
          <cell r="B702">
            <v>730069</v>
          </cell>
          <cell r="C702" t="str">
            <v>B</v>
          </cell>
          <cell r="D702" t="str">
            <v>BALEARES</v>
          </cell>
          <cell r="E702" t="str">
            <v>33</v>
          </cell>
          <cell r="F702" t="str">
            <v>PAQ12a14</v>
          </cell>
          <cell r="G702" t="str">
            <v>B</v>
          </cell>
          <cell r="H702">
            <v>72.14</v>
          </cell>
        </row>
        <row r="703">
          <cell r="A703" t="str">
            <v>1;33;B;B;PAQ14a16</v>
          </cell>
          <cell r="B703">
            <v>730069</v>
          </cell>
          <cell r="C703" t="str">
            <v>B</v>
          </cell>
          <cell r="D703" t="str">
            <v>BALEARES</v>
          </cell>
          <cell r="E703" t="str">
            <v>33</v>
          </cell>
          <cell r="F703" t="str">
            <v>PAQ14a16</v>
          </cell>
          <cell r="G703" t="str">
            <v>B</v>
          </cell>
          <cell r="H703">
            <v>80.040000000000006</v>
          </cell>
        </row>
        <row r="704">
          <cell r="A704" t="str">
            <v>1;33;B;B;PAQ16a18</v>
          </cell>
          <cell r="B704">
            <v>730069</v>
          </cell>
          <cell r="C704" t="str">
            <v>B</v>
          </cell>
          <cell r="D704" t="str">
            <v>BALEARES</v>
          </cell>
          <cell r="E704" t="str">
            <v>33</v>
          </cell>
          <cell r="F704" t="str">
            <v>PAQ16a18</v>
          </cell>
          <cell r="G704" t="str">
            <v>B</v>
          </cell>
          <cell r="H704">
            <v>87.95</v>
          </cell>
        </row>
        <row r="705">
          <cell r="A705" t="str">
            <v>1;33;B;B;PAQ18a20</v>
          </cell>
          <cell r="B705">
            <v>730069</v>
          </cell>
          <cell r="C705" t="str">
            <v>B</v>
          </cell>
          <cell r="D705" t="str">
            <v>BALEARES</v>
          </cell>
          <cell r="E705" t="str">
            <v>33</v>
          </cell>
          <cell r="F705" t="str">
            <v>PAQ18a20</v>
          </cell>
          <cell r="G705" t="str">
            <v>B</v>
          </cell>
          <cell r="H705">
            <v>95.85</v>
          </cell>
        </row>
        <row r="706">
          <cell r="A706" t="str">
            <v>1;33;B;B;PAQ20a22</v>
          </cell>
          <cell r="B706">
            <v>730069</v>
          </cell>
          <cell r="C706" t="str">
            <v>B</v>
          </cell>
          <cell r="D706" t="str">
            <v>BALEARES</v>
          </cell>
          <cell r="E706" t="str">
            <v>33</v>
          </cell>
          <cell r="F706" t="str">
            <v>PAQ20a22</v>
          </cell>
          <cell r="G706" t="str">
            <v>B</v>
          </cell>
          <cell r="H706">
            <v>103.76</v>
          </cell>
        </row>
        <row r="707">
          <cell r="A707" t="str">
            <v>1;33;B;B;PAQ22a24</v>
          </cell>
          <cell r="B707">
            <v>730069</v>
          </cell>
          <cell r="C707" t="str">
            <v>B</v>
          </cell>
          <cell r="D707" t="str">
            <v>BALEARES</v>
          </cell>
          <cell r="E707" t="str">
            <v>33</v>
          </cell>
          <cell r="F707" t="str">
            <v>PAQ22a24</v>
          </cell>
          <cell r="G707" t="str">
            <v>B</v>
          </cell>
          <cell r="H707">
            <v>111.66</v>
          </cell>
        </row>
        <row r="708">
          <cell r="A708" t="str">
            <v>1;33;B;B;PAQ24a26</v>
          </cell>
          <cell r="B708">
            <v>730069</v>
          </cell>
          <cell r="C708" t="str">
            <v>B</v>
          </cell>
          <cell r="D708" t="str">
            <v>BALEARES</v>
          </cell>
          <cell r="E708" t="str">
            <v>33</v>
          </cell>
          <cell r="F708" t="str">
            <v>PAQ24a26</v>
          </cell>
          <cell r="G708" t="str">
            <v>B</v>
          </cell>
          <cell r="H708">
            <v>119.56</v>
          </cell>
        </row>
        <row r="709">
          <cell r="A709" t="str">
            <v>1;33;B;B;PAQ26a28</v>
          </cell>
          <cell r="B709">
            <v>730069</v>
          </cell>
          <cell r="C709" t="str">
            <v>B</v>
          </cell>
          <cell r="D709" t="str">
            <v>BALEARES</v>
          </cell>
          <cell r="E709" t="str">
            <v>33</v>
          </cell>
          <cell r="F709" t="str">
            <v>PAQ26a28</v>
          </cell>
          <cell r="G709" t="str">
            <v>B</v>
          </cell>
          <cell r="H709">
            <v>127.47</v>
          </cell>
        </row>
        <row r="710">
          <cell r="A710" t="str">
            <v>1;33;B;B;PAQ28a30</v>
          </cell>
          <cell r="B710">
            <v>730069</v>
          </cell>
          <cell r="C710" t="str">
            <v>B</v>
          </cell>
          <cell r="D710" t="str">
            <v>BALEARES</v>
          </cell>
          <cell r="E710" t="str">
            <v>33</v>
          </cell>
          <cell r="F710" t="str">
            <v>PAQ28a30</v>
          </cell>
          <cell r="G710" t="str">
            <v>B</v>
          </cell>
          <cell r="H710">
            <v>135.38</v>
          </cell>
        </row>
        <row r="711">
          <cell r="A711" t="str">
            <v>1;33;B;B;PAQ30a32</v>
          </cell>
          <cell r="B711">
            <v>730069</v>
          </cell>
          <cell r="C711" t="str">
            <v>B</v>
          </cell>
          <cell r="D711" t="str">
            <v>BALEARES</v>
          </cell>
          <cell r="E711" t="str">
            <v>33</v>
          </cell>
          <cell r="F711" t="str">
            <v>PAQ30a32</v>
          </cell>
          <cell r="G711" t="str">
            <v>B</v>
          </cell>
          <cell r="H711">
            <v>143.28</v>
          </cell>
        </row>
        <row r="712">
          <cell r="A712" t="str">
            <v>1;33;B;B;PAQ32a34</v>
          </cell>
          <cell r="B712">
            <v>730069</v>
          </cell>
          <cell r="C712" t="str">
            <v>B</v>
          </cell>
          <cell r="D712" t="str">
            <v>BALEARES</v>
          </cell>
          <cell r="E712" t="str">
            <v>33</v>
          </cell>
          <cell r="F712" t="str">
            <v>PAQ32a34</v>
          </cell>
          <cell r="G712" t="str">
            <v>B</v>
          </cell>
          <cell r="H712">
            <v>151.19</v>
          </cell>
        </row>
        <row r="713">
          <cell r="A713" t="str">
            <v>1;33;B;B;PAQ34a36</v>
          </cell>
          <cell r="B713">
            <v>730069</v>
          </cell>
          <cell r="C713" t="str">
            <v>B</v>
          </cell>
          <cell r="D713" t="str">
            <v>BALEARES</v>
          </cell>
          <cell r="E713" t="str">
            <v>33</v>
          </cell>
          <cell r="F713" t="str">
            <v>PAQ34a36</v>
          </cell>
          <cell r="G713" t="str">
            <v>B</v>
          </cell>
          <cell r="H713">
            <v>159.1</v>
          </cell>
        </row>
        <row r="714">
          <cell r="A714" t="str">
            <v>1;33;B;B;PAQ36a38</v>
          </cell>
          <cell r="B714">
            <v>730069</v>
          </cell>
          <cell r="C714" t="str">
            <v>B</v>
          </cell>
          <cell r="D714" t="str">
            <v>BALEARES</v>
          </cell>
          <cell r="E714" t="str">
            <v>33</v>
          </cell>
          <cell r="F714" t="str">
            <v>PAQ36a38</v>
          </cell>
          <cell r="G714" t="str">
            <v>B</v>
          </cell>
          <cell r="H714">
            <v>166.99</v>
          </cell>
        </row>
        <row r="715">
          <cell r="A715" t="str">
            <v>1;33;B;B;PAQ38a40</v>
          </cell>
          <cell r="B715">
            <v>730069</v>
          </cell>
          <cell r="C715" t="str">
            <v>B</v>
          </cell>
          <cell r="D715" t="str">
            <v>BALEARES</v>
          </cell>
          <cell r="E715" t="str">
            <v>33</v>
          </cell>
          <cell r="F715" t="str">
            <v>PAQ38a40</v>
          </cell>
          <cell r="G715" t="str">
            <v>B</v>
          </cell>
          <cell r="H715">
            <v>174.9</v>
          </cell>
        </row>
        <row r="716">
          <cell r="A716" t="str">
            <v>1;33;B;F;</v>
          </cell>
          <cell r="B716">
            <v>730069</v>
          </cell>
          <cell r="C716" t="str">
            <v>B</v>
          </cell>
          <cell r="D716" t="str">
            <v>BALEARES</v>
          </cell>
          <cell r="E716" t="str">
            <v>33</v>
          </cell>
          <cell r="F716" t="str">
            <v/>
          </cell>
          <cell r="G716" t="str">
            <v>F</v>
          </cell>
          <cell r="H716">
            <v>7.91</v>
          </cell>
        </row>
        <row r="717">
          <cell r="A717" t="str">
            <v>1;33;B;E;</v>
          </cell>
          <cell r="B717">
            <v>730069</v>
          </cell>
          <cell r="C717" t="str">
            <v>B</v>
          </cell>
          <cell r="D717" t="str">
            <v>BALEARES</v>
          </cell>
          <cell r="E717" t="str">
            <v>33</v>
          </cell>
          <cell r="F717" t="str">
            <v/>
          </cell>
          <cell r="G717" t="str">
            <v>E</v>
          </cell>
          <cell r="H717">
            <v>0</v>
          </cell>
        </row>
        <row r="718">
          <cell r="A718" t="str">
            <v>1;33;B;P;</v>
          </cell>
          <cell r="B718">
            <v>730069</v>
          </cell>
          <cell r="C718" t="str">
            <v>B</v>
          </cell>
          <cell r="D718" t="str">
            <v>BALEARES</v>
          </cell>
          <cell r="E718" t="str">
            <v>33</v>
          </cell>
          <cell r="F718" t="str">
            <v/>
          </cell>
          <cell r="G718" t="str">
            <v>P</v>
          </cell>
          <cell r="H718">
            <v>0</v>
          </cell>
        </row>
        <row r="719">
          <cell r="A719" t="str">
            <v>1;60;B;B;BAG</v>
          </cell>
          <cell r="B719">
            <v>730069</v>
          </cell>
          <cell r="C719" t="str">
            <v>B</v>
          </cell>
          <cell r="D719" t="str">
            <v>BALEARES</v>
          </cell>
          <cell r="E719" t="str">
            <v>60</v>
          </cell>
          <cell r="F719" t="str">
            <v>BAG</v>
          </cell>
          <cell r="G719" t="str">
            <v>B</v>
          </cell>
          <cell r="H719">
            <v>32.33</v>
          </cell>
        </row>
        <row r="720">
          <cell r="A720" t="str">
            <v>1;60;B;B;PAQ00a02</v>
          </cell>
          <cell r="B720">
            <v>730069</v>
          </cell>
          <cell r="C720" t="str">
            <v>B</v>
          </cell>
          <cell r="D720" t="str">
            <v>BALEARES</v>
          </cell>
          <cell r="E720" t="str">
            <v>60</v>
          </cell>
          <cell r="F720" t="str">
            <v>PAQ00a02</v>
          </cell>
          <cell r="G720" t="str">
            <v>B</v>
          </cell>
          <cell r="H720">
            <v>37.03</v>
          </cell>
        </row>
        <row r="721">
          <cell r="A721" t="str">
            <v>1;60;B;B;PAQ02a04</v>
          </cell>
          <cell r="B721">
            <v>730069</v>
          </cell>
          <cell r="C721" t="str">
            <v>B</v>
          </cell>
          <cell r="D721" t="str">
            <v>BALEARES</v>
          </cell>
          <cell r="E721" t="str">
            <v>60</v>
          </cell>
          <cell r="F721" t="str">
            <v>PAQ02a04</v>
          </cell>
          <cell r="G721" t="str">
            <v>B</v>
          </cell>
          <cell r="H721">
            <v>54.97</v>
          </cell>
        </row>
        <row r="722">
          <cell r="A722" t="str">
            <v>1;60;B;B;PAQ04a06</v>
          </cell>
          <cell r="B722">
            <v>730069</v>
          </cell>
          <cell r="C722" t="str">
            <v>B</v>
          </cell>
          <cell r="D722" t="str">
            <v>BALEARES</v>
          </cell>
          <cell r="E722" t="str">
            <v>60</v>
          </cell>
          <cell r="F722" t="str">
            <v>PAQ04a06</v>
          </cell>
          <cell r="G722" t="str">
            <v>B</v>
          </cell>
          <cell r="H722">
            <v>74.98</v>
          </cell>
        </row>
        <row r="723">
          <cell r="A723" t="str">
            <v>1;60;B;B;PAQ06a08</v>
          </cell>
          <cell r="B723">
            <v>730069</v>
          </cell>
          <cell r="C723" t="str">
            <v>B</v>
          </cell>
          <cell r="D723" t="str">
            <v>BALEARES</v>
          </cell>
          <cell r="E723" t="str">
            <v>60</v>
          </cell>
          <cell r="F723" t="str">
            <v>PAQ06a08</v>
          </cell>
          <cell r="G723" t="str">
            <v>B</v>
          </cell>
          <cell r="H723">
            <v>94.99</v>
          </cell>
        </row>
        <row r="724">
          <cell r="A724" t="str">
            <v>1;60;B;B;PAQ08a10</v>
          </cell>
          <cell r="B724">
            <v>730069</v>
          </cell>
          <cell r="C724" t="str">
            <v>B</v>
          </cell>
          <cell r="D724" t="str">
            <v>BALEARES</v>
          </cell>
          <cell r="E724" t="str">
            <v>60</v>
          </cell>
          <cell r="F724" t="str">
            <v>PAQ08a10</v>
          </cell>
          <cell r="G724" t="str">
            <v>B</v>
          </cell>
          <cell r="H724">
            <v>115.01</v>
          </cell>
        </row>
        <row r="725">
          <cell r="A725" t="str">
            <v>1;60;B;B;PAQ10a12</v>
          </cell>
          <cell r="B725">
            <v>730069</v>
          </cell>
          <cell r="C725" t="str">
            <v>B</v>
          </cell>
          <cell r="D725" t="str">
            <v>BALEARES</v>
          </cell>
          <cell r="E725" t="str">
            <v>60</v>
          </cell>
          <cell r="F725" t="str">
            <v>PAQ10a12</v>
          </cell>
          <cell r="G725" t="str">
            <v>B</v>
          </cell>
          <cell r="H725">
            <v>135.01</v>
          </cell>
        </row>
        <row r="726">
          <cell r="A726" t="str">
            <v>1;60;B;B;PAQ12a14</v>
          </cell>
          <cell r="B726">
            <v>730069</v>
          </cell>
          <cell r="C726" t="str">
            <v>B</v>
          </cell>
          <cell r="D726" t="str">
            <v>BALEARES</v>
          </cell>
          <cell r="E726" t="str">
            <v>60</v>
          </cell>
          <cell r="F726" t="str">
            <v>PAQ12a14</v>
          </cell>
          <cell r="G726" t="str">
            <v>B</v>
          </cell>
          <cell r="H726">
            <v>155.02000000000001</v>
          </cell>
        </row>
        <row r="727">
          <cell r="A727" t="str">
            <v>1;60;B;B;PAQ14a16</v>
          </cell>
          <cell r="B727">
            <v>730069</v>
          </cell>
          <cell r="C727" t="str">
            <v>B</v>
          </cell>
          <cell r="D727" t="str">
            <v>BALEARES</v>
          </cell>
          <cell r="E727" t="str">
            <v>60</v>
          </cell>
          <cell r="F727" t="str">
            <v>PAQ14a16</v>
          </cell>
          <cell r="G727" t="str">
            <v>B</v>
          </cell>
          <cell r="H727">
            <v>175.04</v>
          </cell>
        </row>
        <row r="728">
          <cell r="A728" t="str">
            <v>1;60;B;B;PAQ16a18</v>
          </cell>
          <cell r="B728">
            <v>730069</v>
          </cell>
          <cell r="C728" t="str">
            <v>B</v>
          </cell>
          <cell r="D728" t="str">
            <v>BALEARES</v>
          </cell>
          <cell r="E728" t="str">
            <v>60</v>
          </cell>
          <cell r="F728" t="str">
            <v>PAQ16a18</v>
          </cell>
          <cell r="G728" t="str">
            <v>B</v>
          </cell>
          <cell r="H728">
            <v>195.05</v>
          </cell>
        </row>
        <row r="729">
          <cell r="A729" t="str">
            <v>1;60;B;B;PAQ18a20</v>
          </cell>
          <cell r="B729">
            <v>730069</v>
          </cell>
          <cell r="C729" t="str">
            <v>B</v>
          </cell>
          <cell r="D729" t="str">
            <v>BALEARES</v>
          </cell>
          <cell r="E729" t="str">
            <v>60</v>
          </cell>
          <cell r="F729" t="str">
            <v>PAQ18a20</v>
          </cell>
          <cell r="G729" t="str">
            <v>B</v>
          </cell>
          <cell r="H729">
            <v>215.05</v>
          </cell>
        </row>
        <row r="730">
          <cell r="A730" t="str">
            <v>1;60;B;B;PAQ20a22</v>
          </cell>
          <cell r="B730">
            <v>730069</v>
          </cell>
          <cell r="C730" t="str">
            <v>B</v>
          </cell>
          <cell r="D730" t="str">
            <v>BALEARES</v>
          </cell>
          <cell r="E730" t="str">
            <v>60</v>
          </cell>
          <cell r="F730" t="str">
            <v>PAQ20a22</v>
          </cell>
          <cell r="G730" t="str">
            <v>B</v>
          </cell>
          <cell r="H730">
            <v>235.06</v>
          </cell>
        </row>
        <row r="731">
          <cell r="A731" t="str">
            <v>1;60;B;B;PAQ22a24</v>
          </cell>
          <cell r="B731">
            <v>730069</v>
          </cell>
          <cell r="C731" t="str">
            <v>B</v>
          </cell>
          <cell r="D731" t="str">
            <v>BALEARES</v>
          </cell>
          <cell r="E731" t="str">
            <v>60</v>
          </cell>
          <cell r="F731" t="str">
            <v>PAQ22a24</v>
          </cell>
          <cell r="G731" t="str">
            <v>B</v>
          </cell>
          <cell r="H731">
            <v>255.08</v>
          </cell>
        </row>
        <row r="732">
          <cell r="A732" t="str">
            <v>1;60;B;B;PAQ24a26</v>
          </cell>
          <cell r="B732">
            <v>730069</v>
          </cell>
          <cell r="C732" t="str">
            <v>B</v>
          </cell>
          <cell r="D732" t="str">
            <v>BALEARES</v>
          </cell>
          <cell r="E732" t="str">
            <v>60</v>
          </cell>
          <cell r="F732" t="str">
            <v>PAQ24a26</v>
          </cell>
          <cell r="G732" t="str">
            <v>B</v>
          </cell>
          <cell r="H732">
            <v>275.08999999999997</v>
          </cell>
        </row>
        <row r="733">
          <cell r="A733" t="str">
            <v>1;60;B;B;PAQ26a28</v>
          </cell>
          <cell r="B733">
            <v>730069</v>
          </cell>
          <cell r="C733" t="str">
            <v>B</v>
          </cell>
          <cell r="D733" t="str">
            <v>BALEARES</v>
          </cell>
          <cell r="E733" t="str">
            <v>60</v>
          </cell>
          <cell r="F733" t="str">
            <v>PAQ26a28</v>
          </cell>
          <cell r="G733" t="str">
            <v>B</v>
          </cell>
          <cell r="H733">
            <v>295.08999999999997</v>
          </cell>
        </row>
        <row r="734">
          <cell r="A734" t="str">
            <v>1;60;B;B;PAQ28a30</v>
          </cell>
          <cell r="B734">
            <v>730069</v>
          </cell>
          <cell r="C734" t="str">
            <v>B</v>
          </cell>
          <cell r="D734" t="str">
            <v>BALEARES</v>
          </cell>
          <cell r="E734" t="str">
            <v>60</v>
          </cell>
          <cell r="F734" t="str">
            <v>PAQ28a30</v>
          </cell>
          <cell r="G734" t="str">
            <v>B</v>
          </cell>
          <cell r="H734">
            <v>315.11</v>
          </cell>
        </row>
        <row r="735">
          <cell r="A735" t="str">
            <v>1;60;B;B;PAQ30a32</v>
          </cell>
          <cell r="B735">
            <v>730069</v>
          </cell>
          <cell r="C735" t="str">
            <v>B</v>
          </cell>
          <cell r="D735" t="str">
            <v>BALEARES</v>
          </cell>
          <cell r="E735" t="str">
            <v>60</v>
          </cell>
          <cell r="F735" t="str">
            <v>PAQ30a32</v>
          </cell>
          <cell r="G735" t="str">
            <v>B</v>
          </cell>
          <cell r="H735">
            <v>335.12</v>
          </cell>
        </row>
        <row r="736">
          <cell r="A736" t="str">
            <v>1;60;B;B;PAQ32a34</v>
          </cell>
          <cell r="B736">
            <v>730069</v>
          </cell>
          <cell r="C736" t="str">
            <v>B</v>
          </cell>
          <cell r="D736" t="str">
            <v>BALEARES</v>
          </cell>
          <cell r="E736" t="str">
            <v>60</v>
          </cell>
          <cell r="F736" t="str">
            <v>PAQ32a34</v>
          </cell>
          <cell r="G736" t="str">
            <v>B</v>
          </cell>
          <cell r="H736">
            <v>355.13</v>
          </cell>
        </row>
        <row r="737">
          <cell r="A737" t="str">
            <v>1;60;B;B;PAQ34a36</v>
          </cell>
          <cell r="B737">
            <v>730069</v>
          </cell>
          <cell r="C737" t="str">
            <v>B</v>
          </cell>
          <cell r="D737" t="str">
            <v>BALEARES</v>
          </cell>
          <cell r="E737" t="str">
            <v>60</v>
          </cell>
          <cell r="F737" t="str">
            <v>PAQ34a36</v>
          </cell>
          <cell r="G737" t="str">
            <v>B</v>
          </cell>
          <cell r="H737">
            <v>375.13</v>
          </cell>
        </row>
        <row r="738">
          <cell r="A738" t="str">
            <v>1;60;B;B;PAQ36a38</v>
          </cell>
          <cell r="B738">
            <v>730069</v>
          </cell>
          <cell r="C738" t="str">
            <v>B</v>
          </cell>
          <cell r="D738" t="str">
            <v>BALEARES</v>
          </cell>
          <cell r="E738" t="str">
            <v>60</v>
          </cell>
          <cell r="F738" t="str">
            <v>PAQ36a38</v>
          </cell>
          <cell r="G738" t="str">
            <v>B</v>
          </cell>
          <cell r="H738">
            <v>395.15</v>
          </cell>
        </row>
        <row r="739">
          <cell r="A739" t="str">
            <v>1;60;B;B;PAQ38a40</v>
          </cell>
          <cell r="B739">
            <v>730069</v>
          </cell>
          <cell r="C739" t="str">
            <v>B</v>
          </cell>
          <cell r="D739" t="str">
            <v>BALEARES</v>
          </cell>
          <cell r="E739" t="str">
            <v>60</v>
          </cell>
          <cell r="F739" t="str">
            <v>PAQ38a40</v>
          </cell>
          <cell r="G739" t="str">
            <v>B</v>
          </cell>
          <cell r="H739">
            <v>415.16</v>
          </cell>
        </row>
        <row r="740">
          <cell r="A740" t="str">
            <v>1;60;B;F;</v>
          </cell>
          <cell r="B740">
            <v>730069</v>
          </cell>
          <cell r="C740" t="str">
            <v>B</v>
          </cell>
          <cell r="D740" t="str">
            <v>BALEARES</v>
          </cell>
          <cell r="E740" t="str">
            <v>60</v>
          </cell>
          <cell r="F740" t="str">
            <v/>
          </cell>
          <cell r="G740" t="str">
            <v>F</v>
          </cell>
          <cell r="H740">
            <v>20.010000000000002</v>
          </cell>
        </row>
        <row r="741">
          <cell r="A741" t="str">
            <v>1;60;B;E;</v>
          </cell>
          <cell r="B741">
            <v>730069</v>
          </cell>
          <cell r="C741" t="str">
            <v>B</v>
          </cell>
          <cell r="D741" t="str">
            <v>BALEARES</v>
          </cell>
          <cell r="E741" t="str">
            <v>60</v>
          </cell>
          <cell r="F741" t="str">
            <v/>
          </cell>
          <cell r="G741" t="str">
            <v>E</v>
          </cell>
          <cell r="H741">
            <v>0</v>
          </cell>
        </row>
        <row r="742">
          <cell r="A742" t="str">
            <v>1;60;B;P;</v>
          </cell>
          <cell r="B742">
            <v>730069</v>
          </cell>
          <cell r="C742" t="str">
            <v>B</v>
          </cell>
          <cell r="D742" t="str">
            <v>BALEARES</v>
          </cell>
          <cell r="E742" t="str">
            <v>60</v>
          </cell>
          <cell r="F742" t="str">
            <v/>
          </cell>
          <cell r="G742" t="str">
            <v>P</v>
          </cell>
          <cell r="H742">
            <v>0</v>
          </cell>
        </row>
        <row r="743">
          <cell r="A743" t="str">
            <v>1;61;B;B;BAG</v>
          </cell>
          <cell r="B743">
            <v>730069</v>
          </cell>
          <cell r="C743" t="str">
            <v>B</v>
          </cell>
          <cell r="D743" t="str">
            <v>BALEARES</v>
          </cell>
          <cell r="E743" t="str">
            <v>61</v>
          </cell>
          <cell r="F743" t="str">
            <v>BAG</v>
          </cell>
          <cell r="G743" t="str">
            <v>B</v>
          </cell>
          <cell r="H743">
            <v>20.85</v>
          </cell>
        </row>
        <row r="744">
          <cell r="A744" t="str">
            <v>1;61;B;B;PAQ00a02</v>
          </cell>
          <cell r="B744">
            <v>730069</v>
          </cell>
          <cell r="C744" t="str">
            <v>B</v>
          </cell>
          <cell r="D744" t="str">
            <v>BALEARES</v>
          </cell>
          <cell r="E744" t="str">
            <v>61</v>
          </cell>
          <cell r="F744" t="str">
            <v>PAQ00a02</v>
          </cell>
          <cell r="G744" t="str">
            <v>B</v>
          </cell>
          <cell r="H744">
            <v>25.57</v>
          </cell>
        </row>
        <row r="745">
          <cell r="A745" t="str">
            <v>1;61;B;B;PAQ02a04</v>
          </cell>
          <cell r="B745">
            <v>730069</v>
          </cell>
          <cell r="C745" t="str">
            <v>B</v>
          </cell>
          <cell r="D745" t="str">
            <v>BALEARES</v>
          </cell>
          <cell r="E745" t="str">
            <v>61</v>
          </cell>
          <cell r="F745" t="str">
            <v>PAQ02a04</v>
          </cell>
          <cell r="G745" t="str">
            <v>B</v>
          </cell>
          <cell r="H745">
            <v>43.5</v>
          </cell>
        </row>
        <row r="746">
          <cell r="A746" t="str">
            <v>1;61;B;B;PAQ04a06</v>
          </cell>
          <cell r="B746">
            <v>730069</v>
          </cell>
          <cell r="C746" t="str">
            <v>B</v>
          </cell>
          <cell r="D746" t="str">
            <v>BALEARES</v>
          </cell>
          <cell r="E746" t="str">
            <v>61</v>
          </cell>
          <cell r="F746" t="str">
            <v>PAQ04a06</v>
          </cell>
          <cell r="G746" t="str">
            <v>B</v>
          </cell>
          <cell r="H746">
            <v>63.51</v>
          </cell>
        </row>
        <row r="747">
          <cell r="A747" t="str">
            <v>1;61;B;B;PAQ06a08</v>
          </cell>
          <cell r="B747">
            <v>730069</v>
          </cell>
          <cell r="C747" t="str">
            <v>B</v>
          </cell>
          <cell r="D747" t="str">
            <v>BALEARES</v>
          </cell>
          <cell r="E747" t="str">
            <v>61</v>
          </cell>
          <cell r="F747" t="str">
            <v>PAQ06a08</v>
          </cell>
          <cell r="G747" t="str">
            <v>B</v>
          </cell>
          <cell r="H747">
            <v>83.53</v>
          </cell>
        </row>
        <row r="748">
          <cell r="A748" t="str">
            <v>1;61;B;B;PAQ08a10</v>
          </cell>
          <cell r="B748">
            <v>730069</v>
          </cell>
          <cell r="C748" t="str">
            <v>B</v>
          </cell>
          <cell r="D748" t="str">
            <v>BALEARES</v>
          </cell>
          <cell r="E748" t="str">
            <v>61</v>
          </cell>
          <cell r="F748" t="str">
            <v>PAQ08a10</v>
          </cell>
          <cell r="G748" t="str">
            <v>B</v>
          </cell>
          <cell r="H748">
            <v>103.54</v>
          </cell>
        </row>
        <row r="749">
          <cell r="A749" t="str">
            <v>1;61;B;B;PAQ10a12</v>
          </cell>
          <cell r="B749">
            <v>730069</v>
          </cell>
          <cell r="C749" t="str">
            <v>B</v>
          </cell>
          <cell r="D749" t="str">
            <v>BALEARES</v>
          </cell>
          <cell r="E749" t="str">
            <v>61</v>
          </cell>
          <cell r="F749" t="str">
            <v>PAQ10a12</v>
          </cell>
          <cell r="G749" t="str">
            <v>B</v>
          </cell>
          <cell r="H749">
            <v>123.54</v>
          </cell>
        </row>
        <row r="750">
          <cell r="A750" t="str">
            <v>1;61;B;B;PAQ12a14</v>
          </cell>
          <cell r="B750">
            <v>730069</v>
          </cell>
          <cell r="C750" t="str">
            <v>B</v>
          </cell>
          <cell r="D750" t="str">
            <v>BALEARES</v>
          </cell>
          <cell r="E750" t="str">
            <v>61</v>
          </cell>
          <cell r="F750" t="str">
            <v>PAQ12a14</v>
          </cell>
          <cell r="G750" t="str">
            <v>B</v>
          </cell>
          <cell r="H750">
            <v>143.56</v>
          </cell>
        </row>
        <row r="751">
          <cell r="A751" t="str">
            <v>1;61;B;B;PAQ14a16</v>
          </cell>
          <cell r="B751">
            <v>730069</v>
          </cell>
          <cell r="C751" t="str">
            <v>B</v>
          </cell>
          <cell r="D751" t="str">
            <v>BALEARES</v>
          </cell>
          <cell r="E751" t="str">
            <v>61</v>
          </cell>
          <cell r="F751" t="str">
            <v>PAQ14a16</v>
          </cell>
          <cell r="G751" t="str">
            <v>B</v>
          </cell>
          <cell r="H751">
            <v>163.57</v>
          </cell>
        </row>
        <row r="752">
          <cell r="A752" t="str">
            <v>1;61;B;B;PAQ16a18</v>
          </cell>
          <cell r="B752">
            <v>730069</v>
          </cell>
          <cell r="C752" t="str">
            <v>B</v>
          </cell>
          <cell r="D752" t="str">
            <v>BALEARES</v>
          </cell>
          <cell r="E752" t="str">
            <v>61</v>
          </cell>
          <cell r="F752" t="str">
            <v>PAQ16a18</v>
          </cell>
          <cell r="G752" t="str">
            <v>B</v>
          </cell>
          <cell r="H752">
            <v>183.58</v>
          </cell>
        </row>
        <row r="753">
          <cell r="A753" t="str">
            <v>1;61;B;B;PAQ18a20</v>
          </cell>
          <cell r="B753">
            <v>730069</v>
          </cell>
          <cell r="C753" t="str">
            <v>B</v>
          </cell>
          <cell r="D753" t="str">
            <v>BALEARES</v>
          </cell>
          <cell r="E753" t="str">
            <v>61</v>
          </cell>
          <cell r="F753" t="str">
            <v>PAQ18a20</v>
          </cell>
          <cell r="G753" t="str">
            <v>B</v>
          </cell>
          <cell r="H753">
            <v>203.58</v>
          </cell>
        </row>
        <row r="754">
          <cell r="A754" t="str">
            <v>1;61;B;B;PAQ20a22</v>
          </cell>
          <cell r="B754">
            <v>730069</v>
          </cell>
          <cell r="C754" t="str">
            <v>B</v>
          </cell>
          <cell r="D754" t="str">
            <v>BALEARES</v>
          </cell>
          <cell r="E754" t="str">
            <v>61</v>
          </cell>
          <cell r="F754" t="str">
            <v>PAQ20a22</v>
          </cell>
          <cell r="G754" t="str">
            <v>B</v>
          </cell>
          <cell r="H754">
            <v>223.6</v>
          </cell>
        </row>
        <row r="755">
          <cell r="A755" t="str">
            <v>1;61;B;B;PAQ22a24</v>
          </cell>
          <cell r="B755">
            <v>730069</v>
          </cell>
          <cell r="C755" t="str">
            <v>B</v>
          </cell>
          <cell r="D755" t="str">
            <v>BALEARES</v>
          </cell>
          <cell r="E755" t="str">
            <v>61</v>
          </cell>
          <cell r="F755" t="str">
            <v>PAQ22a24</v>
          </cell>
          <cell r="G755" t="str">
            <v>B</v>
          </cell>
          <cell r="H755">
            <v>243.61</v>
          </cell>
        </row>
        <row r="756">
          <cell r="A756" t="str">
            <v>1;61;B;B;PAQ24a26</v>
          </cell>
          <cell r="B756">
            <v>730069</v>
          </cell>
          <cell r="C756" t="str">
            <v>B</v>
          </cell>
          <cell r="D756" t="str">
            <v>BALEARES</v>
          </cell>
          <cell r="E756" t="str">
            <v>61</v>
          </cell>
          <cell r="F756" t="str">
            <v>PAQ24a26</v>
          </cell>
          <cell r="G756" t="str">
            <v>B</v>
          </cell>
          <cell r="H756">
            <v>263.62</v>
          </cell>
        </row>
        <row r="757">
          <cell r="A757" t="str">
            <v>1;61;B;B;PAQ26a28</v>
          </cell>
          <cell r="B757">
            <v>730069</v>
          </cell>
          <cell r="C757" t="str">
            <v>B</v>
          </cell>
          <cell r="D757" t="str">
            <v>BALEARES</v>
          </cell>
          <cell r="E757" t="str">
            <v>61</v>
          </cell>
          <cell r="F757" t="str">
            <v>PAQ26a28</v>
          </cell>
          <cell r="G757" t="str">
            <v>B</v>
          </cell>
          <cell r="H757">
            <v>283.63</v>
          </cell>
        </row>
        <row r="758">
          <cell r="A758" t="str">
            <v>1;61;B;B;PAQ28a30</v>
          </cell>
          <cell r="B758">
            <v>730069</v>
          </cell>
          <cell r="C758" t="str">
            <v>B</v>
          </cell>
          <cell r="D758" t="str">
            <v>BALEARES</v>
          </cell>
          <cell r="E758" t="str">
            <v>61</v>
          </cell>
          <cell r="F758" t="str">
            <v>PAQ28a30</v>
          </cell>
          <cell r="G758" t="str">
            <v>B</v>
          </cell>
          <cell r="H758">
            <v>303.64</v>
          </cell>
        </row>
        <row r="759">
          <cell r="A759" t="str">
            <v>1;61;B;B;PAQ30a32</v>
          </cell>
          <cell r="B759">
            <v>730069</v>
          </cell>
          <cell r="C759" t="str">
            <v>B</v>
          </cell>
          <cell r="D759" t="str">
            <v>BALEARES</v>
          </cell>
          <cell r="E759" t="str">
            <v>61</v>
          </cell>
          <cell r="F759" t="str">
            <v>PAQ30a32</v>
          </cell>
          <cell r="G759" t="str">
            <v>B</v>
          </cell>
          <cell r="H759">
            <v>323.64999999999998</v>
          </cell>
        </row>
        <row r="760">
          <cell r="A760" t="str">
            <v>1;61;B;B;PAQ32a34</v>
          </cell>
          <cell r="B760">
            <v>730069</v>
          </cell>
          <cell r="C760" t="str">
            <v>B</v>
          </cell>
          <cell r="D760" t="str">
            <v>BALEARES</v>
          </cell>
          <cell r="E760" t="str">
            <v>61</v>
          </cell>
          <cell r="F760" t="str">
            <v>PAQ32a34</v>
          </cell>
          <cell r="G760" t="str">
            <v>B</v>
          </cell>
          <cell r="H760">
            <v>343.67</v>
          </cell>
        </row>
        <row r="761">
          <cell r="A761" t="str">
            <v>1;61;B;B;PAQ34a36</v>
          </cell>
          <cell r="B761">
            <v>730069</v>
          </cell>
          <cell r="C761" t="str">
            <v>B</v>
          </cell>
          <cell r="D761" t="str">
            <v>BALEARES</v>
          </cell>
          <cell r="E761" t="str">
            <v>61</v>
          </cell>
          <cell r="F761" t="str">
            <v>PAQ34a36</v>
          </cell>
          <cell r="G761" t="str">
            <v>B</v>
          </cell>
          <cell r="H761">
            <v>363.67</v>
          </cell>
        </row>
        <row r="762">
          <cell r="A762" t="str">
            <v>1;61;B;B;PAQ36a38</v>
          </cell>
          <cell r="B762">
            <v>730069</v>
          </cell>
          <cell r="C762" t="str">
            <v>B</v>
          </cell>
          <cell r="D762" t="str">
            <v>BALEARES</v>
          </cell>
          <cell r="E762" t="str">
            <v>61</v>
          </cell>
          <cell r="F762" t="str">
            <v>PAQ36a38</v>
          </cell>
          <cell r="G762" t="str">
            <v>B</v>
          </cell>
          <cell r="H762">
            <v>383.68</v>
          </cell>
        </row>
        <row r="763">
          <cell r="A763" t="str">
            <v>1;61;B;B;PAQ38a40</v>
          </cell>
          <cell r="B763">
            <v>730069</v>
          </cell>
          <cell r="C763" t="str">
            <v>B</v>
          </cell>
          <cell r="D763" t="str">
            <v>BALEARES</v>
          </cell>
          <cell r="E763" t="str">
            <v>61</v>
          </cell>
          <cell r="F763" t="str">
            <v>PAQ38a40</v>
          </cell>
          <cell r="G763" t="str">
            <v>B</v>
          </cell>
          <cell r="H763">
            <v>403.69</v>
          </cell>
        </row>
        <row r="764">
          <cell r="A764" t="str">
            <v>1;61;B;F;</v>
          </cell>
          <cell r="B764">
            <v>730069</v>
          </cell>
          <cell r="C764" t="str">
            <v>B</v>
          </cell>
          <cell r="D764" t="str">
            <v>BALEARES</v>
          </cell>
          <cell r="E764" t="str">
            <v>61</v>
          </cell>
          <cell r="F764" t="str">
            <v/>
          </cell>
          <cell r="G764" t="str">
            <v>F</v>
          </cell>
          <cell r="H764">
            <v>20.010000000000002</v>
          </cell>
        </row>
        <row r="765">
          <cell r="A765" t="str">
            <v>1;61;B;E;</v>
          </cell>
          <cell r="B765">
            <v>730069</v>
          </cell>
          <cell r="C765" t="str">
            <v>B</v>
          </cell>
          <cell r="D765" t="str">
            <v>BALEARES</v>
          </cell>
          <cell r="E765" t="str">
            <v>61</v>
          </cell>
          <cell r="F765" t="str">
            <v/>
          </cell>
          <cell r="G765" t="str">
            <v>E</v>
          </cell>
          <cell r="H765">
            <v>0</v>
          </cell>
        </row>
        <row r="766">
          <cell r="A766" t="str">
            <v>1;61;B;P;</v>
          </cell>
          <cell r="B766">
            <v>730069</v>
          </cell>
          <cell r="C766" t="str">
            <v>B</v>
          </cell>
          <cell r="D766" t="str">
            <v>BALEARES</v>
          </cell>
          <cell r="E766" t="str">
            <v>61</v>
          </cell>
          <cell r="F766" t="str">
            <v/>
          </cell>
          <cell r="G766" t="str">
            <v>P</v>
          </cell>
          <cell r="H766">
            <v>0</v>
          </cell>
        </row>
        <row r="767">
          <cell r="A767" t="str">
            <v>1;62;B;B;BAG</v>
          </cell>
          <cell r="B767">
            <v>730069</v>
          </cell>
          <cell r="C767" t="str">
            <v>B</v>
          </cell>
          <cell r="D767" t="str">
            <v>BALEARES</v>
          </cell>
          <cell r="E767" t="str">
            <v>62</v>
          </cell>
          <cell r="F767" t="str">
            <v>BAG</v>
          </cell>
          <cell r="G767" t="str">
            <v>B</v>
          </cell>
          <cell r="H767">
            <v>15.73</v>
          </cell>
        </row>
        <row r="768">
          <cell r="A768" t="str">
            <v>1;62;B;B;PAQ00a02</v>
          </cell>
          <cell r="B768">
            <v>730069</v>
          </cell>
          <cell r="C768" t="str">
            <v>B</v>
          </cell>
          <cell r="D768" t="str">
            <v>BALEARES</v>
          </cell>
          <cell r="E768" t="str">
            <v>62</v>
          </cell>
          <cell r="F768" t="str">
            <v>PAQ00a02</v>
          </cell>
          <cell r="G768" t="str">
            <v>B</v>
          </cell>
          <cell r="H768">
            <v>18.489999999999998</v>
          </cell>
        </row>
        <row r="769">
          <cell r="A769" t="str">
            <v>1;62;B;B;PAQ02a04</v>
          </cell>
          <cell r="B769">
            <v>730069</v>
          </cell>
          <cell r="C769" t="str">
            <v>B</v>
          </cell>
          <cell r="D769" t="str">
            <v>BALEARES</v>
          </cell>
          <cell r="E769" t="str">
            <v>62</v>
          </cell>
          <cell r="F769" t="str">
            <v>PAQ02a04</v>
          </cell>
          <cell r="G769" t="str">
            <v>B</v>
          </cell>
          <cell r="H769">
            <v>28.9</v>
          </cell>
        </row>
        <row r="770">
          <cell r="A770" t="str">
            <v>1;62;B;B;PAQ04a06</v>
          </cell>
          <cell r="B770">
            <v>730069</v>
          </cell>
          <cell r="C770" t="str">
            <v>B</v>
          </cell>
          <cell r="D770" t="str">
            <v>BALEARES</v>
          </cell>
          <cell r="E770" t="str">
            <v>62</v>
          </cell>
          <cell r="F770" t="str">
            <v>PAQ04a06</v>
          </cell>
          <cell r="G770" t="str">
            <v>B</v>
          </cell>
          <cell r="H770">
            <v>39.6</v>
          </cell>
        </row>
        <row r="771">
          <cell r="A771" t="str">
            <v>1;62;B;B;PAQ06a08</v>
          </cell>
          <cell r="B771">
            <v>730069</v>
          </cell>
          <cell r="C771" t="str">
            <v>B</v>
          </cell>
          <cell r="D771" t="str">
            <v>BALEARES</v>
          </cell>
          <cell r="E771" t="str">
            <v>62</v>
          </cell>
          <cell r="F771" t="str">
            <v>PAQ06a08</v>
          </cell>
          <cell r="G771" t="str">
            <v>B</v>
          </cell>
          <cell r="H771">
            <v>50.28</v>
          </cell>
        </row>
        <row r="772">
          <cell r="A772" t="str">
            <v>1;62;B;B;PAQ08a10</v>
          </cell>
          <cell r="B772">
            <v>730069</v>
          </cell>
          <cell r="C772" t="str">
            <v>B</v>
          </cell>
          <cell r="D772" t="str">
            <v>BALEARES</v>
          </cell>
          <cell r="E772" t="str">
            <v>62</v>
          </cell>
          <cell r="F772" t="str">
            <v>PAQ08a10</v>
          </cell>
          <cell r="G772" t="str">
            <v>B</v>
          </cell>
          <cell r="H772">
            <v>60.98</v>
          </cell>
        </row>
        <row r="773">
          <cell r="A773" t="str">
            <v>1;62;B;B;PAQ10a12</v>
          </cell>
          <cell r="B773">
            <v>730069</v>
          </cell>
          <cell r="C773" t="str">
            <v>B</v>
          </cell>
          <cell r="D773" t="str">
            <v>BALEARES</v>
          </cell>
          <cell r="E773" t="str">
            <v>62</v>
          </cell>
          <cell r="F773" t="str">
            <v>PAQ10a12</v>
          </cell>
          <cell r="G773" t="str">
            <v>B</v>
          </cell>
          <cell r="H773">
            <v>71.67</v>
          </cell>
        </row>
        <row r="774">
          <cell r="A774" t="str">
            <v>1;62;B;B;PAQ12a14</v>
          </cell>
          <cell r="B774">
            <v>730069</v>
          </cell>
          <cell r="C774" t="str">
            <v>B</v>
          </cell>
          <cell r="D774" t="str">
            <v>BALEARES</v>
          </cell>
          <cell r="E774" t="str">
            <v>62</v>
          </cell>
          <cell r="F774" t="str">
            <v>PAQ12a14</v>
          </cell>
          <cell r="G774" t="str">
            <v>B</v>
          </cell>
          <cell r="H774">
            <v>82.37</v>
          </cell>
        </row>
        <row r="775">
          <cell r="A775" t="str">
            <v>1;62;B;B;PAQ14a16</v>
          </cell>
          <cell r="B775">
            <v>730069</v>
          </cell>
          <cell r="C775" t="str">
            <v>B</v>
          </cell>
          <cell r="D775" t="str">
            <v>BALEARES</v>
          </cell>
          <cell r="E775" t="str">
            <v>62</v>
          </cell>
          <cell r="F775" t="str">
            <v>PAQ14a16</v>
          </cell>
          <cell r="G775" t="str">
            <v>B</v>
          </cell>
          <cell r="H775">
            <v>93.06</v>
          </cell>
        </row>
        <row r="776">
          <cell r="A776" t="str">
            <v>1;62;B;B;PAQ16a18</v>
          </cell>
          <cell r="B776">
            <v>730069</v>
          </cell>
          <cell r="C776" t="str">
            <v>B</v>
          </cell>
          <cell r="D776" t="str">
            <v>BALEARES</v>
          </cell>
          <cell r="E776" t="str">
            <v>62</v>
          </cell>
          <cell r="F776" t="str">
            <v>PAQ16a18</v>
          </cell>
          <cell r="G776" t="str">
            <v>B</v>
          </cell>
          <cell r="H776">
            <v>103.76</v>
          </cell>
        </row>
        <row r="777">
          <cell r="A777" t="str">
            <v>1;62;B;B;PAQ18a20</v>
          </cell>
          <cell r="B777">
            <v>730069</v>
          </cell>
          <cell r="C777" t="str">
            <v>B</v>
          </cell>
          <cell r="D777" t="str">
            <v>BALEARES</v>
          </cell>
          <cell r="E777" t="str">
            <v>62</v>
          </cell>
          <cell r="F777" t="str">
            <v>PAQ18a20</v>
          </cell>
          <cell r="G777" t="str">
            <v>B</v>
          </cell>
          <cell r="H777">
            <v>114.45</v>
          </cell>
        </row>
        <row r="778">
          <cell r="A778" t="str">
            <v>1;62;B;B;PAQ20a22</v>
          </cell>
          <cell r="B778">
            <v>730069</v>
          </cell>
          <cell r="C778" t="str">
            <v>B</v>
          </cell>
          <cell r="D778" t="str">
            <v>BALEARES</v>
          </cell>
          <cell r="E778" t="str">
            <v>62</v>
          </cell>
          <cell r="F778" t="str">
            <v>PAQ20a22</v>
          </cell>
          <cell r="G778" t="str">
            <v>B</v>
          </cell>
          <cell r="H778">
            <v>125.15</v>
          </cell>
        </row>
        <row r="779">
          <cell r="A779" t="str">
            <v>1;62;B;B;PAQ22a24</v>
          </cell>
          <cell r="B779">
            <v>730069</v>
          </cell>
          <cell r="C779" t="str">
            <v>B</v>
          </cell>
          <cell r="D779" t="str">
            <v>BALEARES</v>
          </cell>
          <cell r="E779" t="str">
            <v>62</v>
          </cell>
          <cell r="F779" t="str">
            <v>PAQ22a24</v>
          </cell>
          <cell r="G779" t="str">
            <v>B</v>
          </cell>
          <cell r="H779">
            <v>135.84</v>
          </cell>
        </row>
        <row r="780">
          <cell r="A780" t="str">
            <v>1;62;B;B;PAQ24a26</v>
          </cell>
          <cell r="B780">
            <v>730069</v>
          </cell>
          <cell r="C780" t="str">
            <v>B</v>
          </cell>
          <cell r="D780" t="str">
            <v>BALEARES</v>
          </cell>
          <cell r="E780" t="str">
            <v>62</v>
          </cell>
          <cell r="F780" t="str">
            <v>PAQ24a26</v>
          </cell>
          <cell r="G780" t="str">
            <v>B</v>
          </cell>
          <cell r="H780">
            <v>146.54</v>
          </cell>
        </row>
        <row r="781">
          <cell r="A781" t="str">
            <v>1;62;B;B;PAQ26a28</v>
          </cell>
          <cell r="B781">
            <v>730069</v>
          </cell>
          <cell r="C781" t="str">
            <v>B</v>
          </cell>
          <cell r="D781" t="str">
            <v>BALEARES</v>
          </cell>
          <cell r="E781" t="str">
            <v>62</v>
          </cell>
          <cell r="F781" t="str">
            <v>PAQ26a28</v>
          </cell>
          <cell r="G781" t="str">
            <v>B</v>
          </cell>
          <cell r="H781">
            <v>157.22999999999999</v>
          </cell>
        </row>
        <row r="782">
          <cell r="A782" t="str">
            <v>1;62;B;B;PAQ28a30</v>
          </cell>
          <cell r="B782">
            <v>730069</v>
          </cell>
          <cell r="C782" t="str">
            <v>B</v>
          </cell>
          <cell r="D782" t="str">
            <v>BALEARES</v>
          </cell>
          <cell r="E782" t="str">
            <v>62</v>
          </cell>
          <cell r="F782" t="str">
            <v>PAQ28a30</v>
          </cell>
          <cell r="G782" t="str">
            <v>B</v>
          </cell>
          <cell r="H782">
            <v>167.93</v>
          </cell>
        </row>
        <row r="783">
          <cell r="A783" t="str">
            <v>1;62;B;B;PAQ30a32</v>
          </cell>
          <cell r="B783">
            <v>730069</v>
          </cell>
          <cell r="C783" t="str">
            <v>B</v>
          </cell>
          <cell r="D783" t="str">
            <v>BALEARES</v>
          </cell>
          <cell r="E783" t="str">
            <v>62</v>
          </cell>
          <cell r="F783" t="str">
            <v>PAQ30a32</v>
          </cell>
          <cell r="G783" t="str">
            <v>B</v>
          </cell>
          <cell r="H783">
            <v>178.62</v>
          </cell>
        </row>
        <row r="784">
          <cell r="A784" t="str">
            <v>1;62;B;B;PAQ32a34</v>
          </cell>
          <cell r="B784">
            <v>730069</v>
          </cell>
          <cell r="C784" t="str">
            <v>B</v>
          </cell>
          <cell r="D784" t="str">
            <v>BALEARES</v>
          </cell>
          <cell r="E784" t="str">
            <v>62</v>
          </cell>
          <cell r="F784" t="str">
            <v>PAQ32a34</v>
          </cell>
          <cell r="G784" t="str">
            <v>B</v>
          </cell>
          <cell r="H784">
            <v>189.32</v>
          </cell>
        </row>
        <row r="785">
          <cell r="A785" t="str">
            <v>1;62;B;B;PAQ34a36</v>
          </cell>
          <cell r="B785">
            <v>730069</v>
          </cell>
          <cell r="C785" t="str">
            <v>B</v>
          </cell>
          <cell r="D785" t="str">
            <v>BALEARES</v>
          </cell>
          <cell r="E785" t="str">
            <v>62</v>
          </cell>
          <cell r="F785" t="str">
            <v>PAQ34a36</v>
          </cell>
          <cell r="G785" t="str">
            <v>B</v>
          </cell>
          <cell r="H785">
            <v>200</v>
          </cell>
        </row>
        <row r="786">
          <cell r="A786" t="str">
            <v>1;62;B;B;PAQ36a38</v>
          </cell>
          <cell r="B786">
            <v>730069</v>
          </cell>
          <cell r="C786" t="str">
            <v>B</v>
          </cell>
          <cell r="D786" t="str">
            <v>BALEARES</v>
          </cell>
          <cell r="E786" t="str">
            <v>62</v>
          </cell>
          <cell r="F786" t="str">
            <v>PAQ36a38</v>
          </cell>
          <cell r="G786" t="str">
            <v>B</v>
          </cell>
          <cell r="H786">
            <v>210.7</v>
          </cell>
        </row>
        <row r="787">
          <cell r="A787" t="str">
            <v>1;62;B;B;PAQ38a40</v>
          </cell>
          <cell r="B787">
            <v>730069</v>
          </cell>
          <cell r="C787" t="str">
            <v>B</v>
          </cell>
          <cell r="D787" t="str">
            <v>BALEARES</v>
          </cell>
          <cell r="E787" t="str">
            <v>62</v>
          </cell>
          <cell r="F787" t="str">
            <v>PAQ38a40</v>
          </cell>
          <cell r="G787" t="str">
            <v>B</v>
          </cell>
          <cell r="H787">
            <v>221.39</v>
          </cell>
        </row>
        <row r="788">
          <cell r="A788" t="str">
            <v>1;62;B;F;</v>
          </cell>
          <cell r="B788">
            <v>730069</v>
          </cell>
          <cell r="C788" t="str">
            <v>B</v>
          </cell>
          <cell r="D788" t="str">
            <v>BALEARES</v>
          </cell>
          <cell r="E788" t="str">
            <v>62</v>
          </cell>
          <cell r="F788" t="str">
            <v/>
          </cell>
          <cell r="G788" t="str">
            <v>F</v>
          </cell>
          <cell r="H788">
            <v>10.7</v>
          </cell>
        </row>
        <row r="789">
          <cell r="A789" t="str">
            <v>1;62;B;E;</v>
          </cell>
          <cell r="B789">
            <v>730069</v>
          </cell>
          <cell r="C789" t="str">
            <v>B</v>
          </cell>
          <cell r="D789" t="str">
            <v>BALEARES</v>
          </cell>
          <cell r="E789" t="str">
            <v>62</v>
          </cell>
          <cell r="F789" t="str">
            <v/>
          </cell>
          <cell r="G789" t="str">
            <v>E</v>
          </cell>
          <cell r="H789">
            <v>0</v>
          </cell>
        </row>
        <row r="790">
          <cell r="A790" t="str">
            <v>1;62;B;P;</v>
          </cell>
          <cell r="B790">
            <v>730069</v>
          </cell>
          <cell r="C790" t="str">
            <v>B</v>
          </cell>
          <cell r="D790" t="str">
            <v>BALEARES</v>
          </cell>
          <cell r="E790" t="str">
            <v>62</v>
          </cell>
          <cell r="F790" t="str">
            <v/>
          </cell>
          <cell r="G790" t="str">
            <v>P</v>
          </cell>
          <cell r="H790">
            <v>0</v>
          </cell>
        </row>
        <row r="791">
          <cell r="A791" t="str">
            <v>1;63;B;B;BAG</v>
          </cell>
          <cell r="B791">
            <v>730069</v>
          </cell>
          <cell r="C791" t="str">
            <v>B</v>
          </cell>
          <cell r="D791" t="str">
            <v>BALEARES</v>
          </cell>
          <cell r="E791" t="str">
            <v>63</v>
          </cell>
          <cell r="F791" t="str">
            <v>BAG</v>
          </cell>
          <cell r="G791" t="str">
            <v>B</v>
          </cell>
          <cell r="H791">
            <v>23.16</v>
          </cell>
        </row>
        <row r="792">
          <cell r="A792" t="str">
            <v>1;63;B;B;PAQ00a02</v>
          </cell>
          <cell r="B792">
            <v>730069</v>
          </cell>
          <cell r="C792" t="str">
            <v>B</v>
          </cell>
          <cell r="D792" t="str">
            <v>BALEARES</v>
          </cell>
          <cell r="E792" t="str">
            <v>63</v>
          </cell>
          <cell r="F792" t="str">
            <v>PAQ00a02</v>
          </cell>
          <cell r="G792" t="str">
            <v>B</v>
          </cell>
          <cell r="H792">
            <v>25.91</v>
          </cell>
        </row>
        <row r="793">
          <cell r="A793" t="str">
            <v>1;63;B;B;PAQ02a04</v>
          </cell>
          <cell r="B793">
            <v>730069</v>
          </cell>
          <cell r="C793" t="str">
            <v>B</v>
          </cell>
          <cell r="D793" t="str">
            <v>BALEARES</v>
          </cell>
          <cell r="E793" t="str">
            <v>63</v>
          </cell>
          <cell r="F793" t="str">
            <v>PAQ02a04</v>
          </cell>
          <cell r="G793" t="str">
            <v>B</v>
          </cell>
          <cell r="H793">
            <v>36.32</v>
          </cell>
        </row>
        <row r="794">
          <cell r="A794" t="str">
            <v>1;63;B;B;PAQ04a06</v>
          </cell>
          <cell r="B794">
            <v>730069</v>
          </cell>
          <cell r="C794" t="str">
            <v>B</v>
          </cell>
          <cell r="D794" t="str">
            <v>BALEARES</v>
          </cell>
          <cell r="E794" t="str">
            <v>63</v>
          </cell>
          <cell r="F794" t="str">
            <v>PAQ04a06</v>
          </cell>
          <cell r="G794" t="str">
            <v>B</v>
          </cell>
          <cell r="H794">
            <v>47.01</v>
          </cell>
        </row>
        <row r="795">
          <cell r="A795" t="str">
            <v>1;63;B;B;PAQ06a08</v>
          </cell>
          <cell r="B795">
            <v>730069</v>
          </cell>
          <cell r="C795" t="str">
            <v>B</v>
          </cell>
          <cell r="D795" t="str">
            <v>BALEARES</v>
          </cell>
          <cell r="E795" t="str">
            <v>63</v>
          </cell>
          <cell r="F795" t="str">
            <v>PAQ06a08</v>
          </cell>
          <cell r="G795" t="str">
            <v>B</v>
          </cell>
          <cell r="H795">
            <v>57.71</v>
          </cell>
        </row>
        <row r="796">
          <cell r="A796" t="str">
            <v>1;63;B;B;PAQ08a10</v>
          </cell>
          <cell r="B796">
            <v>730069</v>
          </cell>
          <cell r="C796" t="str">
            <v>B</v>
          </cell>
          <cell r="D796" t="str">
            <v>BALEARES</v>
          </cell>
          <cell r="E796" t="str">
            <v>63</v>
          </cell>
          <cell r="F796" t="str">
            <v>PAQ08a10</v>
          </cell>
          <cell r="G796" t="str">
            <v>B</v>
          </cell>
          <cell r="H796">
            <v>68.400000000000006</v>
          </cell>
        </row>
        <row r="797">
          <cell r="A797" t="str">
            <v>1;63;B;B;PAQ10a12</v>
          </cell>
          <cell r="B797">
            <v>730069</v>
          </cell>
          <cell r="C797" t="str">
            <v>B</v>
          </cell>
          <cell r="D797" t="str">
            <v>BALEARES</v>
          </cell>
          <cell r="E797" t="str">
            <v>63</v>
          </cell>
          <cell r="F797" t="str">
            <v>PAQ10a12</v>
          </cell>
          <cell r="G797" t="str">
            <v>B</v>
          </cell>
          <cell r="H797">
            <v>79.099999999999994</v>
          </cell>
        </row>
        <row r="798">
          <cell r="A798" t="str">
            <v>1;63;B;B;PAQ12a14</v>
          </cell>
          <cell r="B798">
            <v>730069</v>
          </cell>
          <cell r="C798" t="str">
            <v>B</v>
          </cell>
          <cell r="D798" t="str">
            <v>BALEARES</v>
          </cell>
          <cell r="E798" t="str">
            <v>63</v>
          </cell>
          <cell r="F798" t="str">
            <v>PAQ12a14</v>
          </cell>
          <cell r="G798" t="str">
            <v>B</v>
          </cell>
          <cell r="H798">
            <v>89.79</v>
          </cell>
        </row>
        <row r="799">
          <cell r="A799" t="str">
            <v>1;63;B;B;PAQ14a16</v>
          </cell>
          <cell r="B799">
            <v>730069</v>
          </cell>
          <cell r="C799" t="str">
            <v>B</v>
          </cell>
          <cell r="D799" t="str">
            <v>BALEARES</v>
          </cell>
          <cell r="E799" t="str">
            <v>63</v>
          </cell>
          <cell r="F799" t="str">
            <v>PAQ14a16</v>
          </cell>
          <cell r="G799" t="str">
            <v>B</v>
          </cell>
          <cell r="H799">
            <v>100.49</v>
          </cell>
        </row>
        <row r="800">
          <cell r="A800" t="str">
            <v>1;63;B;B;PAQ16a18</v>
          </cell>
          <cell r="B800">
            <v>730069</v>
          </cell>
          <cell r="C800" t="str">
            <v>B</v>
          </cell>
          <cell r="D800" t="str">
            <v>BALEARES</v>
          </cell>
          <cell r="E800" t="str">
            <v>63</v>
          </cell>
          <cell r="F800" t="str">
            <v>PAQ16a18</v>
          </cell>
          <cell r="G800" t="str">
            <v>B</v>
          </cell>
          <cell r="H800">
            <v>111.17</v>
          </cell>
        </row>
        <row r="801">
          <cell r="A801" t="str">
            <v>1;63;B;B;PAQ18a20</v>
          </cell>
          <cell r="B801">
            <v>730069</v>
          </cell>
          <cell r="C801" t="str">
            <v>B</v>
          </cell>
          <cell r="D801" t="str">
            <v>BALEARES</v>
          </cell>
          <cell r="E801" t="str">
            <v>63</v>
          </cell>
          <cell r="F801" t="str">
            <v>PAQ18a20</v>
          </cell>
          <cell r="G801" t="str">
            <v>B</v>
          </cell>
          <cell r="H801">
            <v>121.87</v>
          </cell>
        </row>
        <row r="802">
          <cell r="A802" t="str">
            <v>1;63;B;B;PAQ20a22</v>
          </cell>
          <cell r="B802">
            <v>730069</v>
          </cell>
          <cell r="C802" t="str">
            <v>B</v>
          </cell>
          <cell r="D802" t="str">
            <v>BALEARES</v>
          </cell>
          <cell r="E802" t="str">
            <v>63</v>
          </cell>
          <cell r="F802" t="str">
            <v>PAQ20a22</v>
          </cell>
          <cell r="G802" t="str">
            <v>B</v>
          </cell>
          <cell r="H802">
            <v>132.56</v>
          </cell>
        </row>
        <row r="803">
          <cell r="A803" t="str">
            <v>1;63;B;B;PAQ22a24</v>
          </cell>
          <cell r="B803">
            <v>730069</v>
          </cell>
          <cell r="C803" t="str">
            <v>B</v>
          </cell>
          <cell r="D803" t="str">
            <v>BALEARES</v>
          </cell>
          <cell r="E803" t="str">
            <v>63</v>
          </cell>
          <cell r="F803" t="str">
            <v>PAQ22a24</v>
          </cell>
          <cell r="G803" t="str">
            <v>B</v>
          </cell>
          <cell r="H803">
            <v>143.26</v>
          </cell>
        </row>
        <row r="804">
          <cell r="A804" t="str">
            <v>1;63;B;B;PAQ24a26</v>
          </cell>
          <cell r="B804">
            <v>730069</v>
          </cell>
          <cell r="C804" t="str">
            <v>B</v>
          </cell>
          <cell r="D804" t="str">
            <v>BALEARES</v>
          </cell>
          <cell r="E804" t="str">
            <v>63</v>
          </cell>
          <cell r="F804" t="str">
            <v>PAQ24a26</v>
          </cell>
          <cell r="G804" t="str">
            <v>B</v>
          </cell>
          <cell r="H804">
            <v>153.94999999999999</v>
          </cell>
        </row>
        <row r="805">
          <cell r="A805" t="str">
            <v>1;63;B;B;PAQ26a28</v>
          </cell>
          <cell r="B805">
            <v>730069</v>
          </cell>
          <cell r="C805" t="str">
            <v>B</v>
          </cell>
          <cell r="D805" t="str">
            <v>BALEARES</v>
          </cell>
          <cell r="E805" t="str">
            <v>63</v>
          </cell>
          <cell r="F805" t="str">
            <v>PAQ26a28</v>
          </cell>
          <cell r="G805" t="str">
            <v>B</v>
          </cell>
          <cell r="H805">
            <v>164.65</v>
          </cell>
        </row>
        <row r="806">
          <cell r="A806" t="str">
            <v>1;63;B;B;PAQ28a30</v>
          </cell>
          <cell r="B806">
            <v>730069</v>
          </cell>
          <cell r="C806" t="str">
            <v>B</v>
          </cell>
          <cell r="D806" t="str">
            <v>BALEARES</v>
          </cell>
          <cell r="E806" t="str">
            <v>63</v>
          </cell>
          <cell r="F806" t="str">
            <v>PAQ28a30</v>
          </cell>
          <cell r="G806" t="str">
            <v>B</v>
          </cell>
          <cell r="H806">
            <v>175.34</v>
          </cell>
        </row>
        <row r="807">
          <cell r="A807" t="str">
            <v>1;63;B;B;PAQ30a32</v>
          </cell>
          <cell r="B807">
            <v>730069</v>
          </cell>
          <cell r="C807" t="str">
            <v>B</v>
          </cell>
          <cell r="D807" t="str">
            <v>BALEARES</v>
          </cell>
          <cell r="E807" t="str">
            <v>63</v>
          </cell>
          <cell r="F807" t="str">
            <v>PAQ30a32</v>
          </cell>
          <cell r="G807" t="str">
            <v>B</v>
          </cell>
          <cell r="H807">
            <v>186.04</v>
          </cell>
        </row>
        <row r="808">
          <cell r="A808" t="str">
            <v>1;63;B;B;PAQ32a34</v>
          </cell>
          <cell r="B808">
            <v>730069</v>
          </cell>
          <cell r="C808" t="str">
            <v>B</v>
          </cell>
          <cell r="D808" t="str">
            <v>BALEARES</v>
          </cell>
          <cell r="E808" t="str">
            <v>63</v>
          </cell>
          <cell r="F808" t="str">
            <v>PAQ32a34</v>
          </cell>
          <cell r="G808" t="str">
            <v>B</v>
          </cell>
          <cell r="H808">
            <v>196.73</v>
          </cell>
        </row>
        <row r="809">
          <cell r="A809" t="str">
            <v>1;63;B;B;PAQ34a36</v>
          </cell>
          <cell r="B809">
            <v>730069</v>
          </cell>
          <cell r="C809" t="str">
            <v>B</v>
          </cell>
          <cell r="D809" t="str">
            <v>BALEARES</v>
          </cell>
          <cell r="E809" t="str">
            <v>63</v>
          </cell>
          <cell r="F809" t="str">
            <v>PAQ34a36</v>
          </cell>
          <cell r="G809" t="str">
            <v>B</v>
          </cell>
          <cell r="H809">
            <v>207.43</v>
          </cell>
        </row>
        <row r="810">
          <cell r="A810" t="str">
            <v>1;63;B;B;PAQ36a38</v>
          </cell>
          <cell r="B810">
            <v>730069</v>
          </cell>
          <cell r="C810" t="str">
            <v>B</v>
          </cell>
          <cell r="D810" t="str">
            <v>BALEARES</v>
          </cell>
          <cell r="E810" t="str">
            <v>63</v>
          </cell>
          <cell r="F810" t="str">
            <v>PAQ36a38</v>
          </cell>
          <cell r="G810" t="str">
            <v>B</v>
          </cell>
          <cell r="H810">
            <v>218.12</v>
          </cell>
        </row>
        <row r="811">
          <cell r="A811" t="str">
            <v>1;63;B;B;PAQ38a40</v>
          </cell>
          <cell r="B811">
            <v>730069</v>
          </cell>
          <cell r="C811" t="str">
            <v>B</v>
          </cell>
          <cell r="D811" t="str">
            <v>BALEARES</v>
          </cell>
          <cell r="E811" t="str">
            <v>63</v>
          </cell>
          <cell r="F811" t="str">
            <v>PAQ38a40</v>
          </cell>
          <cell r="G811" t="str">
            <v>B</v>
          </cell>
          <cell r="H811">
            <v>228.82</v>
          </cell>
        </row>
        <row r="812">
          <cell r="A812" t="str">
            <v>1;63;B;F;</v>
          </cell>
          <cell r="B812">
            <v>730069</v>
          </cell>
          <cell r="C812" t="str">
            <v>B</v>
          </cell>
          <cell r="D812" t="str">
            <v>BALEARES</v>
          </cell>
          <cell r="E812" t="str">
            <v>63</v>
          </cell>
          <cell r="F812" t="str">
            <v/>
          </cell>
          <cell r="G812" t="str">
            <v>F</v>
          </cell>
          <cell r="H812">
            <v>10.7</v>
          </cell>
        </row>
        <row r="813">
          <cell r="A813" t="str">
            <v>1;63;B;P;</v>
          </cell>
          <cell r="B813">
            <v>730069</v>
          </cell>
          <cell r="C813" t="str">
            <v>B</v>
          </cell>
          <cell r="D813" t="str">
            <v>BALEARES</v>
          </cell>
          <cell r="E813" t="str">
            <v>63</v>
          </cell>
          <cell r="F813" t="str">
            <v/>
          </cell>
          <cell r="G813" t="str">
            <v>P</v>
          </cell>
          <cell r="H813">
            <v>0</v>
          </cell>
        </row>
        <row r="814">
          <cell r="A814" t="str">
            <v>1;63;B;E;</v>
          </cell>
          <cell r="B814">
            <v>730069</v>
          </cell>
          <cell r="C814" t="str">
            <v>B</v>
          </cell>
          <cell r="D814" t="str">
            <v>BALEARES</v>
          </cell>
          <cell r="E814" t="str">
            <v>63</v>
          </cell>
          <cell r="F814" t="str">
            <v/>
          </cell>
          <cell r="G814" t="str">
            <v>E</v>
          </cell>
          <cell r="H814">
            <v>0</v>
          </cell>
        </row>
        <row r="815">
          <cell r="A815" t="str">
            <v>1;01;BA;B;BAG</v>
          </cell>
          <cell r="B815">
            <v>730069</v>
          </cell>
          <cell r="C815" t="str">
            <v>BA</v>
          </cell>
          <cell r="D815" t="str">
            <v>BALEARES ISLAS PORTUGAL</v>
          </cell>
          <cell r="E815" t="str">
            <v>01</v>
          </cell>
          <cell r="F815" t="str">
            <v>BAG</v>
          </cell>
          <cell r="G815" t="str">
            <v>B</v>
          </cell>
          <cell r="H815">
            <v>41.67</v>
          </cell>
        </row>
        <row r="816">
          <cell r="A816" t="str">
            <v>1;01;BA;B;DOCS</v>
          </cell>
          <cell r="B816">
            <v>730069</v>
          </cell>
          <cell r="C816" t="str">
            <v>BA</v>
          </cell>
          <cell r="D816" t="str">
            <v>BALEARES ISLAS PORTUGAL</v>
          </cell>
          <cell r="E816" t="str">
            <v>01</v>
          </cell>
          <cell r="F816" t="str">
            <v>DOCS</v>
          </cell>
          <cell r="G816" t="str">
            <v>B</v>
          </cell>
          <cell r="H816">
            <v>36.200000000000003</v>
          </cell>
        </row>
        <row r="817">
          <cell r="A817" t="str">
            <v>1;01;BA;B;PAQ00a02</v>
          </cell>
          <cell r="B817">
            <v>730069</v>
          </cell>
          <cell r="C817" t="str">
            <v>BA</v>
          </cell>
          <cell r="D817" t="str">
            <v>BALEARES ISLAS PORTUGAL</v>
          </cell>
          <cell r="E817" t="str">
            <v>01</v>
          </cell>
          <cell r="F817" t="str">
            <v>PAQ00a02</v>
          </cell>
          <cell r="G817" t="str">
            <v>B</v>
          </cell>
          <cell r="H817">
            <v>46.69</v>
          </cell>
        </row>
        <row r="818">
          <cell r="A818" t="str">
            <v>1;01;BA;B;PAQ02a04</v>
          </cell>
          <cell r="B818">
            <v>730069</v>
          </cell>
          <cell r="C818" t="str">
            <v>BA</v>
          </cell>
          <cell r="D818" t="str">
            <v>BALEARES ISLAS PORTUGAL</v>
          </cell>
          <cell r="E818" t="str">
            <v>01</v>
          </cell>
          <cell r="F818" t="str">
            <v>PAQ02a04</v>
          </cell>
          <cell r="G818" t="str">
            <v>B</v>
          </cell>
          <cell r="H818">
            <v>62.79</v>
          </cell>
        </row>
        <row r="819">
          <cell r="A819" t="str">
            <v>1;01;BA;B;PAQ04a06</v>
          </cell>
          <cell r="B819">
            <v>730069</v>
          </cell>
          <cell r="C819" t="str">
            <v>BA</v>
          </cell>
          <cell r="D819" t="str">
            <v>BALEARES ISLAS PORTUGAL</v>
          </cell>
          <cell r="E819" t="str">
            <v>01</v>
          </cell>
          <cell r="F819" t="str">
            <v>PAQ04a06</v>
          </cell>
          <cell r="G819" t="str">
            <v>B</v>
          </cell>
          <cell r="H819">
            <v>77.400000000000006</v>
          </cell>
        </row>
        <row r="820">
          <cell r="A820" t="str">
            <v>1;01;BA;B;PAQ06a08</v>
          </cell>
          <cell r="B820">
            <v>730069</v>
          </cell>
          <cell r="C820" t="str">
            <v>BA</v>
          </cell>
          <cell r="D820" t="str">
            <v>BALEARES ISLAS PORTUGAL</v>
          </cell>
          <cell r="E820" t="str">
            <v>01</v>
          </cell>
          <cell r="F820" t="str">
            <v>PAQ06a08</v>
          </cell>
          <cell r="G820" t="str">
            <v>B</v>
          </cell>
          <cell r="H820">
            <v>92.03</v>
          </cell>
        </row>
        <row r="821">
          <cell r="A821" t="str">
            <v>1;01;BA;B;PAQ08a10</v>
          </cell>
          <cell r="B821">
            <v>730069</v>
          </cell>
          <cell r="C821" t="str">
            <v>BA</v>
          </cell>
          <cell r="D821" t="str">
            <v>BALEARES ISLAS PORTUGAL</v>
          </cell>
          <cell r="E821" t="str">
            <v>01</v>
          </cell>
          <cell r="F821" t="str">
            <v>PAQ08a10</v>
          </cell>
          <cell r="G821" t="str">
            <v>B</v>
          </cell>
          <cell r="H821">
            <v>106.68</v>
          </cell>
        </row>
        <row r="822">
          <cell r="A822" t="str">
            <v>1;01;BA;B;PAQ10a12</v>
          </cell>
          <cell r="B822">
            <v>730069</v>
          </cell>
          <cell r="C822" t="str">
            <v>BA</v>
          </cell>
          <cell r="D822" t="str">
            <v>BALEARES ISLAS PORTUGAL</v>
          </cell>
          <cell r="E822" t="str">
            <v>01</v>
          </cell>
          <cell r="F822" t="str">
            <v>PAQ10a12</v>
          </cell>
          <cell r="G822" t="str">
            <v>B</v>
          </cell>
          <cell r="H822">
            <v>120.24</v>
          </cell>
        </row>
        <row r="823">
          <cell r="A823" t="str">
            <v>1;01;BA;B;PAQ12a14</v>
          </cell>
          <cell r="B823">
            <v>730069</v>
          </cell>
          <cell r="C823" t="str">
            <v>BA</v>
          </cell>
          <cell r="D823" t="str">
            <v>BALEARES ISLAS PORTUGAL</v>
          </cell>
          <cell r="E823" t="str">
            <v>01</v>
          </cell>
          <cell r="F823" t="str">
            <v>PAQ12a14</v>
          </cell>
          <cell r="G823" t="str">
            <v>B</v>
          </cell>
          <cell r="H823">
            <v>133.80000000000001</v>
          </cell>
        </row>
        <row r="824">
          <cell r="A824" t="str">
            <v>1;01;BA;B;PAQ14a16</v>
          </cell>
          <cell r="B824">
            <v>730069</v>
          </cell>
          <cell r="C824" t="str">
            <v>BA</v>
          </cell>
          <cell r="D824" t="str">
            <v>BALEARES ISLAS PORTUGAL</v>
          </cell>
          <cell r="E824" t="str">
            <v>01</v>
          </cell>
          <cell r="F824" t="str">
            <v>PAQ14a16</v>
          </cell>
          <cell r="G824" t="str">
            <v>B</v>
          </cell>
          <cell r="H824">
            <v>147.36000000000001</v>
          </cell>
        </row>
        <row r="825">
          <cell r="A825" t="str">
            <v>1;01;BA;B;PAQ16a18</v>
          </cell>
          <cell r="B825">
            <v>730069</v>
          </cell>
          <cell r="C825" t="str">
            <v>BA</v>
          </cell>
          <cell r="D825" t="str">
            <v>BALEARES ISLAS PORTUGAL</v>
          </cell>
          <cell r="E825" t="str">
            <v>01</v>
          </cell>
          <cell r="F825" t="str">
            <v>PAQ16a18</v>
          </cell>
          <cell r="G825" t="str">
            <v>B</v>
          </cell>
          <cell r="H825">
            <v>160.91999999999999</v>
          </cell>
        </row>
        <row r="826">
          <cell r="A826" t="str">
            <v>1;01;BA;B;PAQ18a20</v>
          </cell>
          <cell r="B826">
            <v>730069</v>
          </cell>
          <cell r="C826" t="str">
            <v>BA</v>
          </cell>
          <cell r="D826" t="str">
            <v>BALEARES ISLAS PORTUGAL</v>
          </cell>
          <cell r="E826" t="str">
            <v>01</v>
          </cell>
          <cell r="F826" t="str">
            <v>PAQ18a20</v>
          </cell>
          <cell r="G826" t="str">
            <v>B</v>
          </cell>
          <cell r="H826">
            <v>174.48</v>
          </cell>
        </row>
        <row r="827">
          <cell r="A827" t="str">
            <v>1;01;BA;B;PAQ20a22</v>
          </cell>
          <cell r="B827">
            <v>730069</v>
          </cell>
          <cell r="C827" t="str">
            <v>BA</v>
          </cell>
          <cell r="D827" t="str">
            <v>BALEARES ISLAS PORTUGAL</v>
          </cell>
          <cell r="E827" t="str">
            <v>01</v>
          </cell>
          <cell r="F827" t="str">
            <v>PAQ20a22</v>
          </cell>
          <cell r="G827" t="str">
            <v>B</v>
          </cell>
          <cell r="H827">
            <v>188.04</v>
          </cell>
        </row>
        <row r="828">
          <cell r="A828" t="str">
            <v>1;01;BA;B;PAQ22a24</v>
          </cell>
          <cell r="B828">
            <v>730069</v>
          </cell>
          <cell r="C828" t="str">
            <v>BA</v>
          </cell>
          <cell r="D828" t="str">
            <v>BALEARES ISLAS PORTUGAL</v>
          </cell>
          <cell r="E828" t="str">
            <v>01</v>
          </cell>
          <cell r="F828" t="str">
            <v>PAQ22a24</v>
          </cell>
          <cell r="G828" t="str">
            <v>B</v>
          </cell>
          <cell r="H828">
            <v>201.6</v>
          </cell>
        </row>
        <row r="829">
          <cell r="A829" t="str">
            <v>1;01;BA;B;PAQ24a26</v>
          </cell>
          <cell r="B829">
            <v>730069</v>
          </cell>
          <cell r="C829" t="str">
            <v>BA</v>
          </cell>
          <cell r="D829" t="str">
            <v>BALEARES ISLAS PORTUGAL</v>
          </cell>
          <cell r="E829" t="str">
            <v>01</v>
          </cell>
          <cell r="F829" t="str">
            <v>PAQ24a26</v>
          </cell>
          <cell r="G829" t="str">
            <v>B</v>
          </cell>
          <cell r="H829">
            <v>215.17</v>
          </cell>
        </row>
        <row r="830">
          <cell r="A830" t="str">
            <v>1;01;BA;B;PAQ26a28</v>
          </cell>
          <cell r="B830">
            <v>730069</v>
          </cell>
          <cell r="C830" t="str">
            <v>BA</v>
          </cell>
          <cell r="D830" t="str">
            <v>BALEARES ISLAS PORTUGAL</v>
          </cell>
          <cell r="E830" t="str">
            <v>01</v>
          </cell>
          <cell r="F830" t="str">
            <v>PAQ26a28</v>
          </cell>
          <cell r="G830" t="str">
            <v>B</v>
          </cell>
          <cell r="H830">
            <v>228.72</v>
          </cell>
        </row>
        <row r="831">
          <cell r="A831" t="str">
            <v>1;01;BA;B;PAQ28a30</v>
          </cell>
          <cell r="B831">
            <v>730069</v>
          </cell>
          <cell r="C831" t="str">
            <v>BA</v>
          </cell>
          <cell r="D831" t="str">
            <v>BALEARES ISLAS PORTUGAL</v>
          </cell>
          <cell r="E831" t="str">
            <v>01</v>
          </cell>
          <cell r="F831" t="str">
            <v>PAQ28a30</v>
          </cell>
          <cell r="G831" t="str">
            <v>B</v>
          </cell>
          <cell r="H831">
            <v>242.29</v>
          </cell>
        </row>
        <row r="832">
          <cell r="A832" t="str">
            <v>1;01;BA;B;PAQ30a32</v>
          </cell>
          <cell r="B832">
            <v>730069</v>
          </cell>
          <cell r="C832" t="str">
            <v>BA</v>
          </cell>
          <cell r="D832" t="str">
            <v>BALEARES ISLAS PORTUGAL</v>
          </cell>
          <cell r="E832" t="str">
            <v>01</v>
          </cell>
          <cell r="F832" t="str">
            <v>PAQ30a32</v>
          </cell>
          <cell r="G832" t="str">
            <v>B</v>
          </cell>
          <cell r="H832">
            <v>255.84</v>
          </cell>
        </row>
        <row r="833">
          <cell r="A833" t="str">
            <v>1;01;BA;B;PAQ32a34</v>
          </cell>
          <cell r="B833">
            <v>730069</v>
          </cell>
          <cell r="C833" t="str">
            <v>BA</v>
          </cell>
          <cell r="D833" t="str">
            <v>BALEARES ISLAS PORTUGAL</v>
          </cell>
          <cell r="E833" t="str">
            <v>01</v>
          </cell>
          <cell r="F833" t="str">
            <v>PAQ32a34</v>
          </cell>
          <cell r="G833" t="str">
            <v>B</v>
          </cell>
          <cell r="H833">
            <v>269.41000000000003</v>
          </cell>
        </row>
        <row r="834">
          <cell r="A834" t="str">
            <v>1;01;BA;B;PAQ34a36</v>
          </cell>
          <cell r="B834">
            <v>730069</v>
          </cell>
          <cell r="C834" t="str">
            <v>BA</v>
          </cell>
          <cell r="D834" t="str">
            <v>BALEARES ISLAS PORTUGAL</v>
          </cell>
          <cell r="E834" t="str">
            <v>01</v>
          </cell>
          <cell r="F834" t="str">
            <v>PAQ34a36</v>
          </cell>
          <cell r="G834" t="str">
            <v>B</v>
          </cell>
          <cell r="H834">
            <v>282.95999999999998</v>
          </cell>
        </row>
        <row r="835">
          <cell r="A835" t="str">
            <v>1;01;BA;B;PAQ36a38</v>
          </cell>
          <cell r="B835">
            <v>730069</v>
          </cell>
          <cell r="C835" t="str">
            <v>BA</v>
          </cell>
          <cell r="D835" t="str">
            <v>BALEARES ISLAS PORTUGAL</v>
          </cell>
          <cell r="E835" t="str">
            <v>01</v>
          </cell>
          <cell r="F835" t="str">
            <v>PAQ36a38</v>
          </cell>
          <cell r="G835" t="str">
            <v>B</v>
          </cell>
          <cell r="H835">
            <v>296.52999999999997</v>
          </cell>
        </row>
        <row r="836">
          <cell r="A836" t="str">
            <v>1;01;BA;B;PAQ38a40</v>
          </cell>
          <cell r="B836">
            <v>730069</v>
          </cell>
          <cell r="C836" t="str">
            <v>BA</v>
          </cell>
          <cell r="D836" t="str">
            <v>BALEARES ISLAS PORTUGAL</v>
          </cell>
          <cell r="E836" t="str">
            <v>01</v>
          </cell>
          <cell r="F836" t="str">
            <v>PAQ38a40</v>
          </cell>
          <cell r="G836" t="str">
            <v>B</v>
          </cell>
          <cell r="H836">
            <v>310.08999999999997</v>
          </cell>
        </row>
        <row r="837">
          <cell r="A837" t="str">
            <v>1;01;BA;F;</v>
          </cell>
          <cell r="B837">
            <v>730069</v>
          </cell>
          <cell r="C837" t="str">
            <v>BA</v>
          </cell>
          <cell r="D837" t="str">
            <v>BALEARES ISLAS PORTUGAL</v>
          </cell>
          <cell r="E837" t="str">
            <v>01</v>
          </cell>
          <cell r="F837" t="str">
            <v/>
          </cell>
          <cell r="G837" t="str">
            <v>F</v>
          </cell>
          <cell r="H837">
            <v>13.57</v>
          </cell>
        </row>
        <row r="838">
          <cell r="A838" t="str">
            <v>1;01;BA;E;</v>
          </cell>
          <cell r="B838">
            <v>730069</v>
          </cell>
          <cell r="C838" t="str">
            <v>BA</v>
          </cell>
          <cell r="D838" t="str">
            <v>BALEARES ISLAS PORTUGAL</v>
          </cell>
          <cell r="E838" t="str">
            <v>01</v>
          </cell>
          <cell r="F838" t="str">
            <v/>
          </cell>
          <cell r="G838" t="str">
            <v>E</v>
          </cell>
          <cell r="H838">
            <v>0</v>
          </cell>
        </row>
        <row r="839">
          <cell r="A839" t="str">
            <v>1;01;BA;P;</v>
          </cell>
          <cell r="B839">
            <v>730069</v>
          </cell>
          <cell r="C839" t="str">
            <v>BA</v>
          </cell>
          <cell r="D839" t="str">
            <v>BALEARES ISLAS PORTUGAL</v>
          </cell>
          <cell r="E839" t="str">
            <v>01</v>
          </cell>
          <cell r="F839" t="str">
            <v/>
          </cell>
          <cell r="G839" t="str">
            <v>P</v>
          </cell>
          <cell r="H839">
            <v>0</v>
          </cell>
        </row>
        <row r="840">
          <cell r="A840" t="str">
            <v>1;04;BA;B;BAG</v>
          </cell>
          <cell r="B840">
            <v>730069</v>
          </cell>
          <cell r="C840" t="str">
            <v>BA</v>
          </cell>
          <cell r="D840" t="str">
            <v>BALEARES ISLAS PORTUGAL</v>
          </cell>
          <cell r="E840" t="str">
            <v>04</v>
          </cell>
          <cell r="F840" t="str">
            <v>BAG</v>
          </cell>
          <cell r="G840" t="str">
            <v>B</v>
          </cell>
          <cell r="H840">
            <v>5.76</v>
          </cell>
        </row>
        <row r="841">
          <cell r="A841" t="str">
            <v>1;05;BA;B;BAG</v>
          </cell>
          <cell r="B841">
            <v>730069</v>
          </cell>
          <cell r="C841" t="str">
            <v>BA</v>
          </cell>
          <cell r="D841" t="str">
            <v>BALEARES ISLAS PORTUGAL</v>
          </cell>
          <cell r="E841" t="str">
            <v>05</v>
          </cell>
          <cell r="F841" t="str">
            <v>BAG</v>
          </cell>
          <cell r="G841" t="str">
            <v>B</v>
          </cell>
          <cell r="H841">
            <v>5.76</v>
          </cell>
        </row>
        <row r="842">
          <cell r="A842" t="str">
            <v>1;06;BA;B;BAG</v>
          </cell>
          <cell r="B842">
            <v>730069</v>
          </cell>
          <cell r="C842" t="str">
            <v>BA</v>
          </cell>
          <cell r="D842" t="str">
            <v>BALEARES ISLAS PORTUGAL</v>
          </cell>
          <cell r="E842" t="str">
            <v>06</v>
          </cell>
          <cell r="F842" t="str">
            <v>BAG</v>
          </cell>
          <cell r="G842" t="str">
            <v>B</v>
          </cell>
          <cell r="H842">
            <v>0</v>
          </cell>
        </row>
        <row r="843">
          <cell r="A843" t="str">
            <v>1;06;BA;B;DOCS</v>
          </cell>
          <cell r="B843">
            <v>730069</v>
          </cell>
          <cell r="C843" t="str">
            <v>BA</v>
          </cell>
          <cell r="D843" t="str">
            <v>BALEARES ISLAS PORTUGAL</v>
          </cell>
          <cell r="E843" t="str">
            <v>06</v>
          </cell>
          <cell r="F843" t="str">
            <v>DOCS</v>
          </cell>
          <cell r="G843" t="str">
            <v>B</v>
          </cell>
          <cell r="H843">
            <v>0</v>
          </cell>
        </row>
        <row r="844">
          <cell r="A844" t="str">
            <v>1;07;BA;B;BAG</v>
          </cell>
          <cell r="B844">
            <v>730069</v>
          </cell>
          <cell r="C844" t="str">
            <v>BA</v>
          </cell>
          <cell r="D844" t="str">
            <v>BALEARES ISLAS PORTUGAL</v>
          </cell>
          <cell r="E844" t="str">
            <v>07</v>
          </cell>
          <cell r="F844" t="str">
            <v>BAG</v>
          </cell>
          <cell r="G844" t="str">
            <v>B</v>
          </cell>
          <cell r="H844">
            <v>0</v>
          </cell>
        </row>
        <row r="845">
          <cell r="A845" t="str">
            <v>1;07;BA;B;DOCS</v>
          </cell>
          <cell r="B845">
            <v>730069</v>
          </cell>
          <cell r="C845" t="str">
            <v>BA</v>
          </cell>
          <cell r="D845" t="str">
            <v>BALEARES ISLAS PORTUGAL</v>
          </cell>
          <cell r="E845" t="str">
            <v>07</v>
          </cell>
          <cell r="F845" t="str">
            <v>DOCS</v>
          </cell>
          <cell r="G845" t="str">
            <v>B</v>
          </cell>
          <cell r="H845">
            <v>0</v>
          </cell>
        </row>
        <row r="846">
          <cell r="A846" t="str">
            <v>1;10;BA;B;BAG</v>
          </cell>
          <cell r="B846">
            <v>730069</v>
          </cell>
          <cell r="C846" t="str">
            <v>BA</v>
          </cell>
          <cell r="D846" t="str">
            <v>BALEARES ISLAS PORTUGAL</v>
          </cell>
          <cell r="E846" t="str">
            <v>10</v>
          </cell>
          <cell r="F846" t="str">
            <v>BAG</v>
          </cell>
          <cell r="G846" t="str">
            <v>B</v>
          </cell>
          <cell r="H846">
            <v>1.7</v>
          </cell>
        </row>
        <row r="847">
          <cell r="A847" t="str">
            <v>1;10;BA;B;DOCS</v>
          </cell>
          <cell r="B847">
            <v>730069</v>
          </cell>
          <cell r="C847" t="str">
            <v>BA</v>
          </cell>
          <cell r="D847" t="str">
            <v>BALEARES ISLAS PORTUGAL</v>
          </cell>
          <cell r="E847" t="str">
            <v>10</v>
          </cell>
          <cell r="F847" t="str">
            <v>DOCS</v>
          </cell>
          <cell r="G847" t="str">
            <v>B</v>
          </cell>
          <cell r="H847">
            <v>1.7</v>
          </cell>
        </row>
        <row r="848">
          <cell r="A848" t="str">
            <v>1;14;BA;B;BAG</v>
          </cell>
          <cell r="B848">
            <v>730069</v>
          </cell>
          <cell r="C848" t="str">
            <v>BA</v>
          </cell>
          <cell r="D848" t="str">
            <v>BALEARES ISLAS PORTUGAL</v>
          </cell>
          <cell r="E848" t="str">
            <v>14</v>
          </cell>
          <cell r="F848" t="str">
            <v>BAG</v>
          </cell>
          <cell r="G848" t="str">
            <v>B</v>
          </cell>
          <cell r="H848">
            <v>1.79</v>
          </cell>
        </row>
        <row r="849">
          <cell r="A849" t="str">
            <v>1;15;BA;B;BAG</v>
          </cell>
          <cell r="B849">
            <v>730069</v>
          </cell>
          <cell r="C849" t="str">
            <v>BA</v>
          </cell>
          <cell r="D849" t="str">
            <v>BALEARES ISLAS PORTUGAL</v>
          </cell>
          <cell r="E849" t="str">
            <v>15</v>
          </cell>
          <cell r="F849" t="str">
            <v>BAG</v>
          </cell>
          <cell r="G849" t="str">
            <v>B</v>
          </cell>
          <cell r="H849">
            <v>1.79</v>
          </cell>
        </row>
        <row r="850">
          <cell r="A850" t="str">
            <v>1;61;BA;B;BAG</v>
          </cell>
          <cell r="B850">
            <v>730069</v>
          </cell>
          <cell r="C850" t="str">
            <v>BA</v>
          </cell>
          <cell r="D850" t="str">
            <v>BALEARES ISLAS PORTUGAL</v>
          </cell>
          <cell r="E850" t="str">
            <v>61</v>
          </cell>
          <cell r="F850" t="str">
            <v>BAG</v>
          </cell>
          <cell r="G850" t="str">
            <v>B</v>
          </cell>
          <cell r="H850">
            <v>41.67</v>
          </cell>
        </row>
        <row r="851">
          <cell r="A851" t="str">
            <v>1;61;BA;B;PAQ00a02</v>
          </cell>
          <cell r="B851">
            <v>730069</v>
          </cell>
          <cell r="C851" t="str">
            <v>BA</v>
          </cell>
          <cell r="D851" t="str">
            <v>BALEARES ISLAS PORTUGAL</v>
          </cell>
          <cell r="E851" t="str">
            <v>61</v>
          </cell>
          <cell r="F851" t="str">
            <v>PAQ00a02</v>
          </cell>
          <cell r="G851" t="str">
            <v>B</v>
          </cell>
          <cell r="H851">
            <v>46.69</v>
          </cell>
        </row>
        <row r="852">
          <cell r="A852" t="str">
            <v>1;61;BA;B;PAQ02a04</v>
          </cell>
          <cell r="B852">
            <v>730069</v>
          </cell>
          <cell r="C852" t="str">
            <v>BA</v>
          </cell>
          <cell r="D852" t="str">
            <v>BALEARES ISLAS PORTUGAL</v>
          </cell>
          <cell r="E852" t="str">
            <v>61</v>
          </cell>
          <cell r="F852" t="str">
            <v>PAQ02a04</v>
          </cell>
          <cell r="G852" t="str">
            <v>B</v>
          </cell>
          <cell r="H852">
            <v>62.79</v>
          </cell>
        </row>
        <row r="853">
          <cell r="A853" t="str">
            <v>1;61;BA;B;PAQ04a06</v>
          </cell>
          <cell r="B853">
            <v>730069</v>
          </cell>
          <cell r="C853" t="str">
            <v>BA</v>
          </cell>
          <cell r="D853" t="str">
            <v>BALEARES ISLAS PORTUGAL</v>
          </cell>
          <cell r="E853" t="str">
            <v>61</v>
          </cell>
          <cell r="F853" t="str">
            <v>PAQ04a06</v>
          </cell>
          <cell r="G853" t="str">
            <v>B</v>
          </cell>
          <cell r="H853">
            <v>77.400000000000006</v>
          </cell>
        </row>
        <row r="854">
          <cell r="A854" t="str">
            <v>1;61;BA;B;PAQ06a08</v>
          </cell>
          <cell r="B854">
            <v>730069</v>
          </cell>
          <cell r="C854" t="str">
            <v>BA</v>
          </cell>
          <cell r="D854" t="str">
            <v>BALEARES ISLAS PORTUGAL</v>
          </cell>
          <cell r="E854" t="str">
            <v>61</v>
          </cell>
          <cell r="F854" t="str">
            <v>PAQ06a08</v>
          </cell>
          <cell r="G854" t="str">
            <v>B</v>
          </cell>
          <cell r="H854">
            <v>92.03</v>
          </cell>
        </row>
        <row r="855">
          <cell r="A855" t="str">
            <v>1;61;BA;B;PAQ08a10</v>
          </cell>
          <cell r="B855">
            <v>730069</v>
          </cell>
          <cell r="C855" t="str">
            <v>BA</v>
          </cell>
          <cell r="D855" t="str">
            <v>BALEARES ISLAS PORTUGAL</v>
          </cell>
          <cell r="E855" t="str">
            <v>61</v>
          </cell>
          <cell r="F855" t="str">
            <v>PAQ08a10</v>
          </cell>
          <cell r="G855" t="str">
            <v>B</v>
          </cell>
          <cell r="H855">
            <v>106.68</v>
          </cell>
        </row>
        <row r="856">
          <cell r="A856" t="str">
            <v>1;61;BA;B;PAQ10a12</v>
          </cell>
          <cell r="B856">
            <v>730069</v>
          </cell>
          <cell r="C856" t="str">
            <v>BA</v>
          </cell>
          <cell r="D856" t="str">
            <v>BALEARES ISLAS PORTUGAL</v>
          </cell>
          <cell r="E856" t="str">
            <v>61</v>
          </cell>
          <cell r="F856" t="str">
            <v>PAQ10a12</v>
          </cell>
          <cell r="G856" t="str">
            <v>B</v>
          </cell>
          <cell r="H856">
            <v>120.24</v>
          </cell>
        </row>
        <row r="857">
          <cell r="A857" t="str">
            <v>1;61;BA;B;PAQ12a14</v>
          </cell>
          <cell r="B857">
            <v>730069</v>
          </cell>
          <cell r="C857" t="str">
            <v>BA</v>
          </cell>
          <cell r="D857" t="str">
            <v>BALEARES ISLAS PORTUGAL</v>
          </cell>
          <cell r="E857" t="str">
            <v>61</v>
          </cell>
          <cell r="F857" t="str">
            <v>PAQ12a14</v>
          </cell>
          <cell r="G857" t="str">
            <v>B</v>
          </cell>
          <cell r="H857">
            <v>133.80000000000001</v>
          </cell>
        </row>
        <row r="858">
          <cell r="A858" t="str">
            <v>1;61;BA;B;PAQ14a16</v>
          </cell>
          <cell r="B858">
            <v>730069</v>
          </cell>
          <cell r="C858" t="str">
            <v>BA</v>
          </cell>
          <cell r="D858" t="str">
            <v>BALEARES ISLAS PORTUGAL</v>
          </cell>
          <cell r="E858" t="str">
            <v>61</v>
          </cell>
          <cell r="F858" t="str">
            <v>PAQ14a16</v>
          </cell>
          <cell r="G858" t="str">
            <v>B</v>
          </cell>
          <cell r="H858">
            <v>147.36000000000001</v>
          </cell>
        </row>
        <row r="859">
          <cell r="A859" t="str">
            <v>1;61;BA;B;PAQ16a18</v>
          </cell>
          <cell r="B859">
            <v>730069</v>
          </cell>
          <cell r="C859" t="str">
            <v>BA</v>
          </cell>
          <cell r="D859" t="str">
            <v>BALEARES ISLAS PORTUGAL</v>
          </cell>
          <cell r="E859" t="str">
            <v>61</v>
          </cell>
          <cell r="F859" t="str">
            <v>PAQ16a18</v>
          </cell>
          <cell r="G859" t="str">
            <v>B</v>
          </cell>
          <cell r="H859">
            <v>160.91999999999999</v>
          </cell>
        </row>
        <row r="860">
          <cell r="A860" t="str">
            <v>1;61;BA;B;PAQ18a20</v>
          </cell>
          <cell r="B860">
            <v>730069</v>
          </cell>
          <cell r="C860" t="str">
            <v>BA</v>
          </cell>
          <cell r="D860" t="str">
            <v>BALEARES ISLAS PORTUGAL</v>
          </cell>
          <cell r="E860" t="str">
            <v>61</v>
          </cell>
          <cell r="F860" t="str">
            <v>PAQ18a20</v>
          </cell>
          <cell r="G860" t="str">
            <v>B</v>
          </cell>
          <cell r="H860">
            <v>174.48</v>
          </cell>
        </row>
        <row r="861">
          <cell r="A861" t="str">
            <v>1;61;BA;B;PAQ20a22</v>
          </cell>
          <cell r="B861">
            <v>730069</v>
          </cell>
          <cell r="C861" t="str">
            <v>BA</v>
          </cell>
          <cell r="D861" t="str">
            <v>BALEARES ISLAS PORTUGAL</v>
          </cell>
          <cell r="E861" t="str">
            <v>61</v>
          </cell>
          <cell r="F861" t="str">
            <v>PAQ20a22</v>
          </cell>
          <cell r="G861" t="str">
            <v>B</v>
          </cell>
          <cell r="H861">
            <v>188.04</v>
          </cell>
        </row>
        <row r="862">
          <cell r="A862" t="str">
            <v>1;61;BA;B;PAQ22a24</v>
          </cell>
          <cell r="B862">
            <v>730069</v>
          </cell>
          <cell r="C862" t="str">
            <v>BA</v>
          </cell>
          <cell r="D862" t="str">
            <v>BALEARES ISLAS PORTUGAL</v>
          </cell>
          <cell r="E862" t="str">
            <v>61</v>
          </cell>
          <cell r="F862" t="str">
            <v>PAQ22a24</v>
          </cell>
          <cell r="G862" t="str">
            <v>B</v>
          </cell>
          <cell r="H862">
            <v>201.6</v>
          </cell>
        </row>
        <row r="863">
          <cell r="A863" t="str">
            <v>1;61;BA;B;PAQ24a26</v>
          </cell>
          <cell r="B863">
            <v>730069</v>
          </cell>
          <cell r="C863" t="str">
            <v>BA</v>
          </cell>
          <cell r="D863" t="str">
            <v>BALEARES ISLAS PORTUGAL</v>
          </cell>
          <cell r="E863" t="str">
            <v>61</v>
          </cell>
          <cell r="F863" t="str">
            <v>PAQ24a26</v>
          </cell>
          <cell r="G863" t="str">
            <v>B</v>
          </cell>
          <cell r="H863">
            <v>215.17</v>
          </cell>
        </row>
        <row r="864">
          <cell r="A864" t="str">
            <v>1;61;BA;B;PAQ26a28</v>
          </cell>
          <cell r="B864">
            <v>730069</v>
          </cell>
          <cell r="C864" t="str">
            <v>BA</v>
          </cell>
          <cell r="D864" t="str">
            <v>BALEARES ISLAS PORTUGAL</v>
          </cell>
          <cell r="E864" t="str">
            <v>61</v>
          </cell>
          <cell r="F864" t="str">
            <v>PAQ26a28</v>
          </cell>
          <cell r="G864" t="str">
            <v>B</v>
          </cell>
          <cell r="H864">
            <v>228.72</v>
          </cell>
        </row>
        <row r="865">
          <cell r="A865" t="str">
            <v>1;61;BA;B;PAQ28a30</v>
          </cell>
          <cell r="B865">
            <v>730069</v>
          </cell>
          <cell r="C865" t="str">
            <v>BA</v>
          </cell>
          <cell r="D865" t="str">
            <v>BALEARES ISLAS PORTUGAL</v>
          </cell>
          <cell r="E865" t="str">
            <v>61</v>
          </cell>
          <cell r="F865" t="str">
            <v>PAQ28a30</v>
          </cell>
          <cell r="G865" t="str">
            <v>B</v>
          </cell>
          <cell r="H865">
            <v>242.29</v>
          </cell>
        </row>
        <row r="866">
          <cell r="A866" t="str">
            <v>1;61;BA;B;PAQ30a32</v>
          </cell>
          <cell r="B866">
            <v>730069</v>
          </cell>
          <cell r="C866" t="str">
            <v>BA</v>
          </cell>
          <cell r="D866" t="str">
            <v>BALEARES ISLAS PORTUGAL</v>
          </cell>
          <cell r="E866" t="str">
            <v>61</v>
          </cell>
          <cell r="F866" t="str">
            <v>PAQ30a32</v>
          </cell>
          <cell r="G866" t="str">
            <v>B</v>
          </cell>
          <cell r="H866">
            <v>255.84</v>
          </cell>
        </row>
        <row r="867">
          <cell r="A867" t="str">
            <v>1;61;BA;B;PAQ32a34</v>
          </cell>
          <cell r="B867">
            <v>730069</v>
          </cell>
          <cell r="C867" t="str">
            <v>BA</v>
          </cell>
          <cell r="D867" t="str">
            <v>BALEARES ISLAS PORTUGAL</v>
          </cell>
          <cell r="E867" t="str">
            <v>61</v>
          </cell>
          <cell r="F867" t="str">
            <v>PAQ32a34</v>
          </cell>
          <cell r="G867" t="str">
            <v>B</v>
          </cell>
          <cell r="H867">
            <v>269.41000000000003</v>
          </cell>
        </row>
        <row r="868">
          <cell r="A868" t="str">
            <v>1;61;BA;B;PAQ34a36</v>
          </cell>
          <cell r="B868">
            <v>730069</v>
          </cell>
          <cell r="C868" t="str">
            <v>BA</v>
          </cell>
          <cell r="D868" t="str">
            <v>BALEARES ISLAS PORTUGAL</v>
          </cell>
          <cell r="E868" t="str">
            <v>61</v>
          </cell>
          <cell r="F868" t="str">
            <v>PAQ34a36</v>
          </cell>
          <cell r="G868" t="str">
            <v>B</v>
          </cell>
          <cell r="H868">
            <v>282.95999999999998</v>
          </cell>
        </row>
        <row r="869">
          <cell r="A869" t="str">
            <v>1;61;BA;B;PAQ36a38</v>
          </cell>
          <cell r="B869">
            <v>730069</v>
          </cell>
          <cell r="C869" t="str">
            <v>BA</v>
          </cell>
          <cell r="D869" t="str">
            <v>BALEARES ISLAS PORTUGAL</v>
          </cell>
          <cell r="E869" t="str">
            <v>61</v>
          </cell>
          <cell r="F869" t="str">
            <v>PAQ36a38</v>
          </cell>
          <cell r="G869" t="str">
            <v>B</v>
          </cell>
          <cell r="H869">
            <v>296.52999999999997</v>
          </cell>
        </row>
        <row r="870">
          <cell r="A870" t="str">
            <v>1;61;BA;B;PAQ38a40</v>
          </cell>
          <cell r="B870">
            <v>730069</v>
          </cell>
          <cell r="C870" t="str">
            <v>BA</v>
          </cell>
          <cell r="D870" t="str">
            <v>BALEARES ISLAS PORTUGAL</v>
          </cell>
          <cell r="E870" t="str">
            <v>61</v>
          </cell>
          <cell r="F870" t="str">
            <v>PAQ38a40</v>
          </cell>
          <cell r="G870" t="str">
            <v>B</v>
          </cell>
          <cell r="H870">
            <v>310.08999999999997</v>
          </cell>
        </row>
        <row r="871">
          <cell r="A871" t="str">
            <v>1;61;BA;F;</v>
          </cell>
          <cell r="B871">
            <v>730069</v>
          </cell>
          <cell r="C871" t="str">
            <v>BA</v>
          </cell>
          <cell r="D871" t="str">
            <v>BALEARES ISLAS PORTUGAL</v>
          </cell>
          <cell r="E871" t="str">
            <v>61</v>
          </cell>
          <cell r="F871" t="str">
            <v/>
          </cell>
          <cell r="G871" t="str">
            <v>F</v>
          </cell>
          <cell r="H871">
            <v>13.57</v>
          </cell>
        </row>
        <row r="872">
          <cell r="A872" t="str">
            <v>1;61;BA;E;</v>
          </cell>
          <cell r="B872">
            <v>730069</v>
          </cell>
          <cell r="C872" t="str">
            <v>BA</v>
          </cell>
          <cell r="D872" t="str">
            <v>BALEARES ISLAS PORTUGAL</v>
          </cell>
          <cell r="E872" t="str">
            <v>61</v>
          </cell>
          <cell r="F872" t="str">
            <v/>
          </cell>
          <cell r="G872" t="str">
            <v>E</v>
          </cell>
          <cell r="H872">
            <v>0</v>
          </cell>
        </row>
        <row r="873">
          <cell r="A873" t="str">
            <v>1;61;BA;P;</v>
          </cell>
          <cell r="B873">
            <v>730069</v>
          </cell>
          <cell r="C873" t="str">
            <v>BA</v>
          </cell>
          <cell r="D873" t="str">
            <v>BALEARES ISLAS PORTUGAL</v>
          </cell>
          <cell r="E873" t="str">
            <v>61</v>
          </cell>
          <cell r="F873" t="str">
            <v/>
          </cell>
          <cell r="G873" t="str">
            <v>P</v>
          </cell>
          <cell r="H873">
            <v>0</v>
          </cell>
        </row>
        <row r="874">
          <cell r="A874" t="str">
            <v>1;01;BG;B;BAG</v>
          </cell>
          <cell r="B874">
            <v>730069</v>
          </cell>
          <cell r="C874" t="str">
            <v>BG</v>
          </cell>
          <cell r="D874" t="str">
            <v>BALEARES GIBRALTAR</v>
          </cell>
          <cell r="E874" t="str">
            <v>01</v>
          </cell>
          <cell r="F874" t="str">
            <v>BAG</v>
          </cell>
          <cell r="G874" t="str">
            <v>B</v>
          </cell>
          <cell r="H874">
            <v>19.38</v>
          </cell>
        </row>
        <row r="875">
          <cell r="A875" t="str">
            <v>1;01;BG;B;PAQ00a02</v>
          </cell>
          <cell r="B875">
            <v>730069</v>
          </cell>
          <cell r="C875" t="str">
            <v>BG</v>
          </cell>
          <cell r="D875" t="str">
            <v>BALEARES GIBRALTAR</v>
          </cell>
          <cell r="E875" t="str">
            <v>01</v>
          </cell>
          <cell r="F875" t="str">
            <v>PAQ00a02</v>
          </cell>
          <cell r="G875" t="str">
            <v>B</v>
          </cell>
          <cell r="H875">
            <v>24.09</v>
          </cell>
        </row>
        <row r="876">
          <cell r="A876" t="str">
            <v>1;01;BG;B;PAQ02a04</v>
          </cell>
          <cell r="B876">
            <v>730069</v>
          </cell>
          <cell r="C876" t="str">
            <v>BG</v>
          </cell>
          <cell r="D876" t="str">
            <v>BALEARES GIBRALTAR</v>
          </cell>
          <cell r="E876" t="str">
            <v>01</v>
          </cell>
          <cell r="F876" t="str">
            <v>PAQ02a04</v>
          </cell>
          <cell r="G876" t="str">
            <v>B</v>
          </cell>
          <cell r="H876">
            <v>42.04</v>
          </cell>
        </row>
        <row r="877">
          <cell r="A877" t="str">
            <v>1;01;BG;B;PAQ04a06</v>
          </cell>
          <cell r="B877">
            <v>730069</v>
          </cell>
          <cell r="C877" t="str">
            <v>BG</v>
          </cell>
          <cell r="D877" t="str">
            <v>BALEARES GIBRALTAR</v>
          </cell>
          <cell r="E877" t="str">
            <v>01</v>
          </cell>
          <cell r="F877" t="str">
            <v>PAQ04a06</v>
          </cell>
          <cell r="G877" t="str">
            <v>B</v>
          </cell>
          <cell r="H877">
            <v>62.04</v>
          </cell>
        </row>
        <row r="878">
          <cell r="A878" t="str">
            <v>1;01;BG;B;PAQ06a08</v>
          </cell>
          <cell r="B878">
            <v>730069</v>
          </cell>
          <cell r="C878" t="str">
            <v>BG</v>
          </cell>
          <cell r="D878" t="str">
            <v>BALEARES GIBRALTAR</v>
          </cell>
          <cell r="E878" t="str">
            <v>01</v>
          </cell>
          <cell r="F878" t="str">
            <v>PAQ06a08</v>
          </cell>
          <cell r="G878" t="str">
            <v>B</v>
          </cell>
          <cell r="H878">
            <v>82.06</v>
          </cell>
        </row>
        <row r="879">
          <cell r="A879" t="str">
            <v>1;01;BG;B;PAQ08a10</v>
          </cell>
          <cell r="B879">
            <v>730069</v>
          </cell>
          <cell r="C879" t="str">
            <v>BG</v>
          </cell>
          <cell r="D879" t="str">
            <v>BALEARES GIBRALTAR</v>
          </cell>
          <cell r="E879" t="str">
            <v>01</v>
          </cell>
          <cell r="F879" t="str">
            <v>PAQ08a10</v>
          </cell>
          <cell r="G879" t="str">
            <v>B</v>
          </cell>
          <cell r="H879">
            <v>102.07</v>
          </cell>
        </row>
        <row r="880">
          <cell r="A880" t="str">
            <v>1;01;BG;B;PAQ10a12</v>
          </cell>
          <cell r="B880">
            <v>730069</v>
          </cell>
          <cell r="C880" t="str">
            <v>BG</v>
          </cell>
          <cell r="D880" t="str">
            <v>BALEARES GIBRALTAR</v>
          </cell>
          <cell r="E880" t="str">
            <v>01</v>
          </cell>
          <cell r="F880" t="str">
            <v>PAQ10a12</v>
          </cell>
          <cell r="G880" t="str">
            <v>B</v>
          </cell>
          <cell r="H880">
            <v>122.08</v>
          </cell>
        </row>
        <row r="881">
          <cell r="A881" t="str">
            <v>1;01;BG;B;PAQ12a14</v>
          </cell>
          <cell r="B881">
            <v>730069</v>
          </cell>
          <cell r="C881" t="str">
            <v>BG</v>
          </cell>
          <cell r="D881" t="str">
            <v>BALEARES GIBRALTAR</v>
          </cell>
          <cell r="E881" t="str">
            <v>01</v>
          </cell>
          <cell r="F881" t="str">
            <v>PAQ12a14</v>
          </cell>
          <cell r="G881" t="str">
            <v>B</v>
          </cell>
          <cell r="H881">
            <v>142.09</v>
          </cell>
        </row>
        <row r="882">
          <cell r="A882" t="str">
            <v>1;01;BG;B;PAQ14a16</v>
          </cell>
          <cell r="B882">
            <v>730069</v>
          </cell>
          <cell r="C882" t="str">
            <v>BG</v>
          </cell>
          <cell r="D882" t="str">
            <v>BALEARES GIBRALTAR</v>
          </cell>
          <cell r="E882" t="str">
            <v>01</v>
          </cell>
          <cell r="F882" t="str">
            <v>PAQ14a16</v>
          </cell>
          <cell r="G882" t="str">
            <v>B</v>
          </cell>
          <cell r="H882">
            <v>162.1</v>
          </cell>
        </row>
        <row r="883">
          <cell r="A883" t="str">
            <v>1;01;BG;B;PAQ16a18</v>
          </cell>
          <cell r="B883">
            <v>730069</v>
          </cell>
          <cell r="C883" t="str">
            <v>BG</v>
          </cell>
          <cell r="D883" t="str">
            <v>BALEARES GIBRALTAR</v>
          </cell>
          <cell r="E883" t="str">
            <v>01</v>
          </cell>
          <cell r="F883" t="str">
            <v>PAQ16a18</v>
          </cell>
          <cell r="G883" t="str">
            <v>B</v>
          </cell>
          <cell r="H883">
            <v>182.11</v>
          </cell>
        </row>
        <row r="884">
          <cell r="A884" t="str">
            <v>1;01;BG;B;PAQ18a20</v>
          </cell>
          <cell r="B884">
            <v>730069</v>
          </cell>
          <cell r="C884" t="str">
            <v>BG</v>
          </cell>
          <cell r="D884" t="str">
            <v>BALEARES GIBRALTAR</v>
          </cell>
          <cell r="E884" t="str">
            <v>01</v>
          </cell>
          <cell r="F884" t="str">
            <v>PAQ18a20</v>
          </cell>
          <cell r="G884" t="str">
            <v>B</v>
          </cell>
          <cell r="H884">
            <v>202.13</v>
          </cell>
        </row>
        <row r="885">
          <cell r="A885" t="str">
            <v>1;01;BG;B;PAQ20a22</v>
          </cell>
          <cell r="B885">
            <v>730069</v>
          </cell>
          <cell r="C885" t="str">
            <v>BG</v>
          </cell>
          <cell r="D885" t="str">
            <v>BALEARES GIBRALTAR</v>
          </cell>
          <cell r="E885" t="str">
            <v>01</v>
          </cell>
          <cell r="F885" t="str">
            <v>PAQ20a22</v>
          </cell>
          <cell r="G885" t="str">
            <v>B</v>
          </cell>
          <cell r="H885">
            <v>222.13</v>
          </cell>
        </row>
        <row r="886">
          <cell r="A886" t="str">
            <v>1;01;BG;B;PAQ22a24</v>
          </cell>
          <cell r="B886">
            <v>730069</v>
          </cell>
          <cell r="C886" t="str">
            <v>BG</v>
          </cell>
          <cell r="D886" t="str">
            <v>BALEARES GIBRALTAR</v>
          </cell>
          <cell r="E886" t="str">
            <v>01</v>
          </cell>
          <cell r="F886" t="str">
            <v>PAQ22a24</v>
          </cell>
          <cell r="G886" t="str">
            <v>B</v>
          </cell>
          <cell r="H886">
            <v>242.14</v>
          </cell>
        </row>
        <row r="887">
          <cell r="A887" t="str">
            <v>1;01;BG;B;PAQ24a26</v>
          </cell>
          <cell r="B887">
            <v>730069</v>
          </cell>
          <cell r="C887" t="str">
            <v>BG</v>
          </cell>
          <cell r="D887" t="str">
            <v>BALEARES GIBRALTAR</v>
          </cell>
          <cell r="E887" t="str">
            <v>01</v>
          </cell>
          <cell r="F887" t="str">
            <v>PAQ24a26</v>
          </cell>
          <cell r="G887" t="str">
            <v>B</v>
          </cell>
          <cell r="H887">
            <v>262.14999999999998</v>
          </cell>
        </row>
        <row r="888">
          <cell r="A888" t="str">
            <v>1;01;BG;B;PAQ26a28</v>
          </cell>
          <cell r="B888">
            <v>730069</v>
          </cell>
          <cell r="C888" t="str">
            <v>BG</v>
          </cell>
          <cell r="D888" t="str">
            <v>BALEARES GIBRALTAR</v>
          </cell>
          <cell r="E888" t="str">
            <v>01</v>
          </cell>
          <cell r="F888" t="str">
            <v>PAQ26a28</v>
          </cell>
          <cell r="G888" t="str">
            <v>B</v>
          </cell>
          <cell r="H888">
            <v>282.17</v>
          </cell>
        </row>
        <row r="889">
          <cell r="A889" t="str">
            <v>1;01;BG;B;PAQ28a30</v>
          </cell>
          <cell r="B889">
            <v>730069</v>
          </cell>
          <cell r="C889" t="str">
            <v>BG</v>
          </cell>
          <cell r="D889" t="str">
            <v>BALEARES GIBRALTAR</v>
          </cell>
          <cell r="E889" t="str">
            <v>01</v>
          </cell>
          <cell r="F889" t="str">
            <v>PAQ28a30</v>
          </cell>
          <cell r="G889" t="str">
            <v>B</v>
          </cell>
          <cell r="H889">
            <v>302.17</v>
          </cell>
        </row>
        <row r="890">
          <cell r="A890" t="str">
            <v>1;01;BG;B;PAQ30a32</v>
          </cell>
          <cell r="B890">
            <v>730069</v>
          </cell>
          <cell r="C890" t="str">
            <v>BG</v>
          </cell>
          <cell r="D890" t="str">
            <v>BALEARES GIBRALTAR</v>
          </cell>
          <cell r="E890" t="str">
            <v>01</v>
          </cell>
          <cell r="F890" t="str">
            <v>PAQ30a32</v>
          </cell>
          <cell r="G890" t="str">
            <v>B</v>
          </cell>
          <cell r="H890">
            <v>322.18</v>
          </cell>
        </row>
        <row r="891">
          <cell r="A891" t="str">
            <v>1;01;BG;B;PAQ32a34</v>
          </cell>
          <cell r="B891">
            <v>730069</v>
          </cell>
          <cell r="C891" t="str">
            <v>BG</v>
          </cell>
          <cell r="D891" t="str">
            <v>BALEARES GIBRALTAR</v>
          </cell>
          <cell r="E891" t="str">
            <v>01</v>
          </cell>
          <cell r="F891" t="str">
            <v>PAQ32a34</v>
          </cell>
          <cell r="G891" t="str">
            <v>B</v>
          </cell>
          <cell r="H891">
            <v>342.2</v>
          </cell>
        </row>
        <row r="892">
          <cell r="A892" t="str">
            <v>1;01;BG;B;PAQ34a36</v>
          </cell>
          <cell r="B892">
            <v>730069</v>
          </cell>
          <cell r="C892" t="str">
            <v>BG</v>
          </cell>
          <cell r="D892" t="str">
            <v>BALEARES GIBRALTAR</v>
          </cell>
          <cell r="E892" t="str">
            <v>01</v>
          </cell>
          <cell r="F892" t="str">
            <v>PAQ34a36</v>
          </cell>
          <cell r="G892" t="str">
            <v>B</v>
          </cell>
          <cell r="H892">
            <v>362.21</v>
          </cell>
        </row>
        <row r="893">
          <cell r="A893" t="str">
            <v>1;01;BG;B;PAQ36a38</v>
          </cell>
          <cell r="B893">
            <v>730069</v>
          </cell>
          <cell r="C893" t="str">
            <v>BG</v>
          </cell>
          <cell r="D893" t="str">
            <v>BALEARES GIBRALTAR</v>
          </cell>
          <cell r="E893" t="str">
            <v>01</v>
          </cell>
          <cell r="F893" t="str">
            <v>PAQ36a38</v>
          </cell>
          <cell r="G893" t="str">
            <v>B</v>
          </cell>
          <cell r="H893">
            <v>382.21</v>
          </cell>
        </row>
        <row r="894">
          <cell r="A894" t="str">
            <v>1;01;BG;B;PAQ38a40</v>
          </cell>
          <cell r="B894">
            <v>730069</v>
          </cell>
          <cell r="C894" t="str">
            <v>BG</v>
          </cell>
          <cell r="D894" t="str">
            <v>BALEARES GIBRALTAR</v>
          </cell>
          <cell r="E894" t="str">
            <v>01</v>
          </cell>
          <cell r="F894" t="str">
            <v>PAQ38a40</v>
          </cell>
          <cell r="G894" t="str">
            <v>B</v>
          </cell>
          <cell r="H894">
            <v>402.22</v>
          </cell>
        </row>
        <row r="895">
          <cell r="A895" t="str">
            <v>1;01;BG;F;</v>
          </cell>
          <cell r="B895">
            <v>730069</v>
          </cell>
          <cell r="C895" t="str">
            <v>BG</v>
          </cell>
          <cell r="D895" t="str">
            <v>BALEARES GIBRALTAR</v>
          </cell>
          <cell r="E895" t="str">
            <v>01</v>
          </cell>
          <cell r="F895" t="str">
            <v/>
          </cell>
          <cell r="G895" t="str">
            <v>F</v>
          </cell>
          <cell r="H895">
            <v>20.010000000000002</v>
          </cell>
        </row>
        <row r="896">
          <cell r="A896" t="str">
            <v>1;01;BG;E;</v>
          </cell>
          <cell r="B896">
            <v>730069</v>
          </cell>
          <cell r="C896" t="str">
            <v>BG</v>
          </cell>
          <cell r="D896" t="str">
            <v>BALEARES GIBRALTAR</v>
          </cell>
          <cell r="E896" t="str">
            <v>01</v>
          </cell>
          <cell r="F896" t="str">
            <v/>
          </cell>
          <cell r="G896" t="str">
            <v>E</v>
          </cell>
          <cell r="H896">
            <v>0</v>
          </cell>
        </row>
        <row r="897">
          <cell r="A897" t="str">
            <v>1;01;BG;P;</v>
          </cell>
          <cell r="B897">
            <v>730069</v>
          </cell>
          <cell r="C897" t="str">
            <v>BG</v>
          </cell>
          <cell r="D897" t="str">
            <v>BALEARES GIBRALTAR</v>
          </cell>
          <cell r="E897" t="str">
            <v>01</v>
          </cell>
          <cell r="F897" t="str">
            <v/>
          </cell>
          <cell r="G897" t="str">
            <v>P</v>
          </cell>
          <cell r="H897">
            <v>0</v>
          </cell>
        </row>
        <row r="898">
          <cell r="A898" t="str">
            <v>1;04;BG;B;BAG</v>
          </cell>
          <cell r="B898">
            <v>730069</v>
          </cell>
          <cell r="C898" t="str">
            <v>BG</v>
          </cell>
          <cell r="D898" t="str">
            <v>BALEARES GIBRALTAR</v>
          </cell>
          <cell r="E898" t="str">
            <v>04</v>
          </cell>
          <cell r="F898" t="str">
            <v>BAG</v>
          </cell>
          <cell r="G898" t="str">
            <v>B</v>
          </cell>
          <cell r="H898">
            <v>5.76</v>
          </cell>
        </row>
        <row r="899">
          <cell r="A899" t="str">
            <v>1;05;BG;B;BAG</v>
          </cell>
          <cell r="B899">
            <v>730069</v>
          </cell>
          <cell r="C899" t="str">
            <v>BG</v>
          </cell>
          <cell r="D899" t="str">
            <v>BALEARES GIBRALTAR</v>
          </cell>
          <cell r="E899" t="str">
            <v>05</v>
          </cell>
          <cell r="F899" t="str">
            <v>BAG</v>
          </cell>
          <cell r="G899" t="str">
            <v>B</v>
          </cell>
          <cell r="H899">
            <v>5.76</v>
          </cell>
        </row>
        <row r="900">
          <cell r="A900" t="str">
            <v>1;06;BG;B;BAG</v>
          </cell>
          <cell r="B900">
            <v>730069</v>
          </cell>
          <cell r="C900" t="str">
            <v>BG</v>
          </cell>
          <cell r="D900" t="str">
            <v>BALEARES GIBRALTAR</v>
          </cell>
          <cell r="E900" t="str">
            <v>06</v>
          </cell>
          <cell r="F900" t="str">
            <v>BAG</v>
          </cell>
          <cell r="G900" t="str">
            <v>B</v>
          </cell>
          <cell r="H900">
            <v>0</v>
          </cell>
        </row>
        <row r="901">
          <cell r="A901" t="str">
            <v>1;06;BG;B;DOCS</v>
          </cell>
          <cell r="B901">
            <v>730069</v>
          </cell>
          <cell r="C901" t="str">
            <v>BG</v>
          </cell>
          <cell r="D901" t="str">
            <v>BALEARES GIBRALTAR</v>
          </cell>
          <cell r="E901" t="str">
            <v>06</v>
          </cell>
          <cell r="F901" t="str">
            <v>DOCS</v>
          </cell>
          <cell r="G901" t="str">
            <v>B</v>
          </cell>
          <cell r="H901">
            <v>0</v>
          </cell>
        </row>
        <row r="902">
          <cell r="A902" t="str">
            <v>1;07;BG;B;BAG</v>
          </cell>
          <cell r="B902">
            <v>730069</v>
          </cell>
          <cell r="C902" t="str">
            <v>BG</v>
          </cell>
          <cell r="D902" t="str">
            <v>BALEARES GIBRALTAR</v>
          </cell>
          <cell r="E902" t="str">
            <v>07</v>
          </cell>
          <cell r="F902" t="str">
            <v>BAG</v>
          </cell>
          <cell r="G902" t="str">
            <v>B</v>
          </cell>
          <cell r="H902">
            <v>0</v>
          </cell>
        </row>
        <row r="903">
          <cell r="A903" t="str">
            <v>1;07;BG;B;DOCS</v>
          </cell>
          <cell r="B903">
            <v>730069</v>
          </cell>
          <cell r="C903" t="str">
            <v>BG</v>
          </cell>
          <cell r="D903" t="str">
            <v>BALEARES GIBRALTAR</v>
          </cell>
          <cell r="E903" t="str">
            <v>07</v>
          </cell>
          <cell r="F903" t="str">
            <v>DOCS</v>
          </cell>
          <cell r="G903" t="str">
            <v>B</v>
          </cell>
          <cell r="H903">
            <v>0</v>
          </cell>
        </row>
        <row r="904">
          <cell r="A904" t="str">
            <v>1;10;BG;B;BAG</v>
          </cell>
          <cell r="B904">
            <v>730069</v>
          </cell>
          <cell r="C904" t="str">
            <v>BG</v>
          </cell>
          <cell r="D904" t="str">
            <v>BALEARES GIBRALTAR</v>
          </cell>
          <cell r="E904" t="str">
            <v>10</v>
          </cell>
          <cell r="F904" t="str">
            <v>BAG</v>
          </cell>
          <cell r="G904" t="str">
            <v>B</v>
          </cell>
          <cell r="H904">
            <v>1.7</v>
          </cell>
        </row>
        <row r="905">
          <cell r="A905" t="str">
            <v>1;10;BG;B;DOCS</v>
          </cell>
          <cell r="B905">
            <v>730069</v>
          </cell>
          <cell r="C905" t="str">
            <v>BG</v>
          </cell>
          <cell r="D905" t="str">
            <v>BALEARES GIBRALTAR</v>
          </cell>
          <cell r="E905" t="str">
            <v>10</v>
          </cell>
          <cell r="F905" t="str">
            <v>DOCS</v>
          </cell>
          <cell r="G905" t="str">
            <v>B</v>
          </cell>
          <cell r="H905">
            <v>1.7</v>
          </cell>
        </row>
        <row r="906">
          <cell r="A906" t="str">
            <v>1;14;BG;B;BAG</v>
          </cell>
          <cell r="B906">
            <v>730069</v>
          </cell>
          <cell r="C906" t="str">
            <v>BG</v>
          </cell>
          <cell r="D906" t="str">
            <v>BALEARES GIBRALTAR</v>
          </cell>
          <cell r="E906" t="str">
            <v>14</v>
          </cell>
          <cell r="F906" t="str">
            <v>BAG</v>
          </cell>
          <cell r="G906" t="str">
            <v>B</v>
          </cell>
          <cell r="H906">
            <v>1.79</v>
          </cell>
        </row>
        <row r="907">
          <cell r="A907" t="str">
            <v>1;15;BG;B;BAG</v>
          </cell>
          <cell r="B907">
            <v>730069</v>
          </cell>
          <cell r="C907" t="str">
            <v>BG</v>
          </cell>
          <cell r="D907" t="str">
            <v>BALEARES GIBRALTAR</v>
          </cell>
          <cell r="E907" t="str">
            <v>15</v>
          </cell>
          <cell r="F907" t="str">
            <v>BAG</v>
          </cell>
          <cell r="G907" t="str">
            <v>B</v>
          </cell>
          <cell r="H907">
            <v>1.79</v>
          </cell>
        </row>
        <row r="908">
          <cell r="A908" t="str">
            <v>1;61;BG;B;BAG</v>
          </cell>
          <cell r="B908">
            <v>730069</v>
          </cell>
          <cell r="C908" t="str">
            <v>BG</v>
          </cell>
          <cell r="D908" t="str">
            <v>BALEARES GIBRALTAR</v>
          </cell>
          <cell r="E908" t="str">
            <v>61</v>
          </cell>
          <cell r="F908" t="str">
            <v>BAG</v>
          </cell>
          <cell r="G908" t="str">
            <v>B</v>
          </cell>
          <cell r="H908">
            <v>20.85</v>
          </cell>
        </row>
        <row r="909">
          <cell r="A909" t="str">
            <v>1;61;BG;B;PAQ00a02</v>
          </cell>
          <cell r="B909">
            <v>730069</v>
          </cell>
          <cell r="C909" t="str">
            <v>BG</v>
          </cell>
          <cell r="D909" t="str">
            <v>BALEARES GIBRALTAR</v>
          </cell>
          <cell r="E909" t="str">
            <v>61</v>
          </cell>
          <cell r="F909" t="str">
            <v>PAQ00a02</v>
          </cell>
          <cell r="G909" t="str">
            <v>B</v>
          </cell>
          <cell r="H909">
            <v>25.57</v>
          </cell>
        </row>
        <row r="910">
          <cell r="A910" t="str">
            <v>1;61;BG;B;PAQ02a04</v>
          </cell>
          <cell r="B910">
            <v>730069</v>
          </cell>
          <cell r="C910" t="str">
            <v>BG</v>
          </cell>
          <cell r="D910" t="str">
            <v>BALEARES GIBRALTAR</v>
          </cell>
          <cell r="E910" t="str">
            <v>61</v>
          </cell>
          <cell r="F910" t="str">
            <v>PAQ02a04</v>
          </cell>
          <cell r="G910" t="str">
            <v>B</v>
          </cell>
          <cell r="H910">
            <v>43.5</v>
          </cell>
        </row>
        <row r="911">
          <cell r="A911" t="str">
            <v>1;61;BG;B;PAQ04a06</v>
          </cell>
          <cell r="B911">
            <v>730069</v>
          </cell>
          <cell r="C911" t="str">
            <v>BG</v>
          </cell>
          <cell r="D911" t="str">
            <v>BALEARES GIBRALTAR</v>
          </cell>
          <cell r="E911" t="str">
            <v>61</v>
          </cell>
          <cell r="F911" t="str">
            <v>PAQ04a06</v>
          </cell>
          <cell r="G911" t="str">
            <v>B</v>
          </cell>
          <cell r="H911">
            <v>63.51</v>
          </cell>
        </row>
        <row r="912">
          <cell r="A912" t="str">
            <v>1;61;BG;B;PAQ06a08</v>
          </cell>
          <cell r="B912">
            <v>730069</v>
          </cell>
          <cell r="C912" t="str">
            <v>BG</v>
          </cell>
          <cell r="D912" t="str">
            <v>BALEARES GIBRALTAR</v>
          </cell>
          <cell r="E912" t="str">
            <v>61</v>
          </cell>
          <cell r="F912" t="str">
            <v>PAQ06a08</v>
          </cell>
          <cell r="G912" t="str">
            <v>B</v>
          </cell>
          <cell r="H912">
            <v>83.53</v>
          </cell>
        </row>
        <row r="913">
          <cell r="A913" t="str">
            <v>1;61;BG;B;PAQ08a10</v>
          </cell>
          <cell r="B913">
            <v>730069</v>
          </cell>
          <cell r="C913" t="str">
            <v>BG</v>
          </cell>
          <cell r="D913" t="str">
            <v>BALEARES GIBRALTAR</v>
          </cell>
          <cell r="E913" t="str">
            <v>61</v>
          </cell>
          <cell r="F913" t="str">
            <v>PAQ08a10</v>
          </cell>
          <cell r="G913" t="str">
            <v>B</v>
          </cell>
          <cell r="H913">
            <v>103.54</v>
          </cell>
        </row>
        <row r="914">
          <cell r="A914" t="str">
            <v>1;61;BG;B;PAQ10a12</v>
          </cell>
          <cell r="B914">
            <v>730069</v>
          </cell>
          <cell r="C914" t="str">
            <v>BG</v>
          </cell>
          <cell r="D914" t="str">
            <v>BALEARES GIBRALTAR</v>
          </cell>
          <cell r="E914" t="str">
            <v>61</v>
          </cell>
          <cell r="F914" t="str">
            <v>PAQ10a12</v>
          </cell>
          <cell r="G914" t="str">
            <v>B</v>
          </cell>
          <cell r="H914">
            <v>123.54</v>
          </cell>
        </row>
        <row r="915">
          <cell r="A915" t="str">
            <v>1;61;BG;B;PAQ12a14</v>
          </cell>
          <cell r="B915">
            <v>730069</v>
          </cell>
          <cell r="C915" t="str">
            <v>BG</v>
          </cell>
          <cell r="D915" t="str">
            <v>BALEARES GIBRALTAR</v>
          </cell>
          <cell r="E915" t="str">
            <v>61</v>
          </cell>
          <cell r="F915" t="str">
            <v>PAQ12a14</v>
          </cell>
          <cell r="G915" t="str">
            <v>B</v>
          </cell>
          <cell r="H915">
            <v>143.56</v>
          </cell>
        </row>
        <row r="916">
          <cell r="A916" t="str">
            <v>1;61;BG;B;PAQ14a16</v>
          </cell>
          <cell r="B916">
            <v>730069</v>
          </cell>
          <cell r="C916" t="str">
            <v>BG</v>
          </cell>
          <cell r="D916" t="str">
            <v>BALEARES GIBRALTAR</v>
          </cell>
          <cell r="E916" t="str">
            <v>61</v>
          </cell>
          <cell r="F916" t="str">
            <v>PAQ14a16</v>
          </cell>
          <cell r="G916" t="str">
            <v>B</v>
          </cell>
          <cell r="H916">
            <v>163.57</v>
          </cell>
        </row>
        <row r="917">
          <cell r="A917" t="str">
            <v>1;61;BG;B;PAQ16a18</v>
          </cell>
          <cell r="B917">
            <v>730069</v>
          </cell>
          <cell r="C917" t="str">
            <v>BG</v>
          </cell>
          <cell r="D917" t="str">
            <v>BALEARES GIBRALTAR</v>
          </cell>
          <cell r="E917" t="str">
            <v>61</v>
          </cell>
          <cell r="F917" t="str">
            <v>PAQ16a18</v>
          </cell>
          <cell r="G917" t="str">
            <v>B</v>
          </cell>
          <cell r="H917">
            <v>183.58</v>
          </cell>
        </row>
        <row r="918">
          <cell r="A918" t="str">
            <v>1;61;BG;B;PAQ18a20</v>
          </cell>
          <cell r="B918">
            <v>730069</v>
          </cell>
          <cell r="C918" t="str">
            <v>BG</v>
          </cell>
          <cell r="D918" t="str">
            <v>BALEARES GIBRALTAR</v>
          </cell>
          <cell r="E918" t="str">
            <v>61</v>
          </cell>
          <cell r="F918" t="str">
            <v>PAQ18a20</v>
          </cell>
          <cell r="G918" t="str">
            <v>B</v>
          </cell>
          <cell r="H918">
            <v>203.58</v>
          </cell>
        </row>
        <row r="919">
          <cell r="A919" t="str">
            <v>1;61;BG;B;PAQ20a22</v>
          </cell>
          <cell r="B919">
            <v>730069</v>
          </cell>
          <cell r="C919" t="str">
            <v>BG</v>
          </cell>
          <cell r="D919" t="str">
            <v>BALEARES GIBRALTAR</v>
          </cell>
          <cell r="E919" t="str">
            <v>61</v>
          </cell>
          <cell r="F919" t="str">
            <v>PAQ20a22</v>
          </cell>
          <cell r="G919" t="str">
            <v>B</v>
          </cell>
          <cell r="H919">
            <v>223.6</v>
          </cell>
        </row>
        <row r="920">
          <cell r="A920" t="str">
            <v>1;61;BG;B;PAQ22a24</v>
          </cell>
          <cell r="B920">
            <v>730069</v>
          </cell>
          <cell r="C920" t="str">
            <v>BG</v>
          </cell>
          <cell r="D920" t="str">
            <v>BALEARES GIBRALTAR</v>
          </cell>
          <cell r="E920" t="str">
            <v>61</v>
          </cell>
          <cell r="F920" t="str">
            <v>PAQ22a24</v>
          </cell>
          <cell r="G920" t="str">
            <v>B</v>
          </cell>
          <cell r="H920">
            <v>243.61</v>
          </cell>
        </row>
        <row r="921">
          <cell r="A921" t="str">
            <v>1;61;BG;B;PAQ24a26</v>
          </cell>
          <cell r="B921">
            <v>730069</v>
          </cell>
          <cell r="C921" t="str">
            <v>BG</v>
          </cell>
          <cell r="D921" t="str">
            <v>BALEARES GIBRALTAR</v>
          </cell>
          <cell r="E921" t="str">
            <v>61</v>
          </cell>
          <cell r="F921" t="str">
            <v>PAQ24a26</v>
          </cell>
          <cell r="G921" t="str">
            <v>B</v>
          </cell>
          <cell r="H921">
            <v>263.62</v>
          </cell>
        </row>
        <row r="922">
          <cell r="A922" t="str">
            <v>1;61;BG;B;PAQ26a28</v>
          </cell>
          <cell r="B922">
            <v>730069</v>
          </cell>
          <cell r="C922" t="str">
            <v>BG</v>
          </cell>
          <cell r="D922" t="str">
            <v>BALEARES GIBRALTAR</v>
          </cell>
          <cell r="E922" t="str">
            <v>61</v>
          </cell>
          <cell r="F922" t="str">
            <v>PAQ26a28</v>
          </cell>
          <cell r="G922" t="str">
            <v>B</v>
          </cell>
          <cell r="H922">
            <v>283.63</v>
          </cell>
        </row>
        <row r="923">
          <cell r="A923" t="str">
            <v>1;61;BG;B;PAQ28a30</v>
          </cell>
          <cell r="B923">
            <v>730069</v>
          </cell>
          <cell r="C923" t="str">
            <v>BG</v>
          </cell>
          <cell r="D923" t="str">
            <v>BALEARES GIBRALTAR</v>
          </cell>
          <cell r="E923" t="str">
            <v>61</v>
          </cell>
          <cell r="F923" t="str">
            <v>PAQ28a30</v>
          </cell>
          <cell r="G923" t="str">
            <v>B</v>
          </cell>
          <cell r="H923">
            <v>303.64</v>
          </cell>
        </row>
        <row r="924">
          <cell r="A924" t="str">
            <v>1;61;BG;B;PAQ30a32</v>
          </cell>
          <cell r="B924">
            <v>730069</v>
          </cell>
          <cell r="C924" t="str">
            <v>BG</v>
          </cell>
          <cell r="D924" t="str">
            <v>BALEARES GIBRALTAR</v>
          </cell>
          <cell r="E924" t="str">
            <v>61</v>
          </cell>
          <cell r="F924" t="str">
            <v>PAQ30a32</v>
          </cell>
          <cell r="G924" t="str">
            <v>B</v>
          </cell>
          <cell r="H924">
            <v>323.64999999999998</v>
          </cell>
        </row>
        <row r="925">
          <cell r="A925" t="str">
            <v>1;61;BG;B;PAQ32a34</v>
          </cell>
          <cell r="B925">
            <v>730069</v>
          </cell>
          <cell r="C925" t="str">
            <v>BG</v>
          </cell>
          <cell r="D925" t="str">
            <v>BALEARES GIBRALTAR</v>
          </cell>
          <cell r="E925" t="str">
            <v>61</v>
          </cell>
          <cell r="F925" t="str">
            <v>PAQ32a34</v>
          </cell>
          <cell r="G925" t="str">
            <v>B</v>
          </cell>
          <cell r="H925">
            <v>343.67</v>
          </cell>
        </row>
        <row r="926">
          <cell r="A926" t="str">
            <v>1;61;BG;B;PAQ34a36</v>
          </cell>
          <cell r="B926">
            <v>730069</v>
          </cell>
          <cell r="C926" t="str">
            <v>BG</v>
          </cell>
          <cell r="D926" t="str">
            <v>BALEARES GIBRALTAR</v>
          </cell>
          <cell r="E926" t="str">
            <v>61</v>
          </cell>
          <cell r="F926" t="str">
            <v>PAQ34a36</v>
          </cell>
          <cell r="G926" t="str">
            <v>B</v>
          </cell>
          <cell r="H926">
            <v>363.67</v>
          </cell>
        </row>
        <row r="927">
          <cell r="A927" t="str">
            <v>1;61;BG;B;PAQ36a38</v>
          </cell>
          <cell r="B927">
            <v>730069</v>
          </cell>
          <cell r="C927" t="str">
            <v>BG</v>
          </cell>
          <cell r="D927" t="str">
            <v>BALEARES GIBRALTAR</v>
          </cell>
          <cell r="E927" t="str">
            <v>61</v>
          </cell>
          <cell r="F927" t="str">
            <v>PAQ36a38</v>
          </cell>
          <cell r="G927" t="str">
            <v>B</v>
          </cell>
          <cell r="H927">
            <v>383.68</v>
          </cell>
        </row>
        <row r="928">
          <cell r="A928" t="str">
            <v>1;61;BG;B;PAQ38a40</v>
          </cell>
          <cell r="B928">
            <v>730069</v>
          </cell>
          <cell r="C928" t="str">
            <v>BG</v>
          </cell>
          <cell r="D928" t="str">
            <v>BALEARES GIBRALTAR</v>
          </cell>
          <cell r="E928" t="str">
            <v>61</v>
          </cell>
          <cell r="F928" t="str">
            <v>PAQ38a40</v>
          </cell>
          <cell r="G928" t="str">
            <v>B</v>
          </cell>
          <cell r="H928">
            <v>403.69</v>
          </cell>
        </row>
        <row r="929">
          <cell r="A929" t="str">
            <v>1;61;BG;F;</v>
          </cell>
          <cell r="B929">
            <v>730069</v>
          </cell>
          <cell r="C929" t="str">
            <v>BG</v>
          </cell>
          <cell r="D929" t="str">
            <v>BALEARES GIBRALTAR</v>
          </cell>
          <cell r="E929" t="str">
            <v>61</v>
          </cell>
          <cell r="F929" t="str">
            <v/>
          </cell>
          <cell r="G929" t="str">
            <v>F</v>
          </cell>
          <cell r="H929">
            <v>20.010000000000002</v>
          </cell>
        </row>
        <row r="930">
          <cell r="A930" t="str">
            <v>1;61;BG;E;</v>
          </cell>
          <cell r="B930">
            <v>730069</v>
          </cell>
          <cell r="C930" t="str">
            <v>BG</v>
          </cell>
          <cell r="D930" t="str">
            <v>BALEARES GIBRALTAR</v>
          </cell>
          <cell r="E930" t="str">
            <v>61</v>
          </cell>
          <cell r="F930" t="str">
            <v/>
          </cell>
          <cell r="G930" t="str">
            <v>E</v>
          </cell>
          <cell r="H930">
            <v>0</v>
          </cell>
        </row>
        <row r="931">
          <cell r="A931" t="str">
            <v>1;61;BG;P;</v>
          </cell>
          <cell r="B931">
            <v>730069</v>
          </cell>
          <cell r="C931" t="str">
            <v>BG</v>
          </cell>
          <cell r="D931" t="str">
            <v>BALEARES GIBRALTAR</v>
          </cell>
          <cell r="E931" t="str">
            <v>61</v>
          </cell>
          <cell r="F931" t="str">
            <v/>
          </cell>
          <cell r="G931" t="str">
            <v>P</v>
          </cell>
          <cell r="H931">
            <v>0</v>
          </cell>
        </row>
        <row r="932">
          <cell r="A932" t="str">
            <v>1;E;BP;B;BAG</v>
          </cell>
          <cell r="B932">
            <v>730069</v>
          </cell>
          <cell r="C932" t="str">
            <v>BP</v>
          </cell>
          <cell r="D932" t="str">
            <v>BALEARES PORTUGAL</v>
          </cell>
          <cell r="E932" t="str">
            <v>E</v>
          </cell>
          <cell r="F932" t="str">
            <v>BAG</v>
          </cell>
          <cell r="G932" t="str">
            <v>B</v>
          </cell>
          <cell r="H932">
            <v>0</v>
          </cell>
        </row>
        <row r="933">
          <cell r="A933" t="str">
            <v>1;E;BP;B;PAQ00a02</v>
          </cell>
          <cell r="B933">
            <v>730069</v>
          </cell>
          <cell r="C933" t="str">
            <v>BP</v>
          </cell>
          <cell r="D933" t="str">
            <v>BALEARES PORTUGAL</v>
          </cell>
          <cell r="E933" t="str">
            <v>E</v>
          </cell>
          <cell r="F933" t="str">
            <v>PAQ00a02</v>
          </cell>
          <cell r="G933" t="str">
            <v>B</v>
          </cell>
          <cell r="H933">
            <v>0</v>
          </cell>
        </row>
        <row r="934">
          <cell r="A934" t="str">
            <v>1;E;BP;B;PAQ02a04</v>
          </cell>
          <cell r="B934">
            <v>730069</v>
          </cell>
          <cell r="C934" t="str">
            <v>BP</v>
          </cell>
          <cell r="D934" t="str">
            <v>BALEARES PORTUGAL</v>
          </cell>
          <cell r="E934" t="str">
            <v>E</v>
          </cell>
          <cell r="F934" t="str">
            <v>PAQ02a04</v>
          </cell>
          <cell r="G934" t="str">
            <v>B</v>
          </cell>
          <cell r="H934">
            <v>0</v>
          </cell>
        </row>
        <row r="935">
          <cell r="A935" t="str">
            <v>1;E;BP;B;PAQ04a06</v>
          </cell>
          <cell r="B935">
            <v>730069</v>
          </cell>
          <cell r="C935" t="str">
            <v>BP</v>
          </cell>
          <cell r="D935" t="str">
            <v>BALEARES PORTUGAL</v>
          </cell>
          <cell r="E935" t="str">
            <v>E</v>
          </cell>
          <cell r="F935" t="str">
            <v>PAQ04a06</v>
          </cell>
          <cell r="G935" t="str">
            <v>B</v>
          </cell>
          <cell r="H935">
            <v>0</v>
          </cell>
        </row>
        <row r="936">
          <cell r="A936" t="str">
            <v>1;E;BP;B;PAQ06a08</v>
          </cell>
          <cell r="B936">
            <v>730069</v>
          </cell>
          <cell r="C936" t="str">
            <v>BP</v>
          </cell>
          <cell r="D936" t="str">
            <v>BALEARES PORTUGAL</v>
          </cell>
          <cell r="E936" t="str">
            <v>E</v>
          </cell>
          <cell r="F936" t="str">
            <v>PAQ06a08</v>
          </cell>
          <cell r="G936" t="str">
            <v>B</v>
          </cell>
          <cell r="H936">
            <v>0</v>
          </cell>
        </row>
        <row r="937">
          <cell r="A937" t="str">
            <v>1;E;BP;B;PAQ08a10</v>
          </cell>
          <cell r="B937">
            <v>730069</v>
          </cell>
          <cell r="C937" t="str">
            <v>BP</v>
          </cell>
          <cell r="D937" t="str">
            <v>BALEARES PORTUGAL</v>
          </cell>
          <cell r="E937" t="str">
            <v>E</v>
          </cell>
          <cell r="F937" t="str">
            <v>PAQ08a10</v>
          </cell>
          <cell r="G937" t="str">
            <v>B</v>
          </cell>
          <cell r="H937">
            <v>0</v>
          </cell>
        </row>
        <row r="938">
          <cell r="A938" t="str">
            <v>1;E;BP;B;PAQ10a12</v>
          </cell>
          <cell r="B938">
            <v>730069</v>
          </cell>
          <cell r="C938" t="str">
            <v>BP</v>
          </cell>
          <cell r="D938" t="str">
            <v>BALEARES PORTUGAL</v>
          </cell>
          <cell r="E938" t="str">
            <v>E</v>
          </cell>
          <cell r="F938" t="str">
            <v>PAQ10a12</v>
          </cell>
          <cell r="G938" t="str">
            <v>B</v>
          </cell>
          <cell r="H938">
            <v>0</v>
          </cell>
        </row>
        <row r="939">
          <cell r="A939" t="str">
            <v>1;E;BP;B;PAQ12a14</v>
          </cell>
          <cell r="B939">
            <v>730069</v>
          </cell>
          <cell r="C939" t="str">
            <v>BP</v>
          </cell>
          <cell r="D939" t="str">
            <v>BALEARES PORTUGAL</v>
          </cell>
          <cell r="E939" t="str">
            <v>E</v>
          </cell>
          <cell r="F939" t="str">
            <v>PAQ12a14</v>
          </cell>
          <cell r="G939" t="str">
            <v>B</v>
          </cell>
          <cell r="H939">
            <v>0</v>
          </cell>
        </row>
        <row r="940">
          <cell r="A940" t="str">
            <v>1;E;BP;B;PAQ14a16</v>
          </cell>
          <cell r="B940">
            <v>730069</v>
          </cell>
          <cell r="C940" t="str">
            <v>BP</v>
          </cell>
          <cell r="D940" t="str">
            <v>BALEARES PORTUGAL</v>
          </cell>
          <cell r="E940" t="str">
            <v>E</v>
          </cell>
          <cell r="F940" t="str">
            <v>PAQ14a16</v>
          </cell>
          <cell r="G940" t="str">
            <v>B</v>
          </cell>
          <cell r="H940">
            <v>0</v>
          </cell>
        </row>
        <row r="941">
          <cell r="A941" t="str">
            <v>1;E;BP;B;PAQ16a18</v>
          </cell>
          <cell r="B941">
            <v>730069</v>
          </cell>
          <cell r="C941" t="str">
            <v>BP</v>
          </cell>
          <cell r="D941" t="str">
            <v>BALEARES PORTUGAL</v>
          </cell>
          <cell r="E941" t="str">
            <v>E</v>
          </cell>
          <cell r="F941" t="str">
            <v>PAQ16a18</v>
          </cell>
          <cell r="G941" t="str">
            <v>B</v>
          </cell>
          <cell r="H941">
            <v>0</v>
          </cell>
        </row>
        <row r="942">
          <cell r="A942" t="str">
            <v>1;E;BP;B;PAQ18a20</v>
          </cell>
          <cell r="B942">
            <v>730069</v>
          </cell>
          <cell r="C942" t="str">
            <v>BP</v>
          </cell>
          <cell r="D942" t="str">
            <v>BALEARES PORTUGAL</v>
          </cell>
          <cell r="E942" t="str">
            <v>E</v>
          </cell>
          <cell r="F942" t="str">
            <v>PAQ18a20</v>
          </cell>
          <cell r="G942" t="str">
            <v>B</v>
          </cell>
          <cell r="H942">
            <v>0</v>
          </cell>
        </row>
        <row r="943">
          <cell r="A943" t="str">
            <v>1;E;BP;B;PAQ20a22</v>
          </cell>
          <cell r="B943">
            <v>730069</v>
          </cell>
          <cell r="C943" t="str">
            <v>BP</v>
          </cell>
          <cell r="D943" t="str">
            <v>BALEARES PORTUGAL</v>
          </cell>
          <cell r="E943" t="str">
            <v>E</v>
          </cell>
          <cell r="F943" t="str">
            <v>PAQ20a22</v>
          </cell>
          <cell r="G943" t="str">
            <v>B</v>
          </cell>
          <cell r="H943">
            <v>0</v>
          </cell>
        </row>
        <row r="944">
          <cell r="A944" t="str">
            <v>1;E;BP;B;PAQ22a24</v>
          </cell>
          <cell r="B944">
            <v>730069</v>
          </cell>
          <cell r="C944" t="str">
            <v>BP</v>
          </cell>
          <cell r="D944" t="str">
            <v>BALEARES PORTUGAL</v>
          </cell>
          <cell r="E944" t="str">
            <v>E</v>
          </cell>
          <cell r="F944" t="str">
            <v>PAQ22a24</v>
          </cell>
          <cell r="G944" t="str">
            <v>B</v>
          </cell>
          <cell r="H944">
            <v>0</v>
          </cell>
        </row>
        <row r="945">
          <cell r="A945" t="str">
            <v>1;E;BP;B;PAQ24a26</v>
          </cell>
          <cell r="B945">
            <v>730069</v>
          </cell>
          <cell r="C945" t="str">
            <v>BP</v>
          </cell>
          <cell r="D945" t="str">
            <v>BALEARES PORTUGAL</v>
          </cell>
          <cell r="E945" t="str">
            <v>E</v>
          </cell>
          <cell r="F945" t="str">
            <v>PAQ24a26</v>
          </cell>
          <cell r="G945" t="str">
            <v>B</v>
          </cell>
          <cell r="H945">
            <v>0</v>
          </cell>
        </row>
        <row r="946">
          <cell r="A946" t="str">
            <v>1;E;BP;B;PAQ26a28</v>
          </cell>
          <cell r="B946">
            <v>730069</v>
          </cell>
          <cell r="C946" t="str">
            <v>BP</v>
          </cell>
          <cell r="D946" t="str">
            <v>BALEARES PORTUGAL</v>
          </cell>
          <cell r="E946" t="str">
            <v>E</v>
          </cell>
          <cell r="F946" t="str">
            <v>PAQ26a28</v>
          </cell>
          <cell r="G946" t="str">
            <v>B</v>
          </cell>
          <cell r="H946">
            <v>0</v>
          </cell>
        </row>
        <row r="947">
          <cell r="A947" t="str">
            <v>1;E;BP;B;PAQ28a30</v>
          </cell>
          <cell r="B947">
            <v>730069</v>
          </cell>
          <cell r="C947" t="str">
            <v>BP</v>
          </cell>
          <cell r="D947" t="str">
            <v>BALEARES PORTUGAL</v>
          </cell>
          <cell r="E947" t="str">
            <v>E</v>
          </cell>
          <cell r="F947" t="str">
            <v>PAQ28a30</v>
          </cell>
          <cell r="G947" t="str">
            <v>B</v>
          </cell>
          <cell r="H947">
            <v>0</v>
          </cell>
        </row>
        <row r="948">
          <cell r="A948" t="str">
            <v>1;E;BP;B;PAQ30a32</v>
          </cell>
          <cell r="B948">
            <v>730069</v>
          </cell>
          <cell r="C948" t="str">
            <v>BP</v>
          </cell>
          <cell r="D948" t="str">
            <v>BALEARES PORTUGAL</v>
          </cell>
          <cell r="E948" t="str">
            <v>E</v>
          </cell>
          <cell r="F948" t="str">
            <v>PAQ30a32</v>
          </cell>
          <cell r="G948" t="str">
            <v>B</v>
          </cell>
          <cell r="H948">
            <v>0</v>
          </cell>
        </row>
        <row r="949">
          <cell r="A949" t="str">
            <v>1;E;BP;B;PAQ32a34</v>
          </cell>
          <cell r="B949">
            <v>730069</v>
          </cell>
          <cell r="C949" t="str">
            <v>BP</v>
          </cell>
          <cell r="D949" t="str">
            <v>BALEARES PORTUGAL</v>
          </cell>
          <cell r="E949" t="str">
            <v>E</v>
          </cell>
          <cell r="F949" t="str">
            <v>PAQ32a34</v>
          </cell>
          <cell r="G949" t="str">
            <v>B</v>
          </cell>
          <cell r="H949">
            <v>0</v>
          </cell>
        </row>
        <row r="950">
          <cell r="A950" t="str">
            <v>1;E;BP;B;PAQ34a36</v>
          </cell>
          <cell r="B950">
            <v>730069</v>
          </cell>
          <cell r="C950" t="str">
            <v>BP</v>
          </cell>
          <cell r="D950" t="str">
            <v>BALEARES PORTUGAL</v>
          </cell>
          <cell r="E950" t="str">
            <v>E</v>
          </cell>
          <cell r="F950" t="str">
            <v>PAQ34a36</v>
          </cell>
          <cell r="G950" t="str">
            <v>B</v>
          </cell>
          <cell r="H950">
            <v>0</v>
          </cell>
        </row>
        <row r="951">
          <cell r="A951" t="str">
            <v>1;E;BP;B;PAQ36a38</v>
          </cell>
          <cell r="B951">
            <v>730069</v>
          </cell>
          <cell r="C951" t="str">
            <v>BP</v>
          </cell>
          <cell r="D951" t="str">
            <v>BALEARES PORTUGAL</v>
          </cell>
          <cell r="E951" t="str">
            <v>E</v>
          </cell>
          <cell r="F951" t="str">
            <v>PAQ36a38</v>
          </cell>
          <cell r="G951" t="str">
            <v>B</v>
          </cell>
          <cell r="H951">
            <v>0</v>
          </cell>
        </row>
        <row r="952">
          <cell r="A952" t="str">
            <v>1;E;BP;B;PAQ38a40</v>
          </cell>
          <cell r="B952">
            <v>730069</v>
          </cell>
          <cell r="C952" t="str">
            <v>BP</v>
          </cell>
          <cell r="D952" t="str">
            <v>BALEARES PORTUGAL</v>
          </cell>
          <cell r="E952" t="str">
            <v>E</v>
          </cell>
          <cell r="F952" t="str">
            <v>PAQ38a40</v>
          </cell>
          <cell r="G952" t="str">
            <v>B</v>
          </cell>
          <cell r="H952">
            <v>0</v>
          </cell>
        </row>
        <row r="953">
          <cell r="A953" t="str">
            <v>1;E;BP;F;</v>
          </cell>
          <cell r="B953">
            <v>730069</v>
          </cell>
          <cell r="C953" t="str">
            <v>BP</v>
          </cell>
          <cell r="D953" t="str">
            <v>BALEARES PORTUGAL</v>
          </cell>
          <cell r="E953" t="str">
            <v>E</v>
          </cell>
          <cell r="F953" t="str">
            <v/>
          </cell>
          <cell r="G953" t="str">
            <v>F</v>
          </cell>
          <cell r="H953">
            <v>0</v>
          </cell>
        </row>
        <row r="954">
          <cell r="A954" t="str">
            <v>1;E;BP;E;</v>
          </cell>
          <cell r="B954">
            <v>730069</v>
          </cell>
          <cell r="C954" t="str">
            <v>BP</v>
          </cell>
          <cell r="D954" t="str">
            <v>BALEARES PORTUGAL</v>
          </cell>
          <cell r="E954" t="str">
            <v>E</v>
          </cell>
          <cell r="F954" t="str">
            <v/>
          </cell>
          <cell r="G954" t="str">
            <v>E</v>
          </cell>
          <cell r="H954">
            <v>0</v>
          </cell>
        </row>
        <row r="955">
          <cell r="A955" t="str">
            <v>1;E;BP;P;</v>
          </cell>
          <cell r="B955">
            <v>730069</v>
          </cell>
          <cell r="C955" t="str">
            <v>BP</v>
          </cell>
          <cell r="D955" t="str">
            <v>BALEARES PORTUGAL</v>
          </cell>
          <cell r="E955" t="str">
            <v>E</v>
          </cell>
          <cell r="F955" t="str">
            <v/>
          </cell>
          <cell r="G955" t="str">
            <v>P</v>
          </cell>
          <cell r="H955">
            <v>0</v>
          </cell>
        </row>
        <row r="956">
          <cell r="A956" t="str">
            <v>1;F;BP;B;BAG</v>
          </cell>
          <cell r="B956">
            <v>730069</v>
          </cell>
          <cell r="C956" t="str">
            <v>BP</v>
          </cell>
          <cell r="D956" t="str">
            <v>BALEARES PORTUGAL</v>
          </cell>
          <cell r="E956" t="str">
            <v>F</v>
          </cell>
          <cell r="F956" t="str">
            <v>BAG</v>
          </cell>
          <cell r="G956" t="str">
            <v>B</v>
          </cell>
          <cell r="H956">
            <v>0</v>
          </cell>
        </row>
        <row r="957">
          <cell r="A957" t="str">
            <v>1;F;BP;B;PAQ00a02</v>
          </cell>
          <cell r="B957">
            <v>730069</v>
          </cell>
          <cell r="C957" t="str">
            <v>BP</v>
          </cell>
          <cell r="D957" t="str">
            <v>BALEARES PORTUGAL</v>
          </cell>
          <cell r="E957" t="str">
            <v>F</v>
          </cell>
          <cell r="F957" t="str">
            <v>PAQ00a02</v>
          </cell>
          <cell r="G957" t="str">
            <v>B</v>
          </cell>
          <cell r="H957">
            <v>0</v>
          </cell>
        </row>
        <row r="958">
          <cell r="A958" t="str">
            <v>1;F;BP;B;PAQ02a04</v>
          </cell>
          <cell r="B958">
            <v>730069</v>
          </cell>
          <cell r="C958" t="str">
            <v>BP</v>
          </cell>
          <cell r="D958" t="str">
            <v>BALEARES PORTUGAL</v>
          </cell>
          <cell r="E958" t="str">
            <v>F</v>
          </cell>
          <cell r="F958" t="str">
            <v>PAQ02a04</v>
          </cell>
          <cell r="G958" t="str">
            <v>B</v>
          </cell>
          <cell r="H958">
            <v>0</v>
          </cell>
        </row>
        <row r="959">
          <cell r="A959" t="str">
            <v>1;F;BP;B;PAQ04a06</v>
          </cell>
          <cell r="B959">
            <v>730069</v>
          </cell>
          <cell r="C959" t="str">
            <v>BP</v>
          </cell>
          <cell r="D959" t="str">
            <v>BALEARES PORTUGAL</v>
          </cell>
          <cell r="E959" t="str">
            <v>F</v>
          </cell>
          <cell r="F959" t="str">
            <v>PAQ04a06</v>
          </cell>
          <cell r="G959" t="str">
            <v>B</v>
          </cell>
          <cell r="H959">
            <v>0</v>
          </cell>
        </row>
        <row r="960">
          <cell r="A960" t="str">
            <v>1;F;BP;B;PAQ06a08</v>
          </cell>
          <cell r="B960">
            <v>730069</v>
          </cell>
          <cell r="C960" t="str">
            <v>BP</v>
          </cell>
          <cell r="D960" t="str">
            <v>BALEARES PORTUGAL</v>
          </cell>
          <cell r="E960" t="str">
            <v>F</v>
          </cell>
          <cell r="F960" t="str">
            <v>PAQ06a08</v>
          </cell>
          <cell r="G960" t="str">
            <v>B</v>
          </cell>
          <cell r="H960">
            <v>0</v>
          </cell>
        </row>
        <row r="961">
          <cell r="A961" t="str">
            <v>1;F;BP;B;PAQ08a10</v>
          </cell>
          <cell r="B961">
            <v>730069</v>
          </cell>
          <cell r="C961" t="str">
            <v>BP</v>
          </cell>
          <cell r="D961" t="str">
            <v>BALEARES PORTUGAL</v>
          </cell>
          <cell r="E961" t="str">
            <v>F</v>
          </cell>
          <cell r="F961" t="str">
            <v>PAQ08a10</v>
          </cell>
          <cell r="G961" t="str">
            <v>B</v>
          </cell>
          <cell r="H961">
            <v>0</v>
          </cell>
        </row>
        <row r="962">
          <cell r="A962" t="str">
            <v>1;F;BP;B;PAQ10a12</v>
          </cell>
          <cell r="B962">
            <v>730069</v>
          </cell>
          <cell r="C962" t="str">
            <v>BP</v>
          </cell>
          <cell r="D962" t="str">
            <v>BALEARES PORTUGAL</v>
          </cell>
          <cell r="E962" t="str">
            <v>F</v>
          </cell>
          <cell r="F962" t="str">
            <v>PAQ10a12</v>
          </cell>
          <cell r="G962" t="str">
            <v>B</v>
          </cell>
          <cell r="H962">
            <v>0</v>
          </cell>
        </row>
        <row r="963">
          <cell r="A963" t="str">
            <v>1;F;BP;B;PAQ12a14</v>
          </cell>
          <cell r="B963">
            <v>730069</v>
          </cell>
          <cell r="C963" t="str">
            <v>BP</v>
          </cell>
          <cell r="D963" t="str">
            <v>BALEARES PORTUGAL</v>
          </cell>
          <cell r="E963" t="str">
            <v>F</v>
          </cell>
          <cell r="F963" t="str">
            <v>PAQ12a14</v>
          </cell>
          <cell r="G963" t="str">
            <v>B</v>
          </cell>
          <cell r="H963">
            <v>0</v>
          </cell>
        </row>
        <row r="964">
          <cell r="A964" t="str">
            <v>1;F;BP;B;PAQ14a16</v>
          </cell>
          <cell r="B964">
            <v>730069</v>
          </cell>
          <cell r="C964" t="str">
            <v>BP</v>
          </cell>
          <cell r="D964" t="str">
            <v>BALEARES PORTUGAL</v>
          </cell>
          <cell r="E964" t="str">
            <v>F</v>
          </cell>
          <cell r="F964" t="str">
            <v>PAQ14a16</v>
          </cell>
          <cell r="G964" t="str">
            <v>B</v>
          </cell>
          <cell r="H964">
            <v>0</v>
          </cell>
        </row>
        <row r="965">
          <cell r="A965" t="str">
            <v>1;F;BP;B;PAQ16a18</v>
          </cell>
          <cell r="B965">
            <v>730069</v>
          </cell>
          <cell r="C965" t="str">
            <v>BP</v>
          </cell>
          <cell r="D965" t="str">
            <v>BALEARES PORTUGAL</v>
          </cell>
          <cell r="E965" t="str">
            <v>F</v>
          </cell>
          <cell r="F965" t="str">
            <v>PAQ16a18</v>
          </cell>
          <cell r="G965" t="str">
            <v>B</v>
          </cell>
          <cell r="H965">
            <v>0</v>
          </cell>
        </row>
        <row r="966">
          <cell r="A966" t="str">
            <v>1;F;BP;B;PAQ18a20</v>
          </cell>
          <cell r="B966">
            <v>730069</v>
          </cell>
          <cell r="C966" t="str">
            <v>BP</v>
          </cell>
          <cell r="D966" t="str">
            <v>BALEARES PORTUGAL</v>
          </cell>
          <cell r="E966" t="str">
            <v>F</v>
          </cell>
          <cell r="F966" t="str">
            <v>PAQ18a20</v>
          </cell>
          <cell r="G966" t="str">
            <v>B</v>
          </cell>
          <cell r="H966">
            <v>0</v>
          </cell>
        </row>
        <row r="967">
          <cell r="A967" t="str">
            <v>1;F;BP;B;PAQ20a22</v>
          </cell>
          <cell r="B967">
            <v>730069</v>
          </cell>
          <cell r="C967" t="str">
            <v>BP</v>
          </cell>
          <cell r="D967" t="str">
            <v>BALEARES PORTUGAL</v>
          </cell>
          <cell r="E967" t="str">
            <v>F</v>
          </cell>
          <cell r="F967" t="str">
            <v>PAQ20a22</v>
          </cell>
          <cell r="G967" t="str">
            <v>B</v>
          </cell>
          <cell r="H967">
            <v>0</v>
          </cell>
        </row>
        <row r="968">
          <cell r="A968" t="str">
            <v>1;F;BP;B;PAQ22a24</v>
          </cell>
          <cell r="B968">
            <v>730069</v>
          </cell>
          <cell r="C968" t="str">
            <v>BP</v>
          </cell>
          <cell r="D968" t="str">
            <v>BALEARES PORTUGAL</v>
          </cell>
          <cell r="E968" t="str">
            <v>F</v>
          </cell>
          <cell r="F968" t="str">
            <v>PAQ22a24</v>
          </cell>
          <cell r="G968" t="str">
            <v>B</v>
          </cell>
          <cell r="H968">
            <v>0</v>
          </cell>
        </row>
        <row r="969">
          <cell r="A969" t="str">
            <v>1;F;BP;B;PAQ24a26</v>
          </cell>
          <cell r="B969">
            <v>730069</v>
          </cell>
          <cell r="C969" t="str">
            <v>BP</v>
          </cell>
          <cell r="D969" t="str">
            <v>BALEARES PORTUGAL</v>
          </cell>
          <cell r="E969" t="str">
            <v>F</v>
          </cell>
          <cell r="F969" t="str">
            <v>PAQ24a26</v>
          </cell>
          <cell r="G969" t="str">
            <v>B</v>
          </cell>
          <cell r="H969">
            <v>0</v>
          </cell>
        </row>
        <row r="970">
          <cell r="A970" t="str">
            <v>1;F;BP;B;PAQ26a28</v>
          </cell>
          <cell r="B970">
            <v>730069</v>
          </cell>
          <cell r="C970" t="str">
            <v>BP</v>
          </cell>
          <cell r="D970" t="str">
            <v>BALEARES PORTUGAL</v>
          </cell>
          <cell r="E970" t="str">
            <v>F</v>
          </cell>
          <cell r="F970" t="str">
            <v>PAQ26a28</v>
          </cell>
          <cell r="G970" t="str">
            <v>B</v>
          </cell>
          <cell r="H970">
            <v>0</v>
          </cell>
        </row>
        <row r="971">
          <cell r="A971" t="str">
            <v>1;F;BP;B;PAQ28a30</v>
          </cell>
          <cell r="B971">
            <v>730069</v>
          </cell>
          <cell r="C971" t="str">
            <v>BP</v>
          </cell>
          <cell r="D971" t="str">
            <v>BALEARES PORTUGAL</v>
          </cell>
          <cell r="E971" t="str">
            <v>F</v>
          </cell>
          <cell r="F971" t="str">
            <v>PAQ28a30</v>
          </cell>
          <cell r="G971" t="str">
            <v>B</v>
          </cell>
          <cell r="H971">
            <v>0</v>
          </cell>
        </row>
        <row r="972">
          <cell r="A972" t="str">
            <v>1;F;BP;B;PAQ30a32</v>
          </cell>
          <cell r="B972">
            <v>730069</v>
          </cell>
          <cell r="C972" t="str">
            <v>BP</v>
          </cell>
          <cell r="D972" t="str">
            <v>BALEARES PORTUGAL</v>
          </cell>
          <cell r="E972" t="str">
            <v>F</v>
          </cell>
          <cell r="F972" t="str">
            <v>PAQ30a32</v>
          </cell>
          <cell r="G972" t="str">
            <v>B</v>
          </cell>
          <cell r="H972">
            <v>0</v>
          </cell>
        </row>
        <row r="973">
          <cell r="A973" t="str">
            <v>1;F;BP;B;PAQ32a34</v>
          </cell>
          <cell r="B973">
            <v>730069</v>
          </cell>
          <cell r="C973" t="str">
            <v>BP</v>
          </cell>
          <cell r="D973" t="str">
            <v>BALEARES PORTUGAL</v>
          </cell>
          <cell r="E973" t="str">
            <v>F</v>
          </cell>
          <cell r="F973" t="str">
            <v>PAQ32a34</v>
          </cell>
          <cell r="G973" t="str">
            <v>B</v>
          </cell>
          <cell r="H973">
            <v>0</v>
          </cell>
        </row>
        <row r="974">
          <cell r="A974" t="str">
            <v>1;F;BP;B;PAQ34a36</v>
          </cell>
          <cell r="B974">
            <v>730069</v>
          </cell>
          <cell r="C974" t="str">
            <v>BP</v>
          </cell>
          <cell r="D974" t="str">
            <v>BALEARES PORTUGAL</v>
          </cell>
          <cell r="E974" t="str">
            <v>F</v>
          </cell>
          <cell r="F974" t="str">
            <v>PAQ34a36</v>
          </cell>
          <cell r="G974" t="str">
            <v>B</v>
          </cell>
          <cell r="H974">
            <v>0</v>
          </cell>
        </row>
        <row r="975">
          <cell r="A975" t="str">
            <v>1;F;BP;B;PAQ36a38</v>
          </cell>
          <cell r="B975">
            <v>730069</v>
          </cell>
          <cell r="C975" t="str">
            <v>BP</v>
          </cell>
          <cell r="D975" t="str">
            <v>BALEARES PORTUGAL</v>
          </cell>
          <cell r="E975" t="str">
            <v>F</v>
          </cell>
          <cell r="F975" t="str">
            <v>PAQ36a38</v>
          </cell>
          <cell r="G975" t="str">
            <v>B</v>
          </cell>
          <cell r="H975">
            <v>0</v>
          </cell>
        </row>
        <row r="976">
          <cell r="A976" t="str">
            <v>1;F;BP;B;PAQ38a40</v>
          </cell>
          <cell r="B976">
            <v>730069</v>
          </cell>
          <cell r="C976" t="str">
            <v>BP</v>
          </cell>
          <cell r="D976" t="str">
            <v>BALEARES PORTUGAL</v>
          </cell>
          <cell r="E976" t="str">
            <v>F</v>
          </cell>
          <cell r="F976" t="str">
            <v>PAQ38a40</v>
          </cell>
          <cell r="G976" t="str">
            <v>B</v>
          </cell>
          <cell r="H976">
            <v>0</v>
          </cell>
        </row>
        <row r="977">
          <cell r="A977" t="str">
            <v>1;F;BP;F;</v>
          </cell>
          <cell r="B977">
            <v>730069</v>
          </cell>
          <cell r="C977" t="str">
            <v>BP</v>
          </cell>
          <cell r="D977" t="str">
            <v>BALEARES PORTUGAL</v>
          </cell>
          <cell r="E977" t="str">
            <v>F</v>
          </cell>
          <cell r="F977" t="str">
            <v/>
          </cell>
          <cell r="G977" t="str">
            <v>F</v>
          </cell>
          <cell r="H977">
            <v>0</v>
          </cell>
        </row>
        <row r="978">
          <cell r="A978" t="str">
            <v>1;F;BP;E;</v>
          </cell>
          <cell r="B978">
            <v>730069</v>
          </cell>
          <cell r="C978" t="str">
            <v>BP</v>
          </cell>
          <cell r="D978" t="str">
            <v>BALEARES PORTUGAL</v>
          </cell>
          <cell r="E978" t="str">
            <v>F</v>
          </cell>
          <cell r="F978" t="str">
            <v/>
          </cell>
          <cell r="G978" t="str">
            <v>E</v>
          </cell>
          <cell r="H978">
            <v>0</v>
          </cell>
        </row>
        <row r="979">
          <cell r="A979" t="str">
            <v>1;F;BP;P;</v>
          </cell>
          <cell r="B979">
            <v>730069</v>
          </cell>
          <cell r="C979" t="str">
            <v>BP</v>
          </cell>
          <cell r="D979" t="str">
            <v>BALEARES PORTUGAL</v>
          </cell>
          <cell r="E979" t="str">
            <v>F</v>
          </cell>
          <cell r="F979" t="str">
            <v/>
          </cell>
          <cell r="G979" t="str">
            <v>P</v>
          </cell>
          <cell r="H979">
            <v>0</v>
          </cell>
        </row>
        <row r="980">
          <cell r="A980" t="str">
            <v>1;G;BP;B;BAG</v>
          </cell>
          <cell r="B980">
            <v>730069</v>
          </cell>
          <cell r="C980" t="str">
            <v>BP</v>
          </cell>
          <cell r="D980" t="str">
            <v>BALEARES PORTUGAL</v>
          </cell>
          <cell r="E980" t="str">
            <v>G</v>
          </cell>
          <cell r="F980" t="str">
            <v>BAG</v>
          </cell>
          <cell r="G980" t="str">
            <v>B</v>
          </cell>
          <cell r="H980">
            <v>0</v>
          </cell>
        </row>
        <row r="981">
          <cell r="A981" t="str">
            <v>1;G;BP;B;PAQ00a02</v>
          </cell>
          <cell r="B981">
            <v>730069</v>
          </cell>
          <cell r="C981" t="str">
            <v>BP</v>
          </cell>
          <cell r="D981" t="str">
            <v>BALEARES PORTUGAL</v>
          </cell>
          <cell r="E981" t="str">
            <v>G</v>
          </cell>
          <cell r="F981" t="str">
            <v>PAQ00a02</v>
          </cell>
          <cell r="G981" t="str">
            <v>B</v>
          </cell>
          <cell r="H981">
            <v>0</v>
          </cell>
        </row>
        <row r="982">
          <cell r="A982" t="str">
            <v>1;G;BP;B;PAQ02a04</v>
          </cell>
          <cell r="B982">
            <v>730069</v>
          </cell>
          <cell r="C982" t="str">
            <v>BP</v>
          </cell>
          <cell r="D982" t="str">
            <v>BALEARES PORTUGAL</v>
          </cell>
          <cell r="E982" t="str">
            <v>G</v>
          </cell>
          <cell r="F982" t="str">
            <v>PAQ02a04</v>
          </cell>
          <cell r="G982" t="str">
            <v>B</v>
          </cell>
          <cell r="H982">
            <v>0</v>
          </cell>
        </row>
        <row r="983">
          <cell r="A983" t="str">
            <v>1;G;BP;B;PAQ04a06</v>
          </cell>
          <cell r="B983">
            <v>730069</v>
          </cell>
          <cell r="C983" t="str">
            <v>BP</v>
          </cell>
          <cell r="D983" t="str">
            <v>BALEARES PORTUGAL</v>
          </cell>
          <cell r="E983" t="str">
            <v>G</v>
          </cell>
          <cell r="F983" t="str">
            <v>PAQ04a06</v>
          </cell>
          <cell r="G983" t="str">
            <v>B</v>
          </cell>
          <cell r="H983">
            <v>0</v>
          </cell>
        </row>
        <row r="984">
          <cell r="A984" t="str">
            <v>1;G;BP;B;PAQ06a08</v>
          </cell>
          <cell r="B984">
            <v>730069</v>
          </cell>
          <cell r="C984" t="str">
            <v>BP</v>
          </cell>
          <cell r="D984" t="str">
            <v>BALEARES PORTUGAL</v>
          </cell>
          <cell r="E984" t="str">
            <v>G</v>
          </cell>
          <cell r="F984" t="str">
            <v>PAQ06a08</v>
          </cell>
          <cell r="G984" t="str">
            <v>B</v>
          </cell>
          <cell r="H984">
            <v>0</v>
          </cell>
        </row>
        <row r="985">
          <cell r="A985" t="str">
            <v>1;G;BP;B;PAQ08a10</v>
          </cell>
          <cell r="B985">
            <v>730069</v>
          </cell>
          <cell r="C985" t="str">
            <v>BP</v>
          </cell>
          <cell r="D985" t="str">
            <v>BALEARES PORTUGAL</v>
          </cell>
          <cell r="E985" t="str">
            <v>G</v>
          </cell>
          <cell r="F985" t="str">
            <v>PAQ08a10</v>
          </cell>
          <cell r="G985" t="str">
            <v>B</v>
          </cell>
          <cell r="H985">
            <v>0</v>
          </cell>
        </row>
        <row r="986">
          <cell r="A986" t="str">
            <v>1;G;BP;B;PAQ10a12</v>
          </cell>
          <cell r="B986">
            <v>730069</v>
          </cell>
          <cell r="C986" t="str">
            <v>BP</v>
          </cell>
          <cell r="D986" t="str">
            <v>BALEARES PORTUGAL</v>
          </cell>
          <cell r="E986" t="str">
            <v>G</v>
          </cell>
          <cell r="F986" t="str">
            <v>PAQ10a12</v>
          </cell>
          <cell r="G986" t="str">
            <v>B</v>
          </cell>
          <cell r="H986">
            <v>0</v>
          </cell>
        </row>
        <row r="987">
          <cell r="A987" t="str">
            <v>1;G;BP;B;PAQ12a14</v>
          </cell>
          <cell r="B987">
            <v>730069</v>
          </cell>
          <cell r="C987" t="str">
            <v>BP</v>
          </cell>
          <cell r="D987" t="str">
            <v>BALEARES PORTUGAL</v>
          </cell>
          <cell r="E987" t="str">
            <v>G</v>
          </cell>
          <cell r="F987" t="str">
            <v>PAQ12a14</v>
          </cell>
          <cell r="G987" t="str">
            <v>B</v>
          </cell>
          <cell r="H987">
            <v>0</v>
          </cell>
        </row>
        <row r="988">
          <cell r="A988" t="str">
            <v>1;G;BP;B;PAQ14a16</v>
          </cell>
          <cell r="B988">
            <v>730069</v>
          </cell>
          <cell r="C988" t="str">
            <v>BP</v>
          </cell>
          <cell r="D988" t="str">
            <v>BALEARES PORTUGAL</v>
          </cell>
          <cell r="E988" t="str">
            <v>G</v>
          </cell>
          <cell r="F988" t="str">
            <v>PAQ14a16</v>
          </cell>
          <cell r="G988" t="str">
            <v>B</v>
          </cell>
          <cell r="H988">
            <v>0</v>
          </cell>
        </row>
        <row r="989">
          <cell r="A989" t="str">
            <v>1;G;BP;B;PAQ16a18</v>
          </cell>
          <cell r="B989">
            <v>730069</v>
          </cell>
          <cell r="C989" t="str">
            <v>BP</v>
          </cell>
          <cell r="D989" t="str">
            <v>BALEARES PORTUGAL</v>
          </cell>
          <cell r="E989" t="str">
            <v>G</v>
          </cell>
          <cell r="F989" t="str">
            <v>PAQ16a18</v>
          </cell>
          <cell r="G989" t="str">
            <v>B</v>
          </cell>
          <cell r="H989">
            <v>0</v>
          </cell>
        </row>
        <row r="990">
          <cell r="A990" t="str">
            <v>1;G;BP;B;PAQ18a20</v>
          </cell>
          <cell r="B990">
            <v>730069</v>
          </cell>
          <cell r="C990" t="str">
            <v>BP</v>
          </cell>
          <cell r="D990" t="str">
            <v>BALEARES PORTUGAL</v>
          </cell>
          <cell r="E990" t="str">
            <v>G</v>
          </cell>
          <cell r="F990" t="str">
            <v>PAQ18a20</v>
          </cell>
          <cell r="G990" t="str">
            <v>B</v>
          </cell>
          <cell r="H990">
            <v>0</v>
          </cell>
        </row>
        <row r="991">
          <cell r="A991" t="str">
            <v>1;G;BP;B;PAQ20a22</v>
          </cell>
          <cell r="B991">
            <v>730069</v>
          </cell>
          <cell r="C991" t="str">
            <v>BP</v>
          </cell>
          <cell r="D991" t="str">
            <v>BALEARES PORTUGAL</v>
          </cell>
          <cell r="E991" t="str">
            <v>G</v>
          </cell>
          <cell r="F991" t="str">
            <v>PAQ20a22</v>
          </cell>
          <cell r="G991" t="str">
            <v>B</v>
          </cell>
          <cell r="H991">
            <v>0</v>
          </cell>
        </row>
        <row r="992">
          <cell r="A992" t="str">
            <v>1;G;BP;B;PAQ22a24</v>
          </cell>
          <cell r="B992">
            <v>730069</v>
          </cell>
          <cell r="C992" t="str">
            <v>BP</v>
          </cell>
          <cell r="D992" t="str">
            <v>BALEARES PORTUGAL</v>
          </cell>
          <cell r="E992" t="str">
            <v>G</v>
          </cell>
          <cell r="F992" t="str">
            <v>PAQ22a24</v>
          </cell>
          <cell r="G992" t="str">
            <v>B</v>
          </cell>
          <cell r="H992">
            <v>0</v>
          </cell>
        </row>
        <row r="993">
          <cell r="A993" t="str">
            <v>1;G;BP;B;PAQ24a26</v>
          </cell>
          <cell r="B993">
            <v>730069</v>
          </cell>
          <cell r="C993" t="str">
            <v>BP</v>
          </cell>
          <cell r="D993" t="str">
            <v>BALEARES PORTUGAL</v>
          </cell>
          <cell r="E993" t="str">
            <v>G</v>
          </cell>
          <cell r="F993" t="str">
            <v>PAQ24a26</v>
          </cell>
          <cell r="G993" t="str">
            <v>B</v>
          </cell>
          <cell r="H993">
            <v>0</v>
          </cell>
        </row>
        <row r="994">
          <cell r="A994" t="str">
            <v>1;G;BP;B;PAQ26a28</v>
          </cell>
          <cell r="B994">
            <v>730069</v>
          </cell>
          <cell r="C994" t="str">
            <v>BP</v>
          </cell>
          <cell r="D994" t="str">
            <v>BALEARES PORTUGAL</v>
          </cell>
          <cell r="E994" t="str">
            <v>G</v>
          </cell>
          <cell r="F994" t="str">
            <v>PAQ26a28</v>
          </cell>
          <cell r="G994" t="str">
            <v>B</v>
          </cell>
          <cell r="H994">
            <v>0</v>
          </cell>
        </row>
        <row r="995">
          <cell r="A995" t="str">
            <v>1;G;BP;B;PAQ28a30</v>
          </cell>
          <cell r="B995">
            <v>730069</v>
          </cell>
          <cell r="C995" t="str">
            <v>BP</v>
          </cell>
          <cell r="D995" t="str">
            <v>BALEARES PORTUGAL</v>
          </cell>
          <cell r="E995" t="str">
            <v>G</v>
          </cell>
          <cell r="F995" t="str">
            <v>PAQ28a30</v>
          </cell>
          <cell r="G995" t="str">
            <v>B</v>
          </cell>
          <cell r="H995">
            <v>0</v>
          </cell>
        </row>
        <row r="996">
          <cell r="A996" t="str">
            <v>1;G;BP;B;PAQ30a32</v>
          </cell>
          <cell r="B996">
            <v>730069</v>
          </cell>
          <cell r="C996" t="str">
            <v>BP</v>
          </cell>
          <cell r="D996" t="str">
            <v>BALEARES PORTUGAL</v>
          </cell>
          <cell r="E996" t="str">
            <v>G</v>
          </cell>
          <cell r="F996" t="str">
            <v>PAQ30a32</v>
          </cell>
          <cell r="G996" t="str">
            <v>B</v>
          </cell>
          <cell r="H996">
            <v>0</v>
          </cell>
        </row>
        <row r="997">
          <cell r="A997" t="str">
            <v>1;G;BP;B;PAQ32a34</v>
          </cell>
          <cell r="B997">
            <v>730069</v>
          </cell>
          <cell r="C997" t="str">
            <v>BP</v>
          </cell>
          <cell r="D997" t="str">
            <v>BALEARES PORTUGAL</v>
          </cell>
          <cell r="E997" t="str">
            <v>G</v>
          </cell>
          <cell r="F997" t="str">
            <v>PAQ32a34</v>
          </cell>
          <cell r="G997" t="str">
            <v>B</v>
          </cell>
          <cell r="H997">
            <v>0</v>
          </cell>
        </row>
        <row r="998">
          <cell r="A998" t="str">
            <v>1;G;BP;B;PAQ34a36</v>
          </cell>
          <cell r="B998">
            <v>730069</v>
          </cell>
          <cell r="C998" t="str">
            <v>BP</v>
          </cell>
          <cell r="D998" t="str">
            <v>BALEARES PORTUGAL</v>
          </cell>
          <cell r="E998" t="str">
            <v>G</v>
          </cell>
          <cell r="F998" t="str">
            <v>PAQ34a36</v>
          </cell>
          <cell r="G998" t="str">
            <v>B</v>
          </cell>
          <cell r="H998">
            <v>0</v>
          </cell>
        </row>
        <row r="999">
          <cell r="A999" t="str">
            <v>1;G;BP;B;PAQ36a38</v>
          </cell>
          <cell r="B999">
            <v>730069</v>
          </cell>
          <cell r="C999" t="str">
            <v>BP</v>
          </cell>
          <cell r="D999" t="str">
            <v>BALEARES PORTUGAL</v>
          </cell>
          <cell r="E999" t="str">
            <v>G</v>
          </cell>
          <cell r="F999" t="str">
            <v>PAQ36a38</v>
          </cell>
          <cell r="G999" t="str">
            <v>B</v>
          </cell>
          <cell r="H999">
            <v>0</v>
          </cell>
        </row>
        <row r="1000">
          <cell r="A1000" t="str">
            <v>1;G;BP;F;</v>
          </cell>
          <cell r="B1000">
            <v>730069</v>
          </cell>
          <cell r="C1000" t="str">
            <v>BP</v>
          </cell>
          <cell r="D1000" t="str">
            <v>BALEARES PORTUGAL</v>
          </cell>
          <cell r="E1000" t="str">
            <v>G</v>
          </cell>
          <cell r="F1000" t="str">
            <v/>
          </cell>
          <cell r="G1000" t="str">
            <v>F</v>
          </cell>
          <cell r="H1000">
            <v>0</v>
          </cell>
        </row>
        <row r="1001">
          <cell r="A1001" t="str">
            <v>1;G;BP;B;PAQ38a40</v>
          </cell>
          <cell r="B1001">
            <v>730069</v>
          </cell>
          <cell r="C1001" t="str">
            <v>BP</v>
          </cell>
          <cell r="D1001" t="str">
            <v>BALEARES PORTUGAL</v>
          </cell>
          <cell r="E1001" t="str">
            <v>G</v>
          </cell>
          <cell r="F1001" t="str">
            <v>PAQ38a40</v>
          </cell>
          <cell r="G1001" t="str">
            <v>B</v>
          </cell>
          <cell r="H1001">
            <v>0</v>
          </cell>
        </row>
        <row r="1002">
          <cell r="A1002" t="str">
            <v>1;G;BP;P;</v>
          </cell>
          <cell r="B1002">
            <v>730069</v>
          </cell>
          <cell r="C1002" t="str">
            <v>BP</v>
          </cell>
          <cell r="D1002" t="str">
            <v>BALEARES PORTUGAL</v>
          </cell>
          <cell r="E1002" t="str">
            <v>G</v>
          </cell>
          <cell r="F1002" t="str">
            <v/>
          </cell>
          <cell r="G1002" t="str">
            <v>P</v>
          </cell>
          <cell r="H1002">
            <v>0</v>
          </cell>
        </row>
        <row r="1003">
          <cell r="A1003" t="str">
            <v>1;G;BP;E;</v>
          </cell>
          <cell r="B1003">
            <v>730069</v>
          </cell>
          <cell r="C1003" t="str">
            <v>BP</v>
          </cell>
          <cell r="D1003" t="str">
            <v>BALEARES PORTUGAL</v>
          </cell>
          <cell r="E1003" t="str">
            <v>G</v>
          </cell>
          <cell r="F1003" t="str">
            <v/>
          </cell>
          <cell r="G1003" t="str">
            <v>E</v>
          </cell>
          <cell r="H1003">
            <v>0</v>
          </cell>
        </row>
        <row r="1004">
          <cell r="A1004" t="str">
            <v>1;01;BP;B;BAG</v>
          </cell>
          <cell r="B1004">
            <v>730069</v>
          </cell>
          <cell r="C1004" t="str">
            <v>BP</v>
          </cell>
          <cell r="D1004" t="str">
            <v>BALEARES PORTUGAL</v>
          </cell>
          <cell r="E1004" t="str">
            <v>01</v>
          </cell>
          <cell r="F1004" t="str">
            <v>BAG</v>
          </cell>
          <cell r="G1004" t="str">
            <v>B</v>
          </cell>
          <cell r="H1004">
            <v>19.38</v>
          </cell>
        </row>
        <row r="1005">
          <cell r="A1005" t="str">
            <v>1;01;BP;B;DOCS</v>
          </cell>
          <cell r="B1005">
            <v>730069</v>
          </cell>
          <cell r="C1005" t="str">
            <v>BP</v>
          </cell>
          <cell r="D1005" t="str">
            <v>BALEARES PORTUGAL</v>
          </cell>
          <cell r="E1005" t="str">
            <v>01</v>
          </cell>
          <cell r="F1005" t="str">
            <v>DOCS</v>
          </cell>
          <cell r="G1005" t="str">
            <v>B</v>
          </cell>
          <cell r="H1005">
            <v>14.2</v>
          </cell>
        </row>
        <row r="1006">
          <cell r="A1006" t="str">
            <v>1;01;BP;B;PAQ00a02</v>
          </cell>
          <cell r="B1006">
            <v>730069</v>
          </cell>
          <cell r="C1006" t="str">
            <v>BP</v>
          </cell>
          <cell r="D1006" t="str">
            <v>BALEARES PORTUGAL</v>
          </cell>
          <cell r="E1006" t="str">
            <v>01</v>
          </cell>
          <cell r="F1006" t="str">
            <v>PAQ00a02</v>
          </cell>
          <cell r="G1006" t="str">
            <v>B</v>
          </cell>
          <cell r="H1006">
            <v>24.09</v>
          </cell>
        </row>
        <row r="1007">
          <cell r="A1007" t="str">
            <v>1;01;BP;B;PAQ02a04</v>
          </cell>
          <cell r="B1007">
            <v>730069</v>
          </cell>
          <cell r="C1007" t="str">
            <v>BP</v>
          </cell>
          <cell r="D1007" t="str">
            <v>BALEARES PORTUGAL</v>
          </cell>
          <cell r="E1007" t="str">
            <v>01</v>
          </cell>
          <cell r="F1007" t="str">
            <v>PAQ02a04</v>
          </cell>
          <cell r="G1007" t="str">
            <v>B</v>
          </cell>
          <cell r="H1007">
            <v>42.04</v>
          </cell>
        </row>
        <row r="1008">
          <cell r="A1008" t="str">
            <v>1;01;BP;B;PAQ04a06</v>
          </cell>
          <cell r="B1008">
            <v>730069</v>
          </cell>
          <cell r="C1008" t="str">
            <v>BP</v>
          </cell>
          <cell r="D1008" t="str">
            <v>BALEARES PORTUGAL</v>
          </cell>
          <cell r="E1008" t="str">
            <v>01</v>
          </cell>
          <cell r="F1008" t="str">
            <v>PAQ04a06</v>
          </cell>
          <cell r="G1008" t="str">
            <v>B</v>
          </cell>
          <cell r="H1008">
            <v>62.04</v>
          </cell>
        </row>
        <row r="1009">
          <cell r="A1009" t="str">
            <v>1;01;BP;B;PAQ06a08</v>
          </cell>
          <cell r="B1009">
            <v>730069</v>
          </cell>
          <cell r="C1009" t="str">
            <v>BP</v>
          </cell>
          <cell r="D1009" t="str">
            <v>BALEARES PORTUGAL</v>
          </cell>
          <cell r="E1009" t="str">
            <v>01</v>
          </cell>
          <cell r="F1009" t="str">
            <v>PAQ06a08</v>
          </cell>
          <cell r="G1009" t="str">
            <v>B</v>
          </cell>
          <cell r="H1009">
            <v>82.06</v>
          </cell>
        </row>
        <row r="1010">
          <cell r="A1010" t="str">
            <v>1;01;BP;B;PAQ08a10</v>
          </cell>
          <cell r="B1010">
            <v>730069</v>
          </cell>
          <cell r="C1010" t="str">
            <v>BP</v>
          </cell>
          <cell r="D1010" t="str">
            <v>BALEARES PORTUGAL</v>
          </cell>
          <cell r="E1010" t="str">
            <v>01</v>
          </cell>
          <cell r="F1010" t="str">
            <v>PAQ08a10</v>
          </cell>
          <cell r="G1010" t="str">
            <v>B</v>
          </cell>
          <cell r="H1010">
            <v>102.07</v>
          </cell>
        </row>
        <row r="1011">
          <cell r="A1011" t="str">
            <v>1;01;BP;B;PAQ10a12</v>
          </cell>
          <cell r="B1011">
            <v>730069</v>
          </cell>
          <cell r="C1011" t="str">
            <v>BP</v>
          </cell>
          <cell r="D1011" t="str">
            <v>BALEARES PORTUGAL</v>
          </cell>
          <cell r="E1011" t="str">
            <v>01</v>
          </cell>
          <cell r="F1011" t="str">
            <v>PAQ10a12</v>
          </cell>
          <cell r="G1011" t="str">
            <v>B</v>
          </cell>
          <cell r="H1011">
            <v>122.08</v>
          </cell>
        </row>
        <row r="1012">
          <cell r="A1012" t="str">
            <v>1;01;BP;B;PAQ12a14</v>
          </cell>
          <cell r="B1012">
            <v>730069</v>
          </cell>
          <cell r="C1012" t="str">
            <v>BP</v>
          </cell>
          <cell r="D1012" t="str">
            <v>BALEARES PORTUGAL</v>
          </cell>
          <cell r="E1012" t="str">
            <v>01</v>
          </cell>
          <cell r="F1012" t="str">
            <v>PAQ12a14</v>
          </cell>
          <cell r="G1012" t="str">
            <v>B</v>
          </cell>
          <cell r="H1012">
            <v>142.09</v>
          </cell>
        </row>
        <row r="1013">
          <cell r="A1013" t="str">
            <v>1;01;BP;B;PAQ14a16</v>
          </cell>
          <cell r="B1013">
            <v>730069</v>
          </cell>
          <cell r="C1013" t="str">
            <v>BP</v>
          </cell>
          <cell r="D1013" t="str">
            <v>BALEARES PORTUGAL</v>
          </cell>
          <cell r="E1013" t="str">
            <v>01</v>
          </cell>
          <cell r="F1013" t="str">
            <v>PAQ14a16</v>
          </cell>
          <cell r="G1013" t="str">
            <v>B</v>
          </cell>
          <cell r="H1013">
            <v>162.1</v>
          </cell>
        </row>
        <row r="1014">
          <cell r="A1014" t="str">
            <v>1;01;BP;B;PAQ16a18</v>
          </cell>
          <cell r="B1014">
            <v>730069</v>
          </cell>
          <cell r="C1014" t="str">
            <v>BP</v>
          </cell>
          <cell r="D1014" t="str">
            <v>BALEARES PORTUGAL</v>
          </cell>
          <cell r="E1014" t="str">
            <v>01</v>
          </cell>
          <cell r="F1014" t="str">
            <v>PAQ16a18</v>
          </cell>
          <cell r="G1014" t="str">
            <v>B</v>
          </cell>
          <cell r="H1014">
            <v>182.11</v>
          </cell>
        </row>
        <row r="1015">
          <cell r="A1015" t="str">
            <v>1;01;BP;B;PAQ18a20</v>
          </cell>
          <cell r="B1015">
            <v>730069</v>
          </cell>
          <cell r="C1015" t="str">
            <v>BP</v>
          </cell>
          <cell r="D1015" t="str">
            <v>BALEARES PORTUGAL</v>
          </cell>
          <cell r="E1015" t="str">
            <v>01</v>
          </cell>
          <cell r="F1015" t="str">
            <v>PAQ18a20</v>
          </cell>
          <cell r="G1015" t="str">
            <v>B</v>
          </cell>
          <cell r="H1015">
            <v>202.13</v>
          </cell>
        </row>
        <row r="1016">
          <cell r="A1016" t="str">
            <v>1;01;BP;B;PAQ20a22</v>
          </cell>
          <cell r="B1016">
            <v>730069</v>
          </cell>
          <cell r="C1016" t="str">
            <v>BP</v>
          </cell>
          <cell r="D1016" t="str">
            <v>BALEARES PORTUGAL</v>
          </cell>
          <cell r="E1016" t="str">
            <v>01</v>
          </cell>
          <cell r="F1016" t="str">
            <v>PAQ20a22</v>
          </cell>
          <cell r="G1016" t="str">
            <v>B</v>
          </cell>
          <cell r="H1016">
            <v>222.13</v>
          </cell>
        </row>
        <row r="1017">
          <cell r="A1017" t="str">
            <v>1;01;BP;B;PAQ22a24</v>
          </cell>
          <cell r="B1017">
            <v>730069</v>
          </cell>
          <cell r="C1017" t="str">
            <v>BP</v>
          </cell>
          <cell r="D1017" t="str">
            <v>BALEARES PORTUGAL</v>
          </cell>
          <cell r="E1017" t="str">
            <v>01</v>
          </cell>
          <cell r="F1017" t="str">
            <v>PAQ22a24</v>
          </cell>
          <cell r="G1017" t="str">
            <v>B</v>
          </cell>
          <cell r="H1017">
            <v>242.14</v>
          </cell>
        </row>
        <row r="1018">
          <cell r="A1018" t="str">
            <v>1;01;BP;B;PAQ24a26</v>
          </cell>
          <cell r="B1018">
            <v>730069</v>
          </cell>
          <cell r="C1018" t="str">
            <v>BP</v>
          </cell>
          <cell r="D1018" t="str">
            <v>BALEARES PORTUGAL</v>
          </cell>
          <cell r="E1018" t="str">
            <v>01</v>
          </cell>
          <cell r="F1018" t="str">
            <v>PAQ24a26</v>
          </cell>
          <cell r="G1018" t="str">
            <v>B</v>
          </cell>
          <cell r="H1018">
            <v>262.14999999999998</v>
          </cell>
        </row>
        <row r="1019">
          <cell r="A1019" t="str">
            <v>1;01;BP;B;PAQ26a28</v>
          </cell>
          <cell r="B1019">
            <v>730069</v>
          </cell>
          <cell r="C1019" t="str">
            <v>BP</v>
          </cell>
          <cell r="D1019" t="str">
            <v>BALEARES PORTUGAL</v>
          </cell>
          <cell r="E1019" t="str">
            <v>01</v>
          </cell>
          <cell r="F1019" t="str">
            <v>PAQ26a28</v>
          </cell>
          <cell r="G1019" t="str">
            <v>B</v>
          </cell>
          <cell r="H1019">
            <v>282.17</v>
          </cell>
        </row>
        <row r="1020">
          <cell r="A1020" t="str">
            <v>1;01;BP;B;PAQ28a30</v>
          </cell>
          <cell r="B1020">
            <v>730069</v>
          </cell>
          <cell r="C1020" t="str">
            <v>BP</v>
          </cell>
          <cell r="D1020" t="str">
            <v>BALEARES PORTUGAL</v>
          </cell>
          <cell r="E1020" t="str">
            <v>01</v>
          </cell>
          <cell r="F1020" t="str">
            <v>PAQ28a30</v>
          </cell>
          <cell r="G1020" t="str">
            <v>B</v>
          </cell>
          <cell r="H1020">
            <v>302.17</v>
          </cell>
        </row>
        <row r="1021">
          <cell r="A1021" t="str">
            <v>1;01;BP;B;PAQ30a32</v>
          </cell>
          <cell r="B1021">
            <v>730069</v>
          </cell>
          <cell r="C1021" t="str">
            <v>BP</v>
          </cell>
          <cell r="D1021" t="str">
            <v>BALEARES PORTUGAL</v>
          </cell>
          <cell r="E1021" t="str">
            <v>01</v>
          </cell>
          <cell r="F1021" t="str">
            <v>PAQ30a32</v>
          </cell>
          <cell r="G1021" t="str">
            <v>B</v>
          </cell>
          <cell r="H1021">
            <v>322.18</v>
          </cell>
        </row>
        <row r="1022">
          <cell r="A1022" t="str">
            <v>1;01;BP;B;PAQ32a34</v>
          </cell>
          <cell r="B1022">
            <v>730069</v>
          </cell>
          <cell r="C1022" t="str">
            <v>BP</v>
          </cell>
          <cell r="D1022" t="str">
            <v>BALEARES PORTUGAL</v>
          </cell>
          <cell r="E1022" t="str">
            <v>01</v>
          </cell>
          <cell r="F1022" t="str">
            <v>PAQ32a34</v>
          </cell>
          <cell r="G1022" t="str">
            <v>B</v>
          </cell>
          <cell r="H1022">
            <v>342.2</v>
          </cell>
        </row>
        <row r="1023">
          <cell r="A1023" t="str">
            <v>1;01;BP;B;PAQ34a36</v>
          </cell>
          <cell r="B1023">
            <v>730069</v>
          </cell>
          <cell r="C1023" t="str">
            <v>BP</v>
          </cell>
          <cell r="D1023" t="str">
            <v>BALEARES PORTUGAL</v>
          </cell>
          <cell r="E1023" t="str">
            <v>01</v>
          </cell>
          <cell r="F1023" t="str">
            <v>PAQ34a36</v>
          </cell>
          <cell r="G1023" t="str">
            <v>B</v>
          </cell>
          <cell r="H1023">
            <v>362.21</v>
          </cell>
        </row>
        <row r="1024">
          <cell r="A1024" t="str">
            <v>1;01;BP;B;PAQ36a38</v>
          </cell>
          <cell r="B1024">
            <v>730069</v>
          </cell>
          <cell r="C1024" t="str">
            <v>BP</v>
          </cell>
          <cell r="D1024" t="str">
            <v>BALEARES PORTUGAL</v>
          </cell>
          <cell r="E1024" t="str">
            <v>01</v>
          </cell>
          <cell r="F1024" t="str">
            <v>PAQ36a38</v>
          </cell>
          <cell r="G1024" t="str">
            <v>B</v>
          </cell>
          <cell r="H1024">
            <v>382.21</v>
          </cell>
        </row>
        <row r="1025">
          <cell r="A1025" t="str">
            <v>1;01;BP;B;PAQ38a40</v>
          </cell>
          <cell r="B1025">
            <v>730069</v>
          </cell>
          <cell r="C1025" t="str">
            <v>BP</v>
          </cell>
          <cell r="D1025" t="str">
            <v>BALEARES PORTUGAL</v>
          </cell>
          <cell r="E1025" t="str">
            <v>01</v>
          </cell>
          <cell r="F1025" t="str">
            <v>PAQ38a40</v>
          </cell>
          <cell r="G1025" t="str">
            <v>B</v>
          </cell>
          <cell r="H1025">
            <v>402.22</v>
          </cell>
        </row>
        <row r="1026">
          <cell r="A1026" t="str">
            <v>1;01;BP;F;</v>
          </cell>
          <cell r="B1026">
            <v>730069</v>
          </cell>
          <cell r="C1026" t="str">
            <v>BP</v>
          </cell>
          <cell r="D1026" t="str">
            <v>BALEARES PORTUGAL</v>
          </cell>
          <cell r="E1026" t="str">
            <v>01</v>
          </cell>
          <cell r="F1026" t="str">
            <v/>
          </cell>
          <cell r="G1026" t="str">
            <v>F</v>
          </cell>
          <cell r="H1026">
            <v>20.010000000000002</v>
          </cell>
        </row>
        <row r="1027">
          <cell r="A1027" t="str">
            <v>1;01;BP;P;</v>
          </cell>
          <cell r="B1027">
            <v>730069</v>
          </cell>
          <cell r="C1027" t="str">
            <v>BP</v>
          </cell>
          <cell r="D1027" t="str">
            <v>BALEARES PORTUGAL</v>
          </cell>
          <cell r="E1027" t="str">
            <v>01</v>
          </cell>
          <cell r="F1027" t="str">
            <v/>
          </cell>
          <cell r="G1027" t="str">
            <v>P</v>
          </cell>
          <cell r="H1027">
            <v>0</v>
          </cell>
        </row>
        <row r="1028">
          <cell r="A1028" t="str">
            <v>1;01;BP;E;</v>
          </cell>
          <cell r="B1028">
            <v>730069</v>
          </cell>
          <cell r="C1028" t="str">
            <v>BP</v>
          </cell>
          <cell r="D1028" t="str">
            <v>BALEARES PORTUGAL</v>
          </cell>
          <cell r="E1028" t="str">
            <v>01</v>
          </cell>
          <cell r="F1028" t="str">
            <v/>
          </cell>
          <cell r="G1028" t="str">
            <v>E</v>
          </cell>
          <cell r="H1028">
            <v>0</v>
          </cell>
        </row>
        <row r="1029">
          <cell r="A1029" t="str">
            <v>1;02;BP;B;BAG</v>
          </cell>
          <cell r="B1029">
            <v>730069</v>
          </cell>
          <cell r="C1029" t="str">
            <v>BP</v>
          </cell>
          <cell r="D1029" t="str">
            <v>BALEARES PORTUGAL</v>
          </cell>
          <cell r="E1029" t="str">
            <v>02</v>
          </cell>
          <cell r="F1029" t="str">
            <v>BAG</v>
          </cell>
          <cell r="G1029" t="str">
            <v>B</v>
          </cell>
          <cell r="H1029">
            <v>14.26</v>
          </cell>
        </row>
        <row r="1030">
          <cell r="A1030" t="str">
            <v>1;02;BP;B;DOCS</v>
          </cell>
          <cell r="B1030">
            <v>730069</v>
          </cell>
          <cell r="C1030" t="str">
            <v>BP</v>
          </cell>
          <cell r="D1030" t="str">
            <v>BALEARES PORTUGAL</v>
          </cell>
          <cell r="E1030" t="str">
            <v>02</v>
          </cell>
          <cell r="F1030" t="str">
            <v>DOCS</v>
          </cell>
          <cell r="G1030" t="str">
            <v>B</v>
          </cell>
          <cell r="H1030">
            <v>10.19</v>
          </cell>
        </row>
        <row r="1031">
          <cell r="A1031" t="str">
            <v>1;02;BP;B;PAQ00a02</v>
          </cell>
          <cell r="B1031">
            <v>730069</v>
          </cell>
          <cell r="C1031" t="str">
            <v>BP</v>
          </cell>
          <cell r="D1031" t="str">
            <v>BALEARES PORTUGAL</v>
          </cell>
          <cell r="E1031" t="str">
            <v>02</v>
          </cell>
          <cell r="F1031" t="str">
            <v>PAQ00a02</v>
          </cell>
          <cell r="G1031" t="str">
            <v>B</v>
          </cell>
          <cell r="H1031">
            <v>16.989999999999998</v>
          </cell>
        </row>
        <row r="1032">
          <cell r="A1032" t="str">
            <v>1;02;BP;B;PAQ02a04</v>
          </cell>
          <cell r="B1032">
            <v>730069</v>
          </cell>
          <cell r="C1032" t="str">
            <v>BP</v>
          </cell>
          <cell r="D1032" t="str">
            <v>BALEARES PORTUGAL</v>
          </cell>
          <cell r="E1032" t="str">
            <v>02</v>
          </cell>
          <cell r="F1032" t="str">
            <v>PAQ02a04</v>
          </cell>
          <cell r="G1032" t="str">
            <v>B</v>
          </cell>
          <cell r="H1032">
            <v>27.41</v>
          </cell>
        </row>
        <row r="1033">
          <cell r="A1033" t="str">
            <v>1;02;BP;B;PAQ04a06</v>
          </cell>
          <cell r="B1033">
            <v>730069</v>
          </cell>
          <cell r="C1033" t="str">
            <v>BP</v>
          </cell>
          <cell r="D1033" t="str">
            <v>BALEARES PORTUGAL</v>
          </cell>
          <cell r="E1033" t="str">
            <v>02</v>
          </cell>
          <cell r="F1033" t="str">
            <v>PAQ04a06</v>
          </cell>
          <cell r="G1033" t="str">
            <v>B</v>
          </cell>
          <cell r="H1033">
            <v>38.1</v>
          </cell>
        </row>
        <row r="1034">
          <cell r="A1034" t="str">
            <v>1;02;BP;B;PAQ06a08</v>
          </cell>
          <cell r="B1034">
            <v>730069</v>
          </cell>
          <cell r="C1034" t="str">
            <v>BP</v>
          </cell>
          <cell r="D1034" t="str">
            <v>BALEARES PORTUGAL</v>
          </cell>
          <cell r="E1034" t="str">
            <v>02</v>
          </cell>
          <cell r="F1034" t="str">
            <v>PAQ06a08</v>
          </cell>
          <cell r="G1034" t="str">
            <v>B</v>
          </cell>
          <cell r="H1034">
            <v>48.79</v>
          </cell>
        </row>
        <row r="1035">
          <cell r="A1035" t="str">
            <v>1;02;BP;B;PAQ08a10</v>
          </cell>
          <cell r="B1035">
            <v>730069</v>
          </cell>
          <cell r="C1035" t="str">
            <v>BP</v>
          </cell>
          <cell r="D1035" t="str">
            <v>BALEARES PORTUGAL</v>
          </cell>
          <cell r="E1035" t="str">
            <v>02</v>
          </cell>
          <cell r="F1035" t="str">
            <v>PAQ08a10</v>
          </cell>
          <cell r="G1035" t="str">
            <v>B</v>
          </cell>
          <cell r="H1035">
            <v>59.49</v>
          </cell>
        </row>
        <row r="1036">
          <cell r="A1036" t="str">
            <v>1;02;BP;B;PAQ10a12</v>
          </cell>
          <cell r="B1036">
            <v>730069</v>
          </cell>
          <cell r="C1036" t="str">
            <v>BP</v>
          </cell>
          <cell r="D1036" t="str">
            <v>BALEARES PORTUGAL</v>
          </cell>
          <cell r="E1036" t="str">
            <v>02</v>
          </cell>
          <cell r="F1036" t="str">
            <v>PAQ10a12</v>
          </cell>
          <cell r="G1036" t="str">
            <v>B</v>
          </cell>
          <cell r="H1036">
            <v>70.180000000000007</v>
          </cell>
        </row>
        <row r="1037">
          <cell r="A1037" t="str">
            <v>1;02;BP;B;PAQ12a14</v>
          </cell>
          <cell r="B1037">
            <v>730069</v>
          </cell>
          <cell r="C1037" t="str">
            <v>BP</v>
          </cell>
          <cell r="D1037" t="str">
            <v>BALEARES PORTUGAL</v>
          </cell>
          <cell r="E1037" t="str">
            <v>02</v>
          </cell>
          <cell r="F1037" t="str">
            <v>PAQ12a14</v>
          </cell>
          <cell r="G1037" t="str">
            <v>B</v>
          </cell>
          <cell r="H1037">
            <v>80.88</v>
          </cell>
        </row>
        <row r="1038">
          <cell r="A1038" t="str">
            <v>1;02;BP;B;PAQ14a16</v>
          </cell>
          <cell r="B1038">
            <v>730069</v>
          </cell>
          <cell r="C1038" t="str">
            <v>BP</v>
          </cell>
          <cell r="D1038" t="str">
            <v>BALEARES PORTUGAL</v>
          </cell>
          <cell r="E1038" t="str">
            <v>02</v>
          </cell>
          <cell r="F1038" t="str">
            <v>PAQ14a16</v>
          </cell>
          <cell r="G1038" t="str">
            <v>B</v>
          </cell>
          <cell r="H1038">
            <v>91.57</v>
          </cell>
        </row>
        <row r="1039">
          <cell r="A1039" t="str">
            <v>1;02;BP;B;PAQ16a18</v>
          </cell>
          <cell r="B1039">
            <v>730069</v>
          </cell>
          <cell r="C1039" t="str">
            <v>BP</v>
          </cell>
          <cell r="D1039" t="str">
            <v>BALEARES PORTUGAL</v>
          </cell>
          <cell r="E1039" t="str">
            <v>02</v>
          </cell>
          <cell r="F1039" t="str">
            <v>PAQ16a18</v>
          </cell>
          <cell r="G1039" t="str">
            <v>B</v>
          </cell>
          <cell r="H1039">
            <v>102.27</v>
          </cell>
        </row>
        <row r="1040">
          <cell r="A1040" t="str">
            <v>1;02;BP;B;PAQ18a20</v>
          </cell>
          <cell r="B1040">
            <v>730069</v>
          </cell>
          <cell r="C1040" t="str">
            <v>BP</v>
          </cell>
          <cell r="D1040" t="str">
            <v>BALEARES PORTUGAL</v>
          </cell>
          <cell r="E1040" t="str">
            <v>02</v>
          </cell>
          <cell r="F1040" t="str">
            <v>PAQ18a20</v>
          </cell>
          <cell r="G1040" t="str">
            <v>B</v>
          </cell>
          <cell r="H1040">
            <v>112.96</v>
          </cell>
        </row>
        <row r="1041">
          <cell r="A1041" t="str">
            <v>1;02;BP;B;PAQ20a22</v>
          </cell>
          <cell r="B1041">
            <v>730069</v>
          </cell>
          <cell r="C1041" t="str">
            <v>BP</v>
          </cell>
          <cell r="D1041" t="str">
            <v>BALEARES PORTUGAL</v>
          </cell>
          <cell r="E1041" t="str">
            <v>02</v>
          </cell>
          <cell r="F1041" t="str">
            <v>PAQ20a22</v>
          </cell>
          <cell r="G1041" t="str">
            <v>B</v>
          </cell>
          <cell r="H1041">
            <v>123.66</v>
          </cell>
        </row>
        <row r="1042">
          <cell r="A1042" t="str">
            <v>1;02;BP;B;PAQ22a24</v>
          </cell>
          <cell r="B1042">
            <v>730069</v>
          </cell>
          <cell r="C1042" t="str">
            <v>BP</v>
          </cell>
          <cell r="D1042" t="str">
            <v>BALEARES PORTUGAL</v>
          </cell>
          <cell r="E1042" t="str">
            <v>02</v>
          </cell>
          <cell r="F1042" t="str">
            <v>PAQ22a24</v>
          </cell>
          <cell r="G1042" t="str">
            <v>B</v>
          </cell>
          <cell r="H1042">
            <v>134.35</v>
          </cell>
        </row>
        <row r="1043">
          <cell r="A1043" t="str">
            <v>1;02;BP;B;PAQ24a26</v>
          </cell>
          <cell r="B1043">
            <v>730069</v>
          </cell>
          <cell r="C1043" t="str">
            <v>BP</v>
          </cell>
          <cell r="D1043" t="str">
            <v>BALEARES PORTUGAL</v>
          </cell>
          <cell r="E1043" t="str">
            <v>02</v>
          </cell>
          <cell r="F1043" t="str">
            <v>PAQ24a26</v>
          </cell>
          <cell r="G1043" t="str">
            <v>B</v>
          </cell>
          <cell r="H1043">
            <v>145.05000000000001</v>
          </cell>
        </row>
        <row r="1044">
          <cell r="A1044" t="str">
            <v>1;02;BP;B;PAQ26a28</v>
          </cell>
          <cell r="B1044">
            <v>730069</v>
          </cell>
          <cell r="C1044" t="str">
            <v>BP</v>
          </cell>
          <cell r="D1044" t="str">
            <v>BALEARES PORTUGAL</v>
          </cell>
          <cell r="E1044" t="str">
            <v>02</v>
          </cell>
          <cell r="F1044" t="str">
            <v>PAQ26a28</v>
          </cell>
          <cell r="G1044" t="str">
            <v>B</v>
          </cell>
          <cell r="H1044">
            <v>155.74</v>
          </cell>
        </row>
        <row r="1045">
          <cell r="A1045" t="str">
            <v>1;02;BP;B;PAQ28a30</v>
          </cell>
          <cell r="B1045">
            <v>730069</v>
          </cell>
          <cell r="C1045" t="str">
            <v>BP</v>
          </cell>
          <cell r="D1045" t="str">
            <v>BALEARES PORTUGAL</v>
          </cell>
          <cell r="E1045" t="str">
            <v>02</v>
          </cell>
          <cell r="F1045" t="str">
            <v>PAQ28a30</v>
          </cell>
          <cell r="G1045" t="str">
            <v>B</v>
          </cell>
          <cell r="H1045">
            <v>166.44</v>
          </cell>
        </row>
        <row r="1046">
          <cell r="A1046" t="str">
            <v>1;02;BP;B;PAQ30a32</v>
          </cell>
          <cell r="B1046">
            <v>730069</v>
          </cell>
          <cell r="C1046" t="str">
            <v>BP</v>
          </cell>
          <cell r="D1046" t="str">
            <v>BALEARES PORTUGAL</v>
          </cell>
          <cell r="E1046" t="str">
            <v>02</v>
          </cell>
          <cell r="F1046" t="str">
            <v>PAQ30a32</v>
          </cell>
          <cell r="G1046" t="str">
            <v>B</v>
          </cell>
          <cell r="H1046">
            <v>177.12</v>
          </cell>
        </row>
        <row r="1047">
          <cell r="A1047" t="str">
            <v>1;02;BP;B;PAQ32a34</v>
          </cell>
          <cell r="B1047">
            <v>730069</v>
          </cell>
          <cell r="C1047" t="str">
            <v>BP</v>
          </cell>
          <cell r="D1047" t="str">
            <v>BALEARES PORTUGAL</v>
          </cell>
          <cell r="E1047" t="str">
            <v>02</v>
          </cell>
          <cell r="F1047" t="str">
            <v>PAQ32a34</v>
          </cell>
          <cell r="G1047" t="str">
            <v>B</v>
          </cell>
          <cell r="H1047">
            <v>187.82</v>
          </cell>
        </row>
        <row r="1048">
          <cell r="A1048" t="str">
            <v>1;02;BP;B;PAQ34a36</v>
          </cell>
          <cell r="B1048">
            <v>730069</v>
          </cell>
          <cell r="C1048" t="str">
            <v>BP</v>
          </cell>
          <cell r="D1048" t="str">
            <v>BALEARES PORTUGAL</v>
          </cell>
          <cell r="E1048" t="str">
            <v>02</v>
          </cell>
          <cell r="F1048" t="str">
            <v>PAQ34a36</v>
          </cell>
          <cell r="G1048" t="str">
            <v>B</v>
          </cell>
          <cell r="H1048">
            <v>198.51</v>
          </cell>
        </row>
        <row r="1049">
          <cell r="A1049" t="str">
            <v>1;02;BP;B;PAQ36a38</v>
          </cell>
          <cell r="B1049">
            <v>730069</v>
          </cell>
          <cell r="C1049" t="str">
            <v>BP</v>
          </cell>
          <cell r="D1049" t="str">
            <v>BALEARES PORTUGAL</v>
          </cell>
          <cell r="E1049" t="str">
            <v>02</v>
          </cell>
          <cell r="F1049" t="str">
            <v>PAQ36a38</v>
          </cell>
          <cell r="G1049" t="str">
            <v>B</v>
          </cell>
          <cell r="H1049">
            <v>209.21</v>
          </cell>
        </row>
        <row r="1050">
          <cell r="A1050" t="str">
            <v>1;02;BP;B;PAQ38a40</v>
          </cell>
          <cell r="B1050">
            <v>730069</v>
          </cell>
          <cell r="C1050" t="str">
            <v>BP</v>
          </cell>
          <cell r="D1050" t="str">
            <v>BALEARES PORTUGAL</v>
          </cell>
          <cell r="E1050" t="str">
            <v>02</v>
          </cell>
          <cell r="F1050" t="str">
            <v>PAQ38a40</v>
          </cell>
          <cell r="G1050" t="str">
            <v>B</v>
          </cell>
          <cell r="H1050">
            <v>219.9</v>
          </cell>
        </row>
        <row r="1051">
          <cell r="A1051" t="str">
            <v>1;02;BP;F;</v>
          </cell>
          <cell r="B1051">
            <v>730069</v>
          </cell>
          <cell r="C1051" t="str">
            <v>BP</v>
          </cell>
          <cell r="D1051" t="str">
            <v>BALEARES PORTUGAL</v>
          </cell>
          <cell r="E1051" t="str">
            <v>02</v>
          </cell>
          <cell r="F1051" t="str">
            <v/>
          </cell>
          <cell r="G1051" t="str">
            <v>F</v>
          </cell>
          <cell r="H1051">
            <v>10.7</v>
          </cell>
        </row>
        <row r="1052">
          <cell r="A1052" t="str">
            <v>1;02;BP;P;</v>
          </cell>
          <cell r="B1052">
            <v>730069</v>
          </cell>
          <cell r="C1052" t="str">
            <v>BP</v>
          </cell>
          <cell r="D1052" t="str">
            <v>BALEARES PORTUGAL</v>
          </cell>
          <cell r="E1052" t="str">
            <v>02</v>
          </cell>
          <cell r="F1052" t="str">
            <v/>
          </cell>
          <cell r="G1052" t="str">
            <v>P</v>
          </cell>
          <cell r="H1052">
            <v>0</v>
          </cell>
        </row>
        <row r="1053">
          <cell r="A1053" t="str">
            <v>1;02;BP;E;</v>
          </cell>
          <cell r="B1053">
            <v>730069</v>
          </cell>
          <cell r="C1053" t="str">
            <v>BP</v>
          </cell>
          <cell r="D1053" t="str">
            <v>BALEARES PORTUGAL</v>
          </cell>
          <cell r="E1053" t="str">
            <v>02</v>
          </cell>
          <cell r="F1053" t="str">
            <v/>
          </cell>
          <cell r="G1053" t="str">
            <v>E</v>
          </cell>
          <cell r="H1053">
            <v>0</v>
          </cell>
        </row>
        <row r="1054">
          <cell r="A1054" t="str">
            <v>1;04;BP;B;BAG</v>
          </cell>
          <cell r="B1054">
            <v>730069</v>
          </cell>
          <cell r="C1054" t="str">
            <v>BP</v>
          </cell>
          <cell r="D1054" t="str">
            <v>BALEARES PORTUGAL</v>
          </cell>
          <cell r="E1054" t="str">
            <v>04</v>
          </cell>
          <cell r="F1054" t="str">
            <v>BAG</v>
          </cell>
          <cell r="G1054" t="str">
            <v>B</v>
          </cell>
          <cell r="H1054">
            <v>5.76</v>
          </cell>
        </row>
        <row r="1055">
          <cell r="A1055" t="str">
            <v>1;05;BP;B;BAG</v>
          </cell>
          <cell r="B1055">
            <v>730069</v>
          </cell>
          <cell r="C1055" t="str">
            <v>BP</v>
          </cell>
          <cell r="D1055" t="str">
            <v>BALEARES PORTUGAL</v>
          </cell>
          <cell r="E1055" t="str">
            <v>05</v>
          </cell>
          <cell r="F1055" t="str">
            <v>BAG</v>
          </cell>
          <cell r="G1055" t="str">
            <v>B</v>
          </cell>
          <cell r="H1055">
            <v>5.76</v>
          </cell>
        </row>
        <row r="1056">
          <cell r="A1056" t="str">
            <v>1;06;BP;B;BAG</v>
          </cell>
          <cell r="B1056">
            <v>730069</v>
          </cell>
          <cell r="C1056" t="str">
            <v>BP</v>
          </cell>
          <cell r="D1056" t="str">
            <v>BALEARES PORTUGAL</v>
          </cell>
          <cell r="E1056" t="str">
            <v>06</v>
          </cell>
          <cell r="F1056" t="str">
            <v>BAG</v>
          </cell>
          <cell r="G1056" t="str">
            <v>B</v>
          </cell>
          <cell r="H1056">
            <v>0</v>
          </cell>
        </row>
        <row r="1057">
          <cell r="A1057" t="str">
            <v>1;06;BP;B;DOCS</v>
          </cell>
          <cell r="B1057">
            <v>730069</v>
          </cell>
          <cell r="C1057" t="str">
            <v>BP</v>
          </cell>
          <cell r="D1057" t="str">
            <v>BALEARES PORTUGAL</v>
          </cell>
          <cell r="E1057" t="str">
            <v>06</v>
          </cell>
          <cell r="F1057" t="str">
            <v>DOCS</v>
          </cell>
          <cell r="G1057" t="str">
            <v>B</v>
          </cell>
          <cell r="H1057">
            <v>0</v>
          </cell>
        </row>
        <row r="1058">
          <cell r="A1058" t="str">
            <v>1;06;BP;B;PAQ00a02</v>
          </cell>
          <cell r="B1058">
            <v>730069</v>
          </cell>
          <cell r="C1058" t="str">
            <v>BP</v>
          </cell>
          <cell r="D1058" t="str">
            <v>BALEARES PORTUGAL</v>
          </cell>
          <cell r="E1058" t="str">
            <v>06</v>
          </cell>
          <cell r="F1058" t="str">
            <v>PAQ00a02</v>
          </cell>
          <cell r="G1058" t="str">
            <v>B</v>
          </cell>
          <cell r="H1058">
            <v>0</v>
          </cell>
        </row>
        <row r="1059">
          <cell r="A1059" t="str">
            <v>1;06;BP;B;PAQ02a04</v>
          </cell>
          <cell r="B1059">
            <v>730069</v>
          </cell>
          <cell r="C1059" t="str">
            <v>BP</v>
          </cell>
          <cell r="D1059" t="str">
            <v>BALEARES PORTUGAL</v>
          </cell>
          <cell r="E1059" t="str">
            <v>06</v>
          </cell>
          <cell r="F1059" t="str">
            <v>PAQ02a04</v>
          </cell>
          <cell r="G1059" t="str">
            <v>B</v>
          </cell>
          <cell r="H1059">
            <v>0</v>
          </cell>
        </row>
        <row r="1060">
          <cell r="A1060" t="str">
            <v>1;06;BP;B;PAQ04a06</v>
          </cell>
          <cell r="B1060">
            <v>730069</v>
          </cell>
          <cell r="C1060" t="str">
            <v>BP</v>
          </cell>
          <cell r="D1060" t="str">
            <v>BALEARES PORTUGAL</v>
          </cell>
          <cell r="E1060" t="str">
            <v>06</v>
          </cell>
          <cell r="F1060" t="str">
            <v>PAQ04a06</v>
          </cell>
          <cell r="G1060" t="str">
            <v>B</v>
          </cell>
          <cell r="H1060">
            <v>0</v>
          </cell>
        </row>
        <row r="1061">
          <cell r="A1061" t="str">
            <v>1;06;BP;B;PAQ06a08</v>
          </cell>
          <cell r="B1061">
            <v>730069</v>
          </cell>
          <cell r="C1061" t="str">
            <v>BP</v>
          </cell>
          <cell r="D1061" t="str">
            <v>BALEARES PORTUGAL</v>
          </cell>
          <cell r="E1061" t="str">
            <v>06</v>
          </cell>
          <cell r="F1061" t="str">
            <v>PAQ06a08</v>
          </cell>
          <cell r="G1061" t="str">
            <v>B</v>
          </cell>
          <cell r="H1061">
            <v>0</v>
          </cell>
        </row>
        <row r="1062">
          <cell r="A1062" t="str">
            <v>1;06;BP;B;PAQ08a10</v>
          </cell>
          <cell r="B1062">
            <v>730069</v>
          </cell>
          <cell r="C1062" t="str">
            <v>BP</v>
          </cell>
          <cell r="D1062" t="str">
            <v>BALEARES PORTUGAL</v>
          </cell>
          <cell r="E1062" t="str">
            <v>06</v>
          </cell>
          <cell r="F1062" t="str">
            <v>PAQ08a10</v>
          </cell>
          <cell r="G1062" t="str">
            <v>B</v>
          </cell>
          <cell r="H1062">
            <v>0</v>
          </cell>
        </row>
        <row r="1063">
          <cell r="A1063" t="str">
            <v>1;06;BP;B;PAQ10a12</v>
          </cell>
          <cell r="B1063">
            <v>730069</v>
          </cell>
          <cell r="C1063" t="str">
            <v>BP</v>
          </cell>
          <cell r="D1063" t="str">
            <v>BALEARES PORTUGAL</v>
          </cell>
          <cell r="E1063" t="str">
            <v>06</v>
          </cell>
          <cell r="F1063" t="str">
            <v>PAQ10a12</v>
          </cell>
          <cell r="G1063" t="str">
            <v>B</v>
          </cell>
          <cell r="H1063">
            <v>0</v>
          </cell>
        </row>
        <row r="1064">
          <cell r="A1064" t="str">
            <v>1;06;BP;B;PAQ12a14</v>
          </cell>
          <cell r="B1064">
            <v>730069</v>
          </cell>
          <cell r="C1064" t="str">
            <v>BP</v>
          </cell>
          <cell r="D1064" t="str">
            <v>BALEARES PORTUGAL</v>
          </cell>
          <cell r="E1064" t="str">
            <v>06</v>
          </cell>
          <cell r="F1064" t="str">
            <v>PAQ12a14</v>
          </cell>
          <cell r="G1064" t="str">
            <v>B</v>
          </cell>
          <cell r="H1064">
            <v>0</v>
          </cell>
        </row>
        <row r="1065">
          <cell r="A1065" t="str">
            <v>1;06;BP;B;PAQ14a16</v>
          </cell>
          <cell r="B1065">
            <v>730069</v>
          </cell>
          <cell r="C1065" t="str">
            <v>BP</v>
          </cell>
          <cell r="D1065" t="str">
            <v>BALEARES PORTUGAL</v>
          </cell>
          <cell r="E1065" t="str">
            <v>06</v>
          </cell>
          <cell r="F1065" t="str">
            <v>PAQ14a16</v>
          </cell>
          <cell r="G1065" t="str">
            <v>B</v>
          </cell>
          <cell r="H1065">
            <v>0</v>
          </cell>
        </row>
        <row r="1066">
          <cell r="A1066" t="str">
            <v>1;06;BP;B;PAQ16a18</v>
          </cell>
          <cell r="B1066">
            <v>730069</v>
          </cell>
          <cell r="C1066" t="str">
            <v>BP</v>
          </cell>
          <cell r="D1066" t="str">
            <v>BALEARES PORTUGAL</v>
          </cell>
          <cell r="E1066" t="str">
            <v>06</v>
          </cell>
          <cell r="F1066" t="str">
            <v>PAQ16a18</v>
          </cell>
          <cell r="G1066" t="str">
            <v>B</v>
          </cell>
          <cell r="H1066">
            <v>0</v>
          </cell>
        </row>
        <row r="1067">
          <cell r="A1067" t="str">
            <v>1;06;BP;B;PAQ18a20</v>
          </cell>
          <cell r="B1067">
            <v>730069</v>
          </cell>
          <cell r="C1067" t="str">
            <v>BP</v>
          </cell>
          <cell r="D1067" t="str">
            <v>BALEARES PORTUGAL</v>
          </cell>
          <cell r="E1067" t="str">
            <v>06</v>
          </cell>
          <cell r="F1067" t="str">
            <v>PAQ18a20</v>
          </cell>
          <cell r="G1067" t="str">
            <v>B</v>
          </cell>
          <cell r="H1067">
            <v>0</v>
          </cell>
        </row>
        <row r="1068">
          <cell r="A1068" t="str">
            <v>1;06;BP;B;PAQ20a22</v>
          </cell>
          <cell r="B1068">
            <v>730069</v>
          </cell>
          <cell r="C1068" t="str">
            <v>BP</v>
          </cell>
          <cell r="D1068" t="str">
            <v>BALEARES PORTUGAL</v>
          </cell>
          <cell r="E1068" t="str">
            <v>06</v>
          </cell>
          <cell r="F1068" t="str">
            <v>PAQ20a22</v>
          </cell>
          <cell r="G1068" t="str">
            <v>B</v>
          </cell>
          <cell r="H1068">
            <v>0</v>
          </cell>
        </row>
        <row r="1069">
          <cell r="A1069" t="str">
            <v>1;06;BP;B;PAQ22a24</v>
          </cell>
          <cell r="B1069">
            <v>730069</v>
          </cell>
          <cell r="C1069" t="str">
            <v>BP</v>
          </cell>
          <cell r="D1069" t="str">
            <v>BALEARES PORTUGAL</v>
          </cell>
          <cell r="E1069" t="str">
            <v>06</v>
          </cell>
          <cell r="F1069" t="str">
            <v>PAQ22a24</v>
          </cell>
          <cell r="G1069" t="str">
            <v>B</v>
          </cell>
          <cell r="H1069">
            <v>0</v>
          </cell>
        </row>
        <row r="1070">
          <cell r="A1070" t="str">
            <v>1;06;BP;B;PAQ24a26</v>
          </cell>
          <cell r="B1070">
            <v>730069</v>
          </cell>
          <cell r="C1070" t="str">
            <v>BP</v>
          </cell>
          <cell r="D1070" t="str">
            <v>BALEARES PORTUGAL</v>
          </cell>
          <cell r="E1070" t="str">
            <v>06</v>
          </cell>
          <cell r="F1070" t="str">
            <v>PAQ24a26</v>
          </cell>
          <cell r="G1070" t="str">
            <v>B</v>
          </cell>
          <cell r="H1070">
            <v>0</v>
          </cell>
        </row>
        <row r="1071">
          <cell r="A1071" t="str">
            <v>1;06;BP;B;PAQ26a28</v>
          </cell>
          <cell r="B1071">
            <v>730069</v>
          </cell>
          <cell r="C1071" t="str">
            <v>BP</v>
          </cell>
          <cell r="D1071" t="str">
            <v>BALEARES PORTUGAL</v>
          </cell>
          <cell r="E1071" t="str">
            <v>06</v>
          </cell>
          <cell r="F1071" t="str">
            <v>PAQ26a28</v>
          </cell>
          <cell r="G1071" t="str">
            <v>B</v>
          </cell>
          <cell r="H1071">
            <v>0</v>
          </cell>
        </row>
        <row r="1072">
          <cell r="A1072" t="str">
            <v>1;06;BP;B;PAQ28a30</v>
          </cell>
          <cell r="B1072">
            <v>730069</v>
          </cell>
          <cell r="C1072" t="str">
            <v>BP</v>
          </cell>
          <cell r="D1072" t="str">
            <v>BALEARES PORTUGAL</v>
          </cell>
          <cell r="E1072" t="str">
            <v>06</v>
          </cell>
          <cell r="F1072" t="str">
            <v>PAQ28a30</v>
          </cell>
          <cell r="G1072" t="str">
            <v>B</v>
          </cell>
          <cell r="H1072">
            <v>0</v>
          </cell>
        </row>
        <row r="1073">
          <cell r="A1073" t="str">
            <v>1;06;BP;B;PAQ30a32</v>
          </cell>
          <cell r="B1073">
            <v>730069</v>
          </cell>
          <cell r="C1073" t="str">
            <v>BP</v>
          </cell>
          <cell r="D1073" t="str">
            <v>BALEARES PORTUGAL</v>
          </cell>
          <cell r="E1073" t="str">
            <v>06</v>
          </cell>
          <cell r="F1073" t="str">
            <v>PAQ30a32</v>
          </cell>
          <cell r="G1073" t="str">
            <v>B</v>
          </cell>
          <cell r="H1073">
            <v>0</v>
          </cell>
        </row>
        <row r="1074">
          <cell r="A1074" t="str">
            <v>1;06;BP;B;PAQ32a34</v>
          </cell>
          <cell r="B1074">
            <v>730069</v>
          </cell>
          <cell r="C1074" t="str">
            <v>BP</v>
          </cell>
          <cell r="D1074" t="str">
            <v>BALEARES PORTUGAL</v>
          </cell>
          <cell r="E1074" t="str">
            <v>06</v>
          </cell>
          <cell r="F1074" t="str">
            <v>PAQ32a34</v>
          </cell>
          <cell r="G1074" t="str">
            <v>B</v>
          </cell>
          <cell r="H1074">
            <v>0</v>
          </cell>
        </row>
        <row r="1075">
          <cell r="A1075" t="str">
            <v>1;06;BP;B;PAQ34a36</v>
          </cell>
          <cell r="B1075">
            <v>730069</v>
          </cell>
          <cell r="C1075" t="str">
            <v>BP</v>
          </cell>
          <cell r="D1075" t="str">
            <v>BALEARES PORTUGAL</v>
          </cell>
          <cell r="E1075" t="str">
            <v>06</v>
          </cell>
          <cell r="F1075" t="str">
            <v>PAQ34a36</v>
          </cell>
          <cell r="G1075" t="str">
            <v>B</v>
          </cell>
          <cell r="H1075">
            <v>0</v>
          </cell>
        </row>
        <row r="1076">
          <cell r="A1076" t="str">
            <v>1;06;BP;B;PAQ36a38</v>
          </cell>
          <cell r="B1076">
            <v>730069</v>
          </cell>
          <cell r="C1076" t="str">
            <v>BP</v>
          </cell>
          <cell r="D1076" t="str">
            <v>BALEARES PORTUGAL</v>
          </cell>
          <cell r="E1076" t="str">
            <v>06</v>
          </cell>
          <cell r="F1076" t="str">
            <v>PAQ36a38</v>
          </cell>
          <cell r="G1076" t="str">
            <v>B</v>
          </cell>
          <cell r="H1076">
            <v>0</v>
          </cell>
        </row>
        <row r="1077">
          <cell r="A1077" t="str">
            <v>1;06;BP;F;</v>
          </cell>
          <cell r="B1077">
            <v>730069</v>
          </cell>
          <cell r="C1077" t="str">
            <v>BP</v>
          </cell>
          <cell r="D1077" t="str">
            <v>BALEARES PORTUGAL</v>
          </cell>
          <cell r="E1077" t="str">
            <v>06</v>
          </cell>
          <cell r="F1077" t="str">
            <v/>
          </cell>
          <cell r="G1077" t="str">
            <v>F</v>
          </cell>
          <cell r="H1077">
            <v>0</v>
          </cell>
        </row>
        <row r="1078">
          <cell r="A1078" t="str">
            <v>1;06;BP;B;PAQ38a40</v>
          </cell>
          <cell r="B1078">
            <v>730069</v>
          </cell>
          <cell r="C1078" t="str">
            <v>BP</v>
          </cell>
          <cell r="D1078" t="str">
            <v>BALEARES PORTUGAL</v>
          </cell>
          <cell r="E1078" t="str">
            <v>06</v>
          </cell>
          <cell r="F1078" t="str">
            <v>PAQ38a40</v>
          </cell>
          <cell r="G1078" t="str">
            <v>B</v>
          </cell>
          <cell r="H1078">
            <v>0</v>
          </cell>
        </row>
        <row r="1079">
          <cell r="A1079" t="str">
            <v>1;06;BP;E;</v>
          </cell>
          <cell r="B1079">
            <v>730069</v>
          </cell>
          <cell r="C1079" t="str">
            <v>BP</v>
          </cell>
          <cell r="D1079" t="str">
            <v>BALEARES PORTUGAL</v>
          </cell>
          <cell r="E1079" t="str">
            <v>06</v>
          </cell>
          <cell r="F1079" t="str">
            <v/>
          </cell>
          <cell r="G1079" t="str">
            <v>E</v>
          </cell>
          <cell r="H1079">
            <v>0</v>
          </cell>
        </row>
        <row r="1080">
          <cell r="A1080" t="str">
            <v>1;06;BP;P;</v>
          </cell>
          <cell r="B1080">
            <v>730069</v>
          </cell>
          <cell r="C1080" t="str">
            <v>BP</v>
          </cell>
          <cell r="D1080" t="str">
            <v>BALEARES PORTUGAL</v>
          </cell>
          <cell r="E1080" t="str">
            <v>06</v>
          </cell>
          <cell r="F1080" t="str">
            <v/>
          </cell>
          <cell r="G1080" t="str">
            <v>P</v>
          </cell>
          <cell r="H1080">
            <v>0</v>
          </cell>
        </row>
        <row r="1081">
          <cell r="A1081" t="str">
            <v>1;07;BP;B;BAG</v>
          </cell>
          <cell r="B1081">
            <v>730069</v>
          </cell>
          <cell r="C1081" t="str">
            <v>BP</v>
          </cell>
          <cell r="D1081" t="str">
            <v>BALEARES PORTUGAL</v>
          </cell>
          <cell r="E1081" t="str">
            <v>07</v>
          </cell>
          <cell r="F1081" t="str">
            <v>BAG</v>
          </cell>
          <cell r="G1081" t="str">
            <v>B</v>
          </cell>
          <cell r="H1081">
            <v>0</v>
          </cell>
        </row>
        <row r="1082">
          <cell r="A1082" t="str">
            <v>1;07;BP;B;DOCS</v>
          </cell>
          <cell r="B1082">
            <v>730069</v>
          </cell>
          <cell r="C1082" t="str">
            <v>BP</v>
          </cell>
          <cell r="D1082" t="str">
            <v>BALEARES PORTUGAL</v>
          </cell>
          <cell r="E1082" t="str">
            <v>07</v>
          </cell>
          <cell r="F1082" t="str">
            <v>DOCS</v>
          </cell>
          <cell r="G1082" t="str">
            <v>B</v>
          </cell>
          <cell r="H1082">
            <v>0</v>
          </cell>
        </row>
        <row r="1083">
          <cell r="A1083" t="str">
            <v>1;07;BP;B;PAQ00a02</v>
          </cell>
          <cell r="B1083">
            <v>730069</v>
          </cell>
          <cell r="C1083" t="str">
            <v>BP</v>
          </cell>
          <cell r="D1083" t="str">
            <v>BALEARES PORTUGAL</v>
          </cell>
          <cell r="E1083" t="str">
            <v>07</v>
          </cell>
          <cell r="F1083" t="str">
            <v>PAQ00a02</v>
          </cell>
          <cell r="G1083" t="str">
            <v>B</v>
          </cell>
          <cell r="H1083">
            <v>0</v>
          </cell>
        </row>
        <row r="1084">
          <cell r="A1084" t="str">
            <v>1;07;BP;B;PAQ02a04</v>
          </cell>
          <cell r="B1084">
            <v>730069</v>
          </cell>
          <cell r="C1084" t="str">
            <v>BP</v>
          </cell>
          <cell r="D1084" t="str">
            <v>BALEARES PORTUGAL</v>
          </cell>
          <cell r="E1084" t="str">
            <v>07</v>
          </cell>
          <cell r="F1084" t="str">
            <v>PAQ02a04</v>
          </cell>
          <cell r="G1084" t="str">
            <v>B</v>
          </cell>
          <cell r="H1084">
            <v>0</v>
          </cell>
        </row>
        <row r="1085">
          <cell r="A1085" t="str">
            <v>1;07;BP;B;PAQ04a06</v>
          </cell>
          <cell r="B1085">
            <v>730069</v>
          </cell>
          <cell r="C1085" t="str">
            <v>BP</v>
          </cell>
          <cell r="D1085" t="str">
            <v>BALEARES PORTUGAL</v>
          </cell>
          <cell r="E1085" t="str">
            <v>07</v>
          </cell>
          <cell r="F1085" t="str">
            <v>PAQ04a06</v>
          </cell>
          <cell r="G1085" t="str">
            <v>B</v>
          </cell>
          <cell r="H1085">
            <v>0</v>
          </cell>
        </row>
        <row r="1086">
          <cell r="A1086" t="str">
            <v>1;07;BP;B;PAQ06a08</v>
          </cell>
          <cell r="B1086">
            <v>730069</v>
          </cell>
          <cell r="C1086" t="str">
            <v>BP</v>
          </cell>
          <cell r="D1086" t="str">
            <v>BALEARES PORTUGAL</v>
          </cell>
          <cell r="E1086" t="str">
            <v>07</v>
          </cell>
          <cell r="F1086" t="str">
            <v>PAQ06a08</v>
          </cell>
          <cell r="G1086" t="str">
            <v>B</v>
          </cell>
          <cell r="H1086">
            <v>0</v>
          </cell>
        </row>
        <row r="1087">
          <cell r="A1087" t="str">
            <v>1;07;BP;B;PAQ08a10</v>
          </cell>
          <cell r="B1087">
            <v>730069</v>
          </cell>
          <cell r="C1087" t="str">
            <v>BP</v>
          </cell>
          <cell r="D1087" t="str">
            <v>BALEARES PORTUGAL</v>
          </cell>
          <cell r="E1087" t="str">
            <v>07</v>
          </cell>
          <cell r="F1087" t="str">
            <v>PAQ08a10</v>
          </cell>
          <cell r="G1087" t="str">
            <v>B</v>
          </cell>
          <cell r="H1087">
            <v>0</v>
          </cell>
        </row>
        <row r="1088">
          <cell r="A1088" t="str">
            <v>1;07;BP;B;PAQ10a12</v>
          </cell>
          <cell r="B1088">
            <v>730069</v>
          </cell>
          <cell r="C1088" t="str">
            <v>BP</v>
          </cell>
          <cell r="D1088" t="str">
            <v>BALEARES PORTUGAL</v>
          </cell>
          <cell r="E1088" t="str">
            <v>07</v>
          </cell>
          <cell r="F1088" t="str">
            <v>PAQ10a12</v>
          </cell>
          <cell r="G1088" t="str">
            <v>B</v>
          </cell>
          <cell r="H1088">
            <v>0</v>
          </cell>
        </row>
        <row r="1089">
          <cell r="A1089" t="str">
            <v>1;07;BP;B;PAQ12a14</v>
          </cell>
          <cell r="B1089">
            <v>730069</v>
          </cell>
          <cell r="C1089" t="str">
            <v>BP</v>
          </cell>
          <cell r="D1089" t="str">
            <v>BALEARES PORTUGAL</v>
          </cell>
          <cell r="E1089" t="str">
            <v>07</v>
          </cell>
          <cell r="F1089" t="str">
            <v>PAQ12a14</v>
          </cell>
          <cell r="G1089" t="str">
            <v>B</v>
          </cell>
          <cell r="H1089">
            <v>0</v>
          </cell>
        </row>
        <row r="1090">
          <cell r="A1090" t="str">
            <v>1;07;BP;B;PAQ14a16</v>
          </cell>
          <cell r="B1090">
            <v>730069</v>
          </cell>
          <cell r="C1090" t="str">
            <v>BP</v>
          </cell>
          <cell r="D1090" t="str">
            <v>BALEARES PORTUGAL</v>
          </cell>
          <cell r="E1090" t="str">
            <v>07</v>
          </cell>
          <cell r="F1090" t="str">
            <v>PAQ14a16</v>
          </cell>
          <cell r="G1090" t="str">
            <v>B</v>
          </cell>
          <cell r="H1090">
            <v>0</v>
          </cell>
        </row>
        <row r="1091">
          <cell r="A1091" t="str">
            <v>1;07;BP;B;PAQ16a18</v>
          </cell>
          <cell r="B1091">
            <v>730069</v>
          </cell>
          <cell r="C1091" t="str">
            <v>BP</v>
          </cell>
          <cell r="D1091" t="str">
            <v>BALEARES PORTUGAL</v>
          </cell>
          <cell r="E1091" t="str">
            <v>07</v>
          </cell>
          <cell r="F1091" t="str">
            <v>PAQ16a18</v>
          </cell>
          <cell r="G1091" t="str">
            <v>B</v>
          </cell>
          <cell r="H1091">
            <v>0</v>
          </cell>
        </row>
        <row r="1092">
          <cell r="A1092" t="str">
            <v>1;07;BP;B;PAQ18a20</v>
          </cell>
          <cell r="B1092">
            <v>730069</v>
          </cell>
          <cell r="C1092" t="str">
            <v>BP</v>
          </cell>
          <cell r="D1092" t="str">
            <v>BALEARES PORTUGAL</v>
          </cell>
          <cell r="E1092" t="str">
            <v>07</v>
          </cell>
          <cell r="F1092" t="str">
            <v>PAQ18a20</v>
          </cell>
          <cell r="G1092" t="str">
            <v>B</v>
          </cell>
          <cell r="H1092">
            <v>0</v>
          </cell>
        </row>
        <row r="1093">
          <cell r="A1093" t="str">
            <v>1;07;BP;B;PAQ20a22</v>
          </cell>
          <cell r="B1093">
            <v>730069</v>
          </cell>
          <cell r="C1093" t="str">
            <v>BP</v>
          </cell>
          <cell r="D1093" t="str">
            <v>BALEARES PORTUGAL</v>
          </cell>
          <cell r="E1093" t="str">
            <v>07</v>
          </cell>
          <cell r="F1093" t="str">
            <v>PAQ20a22</v>
          </cell>
          <cell r="G1093" t="str">
            <v>B</v>
          </cell>
          <cell r="H1093">
            <v>0</v>
          </cell>
        </row>
        <row r="1094">
          <cell r="A1094" t="str">
            <v>1;07;BP;B;PAQ22a24</v>
          </cell>
          <cell r="B1094">
            <v>730069</v>
          </cell>
          <cell r="C1094" t="str">
            <v>BP</v>
          </cell>
          <cell r="D1094" t="str">
            <v>BALEARES PORTUGAL</v>
          </cell>
          <cell r="E1094" t="str">
            <v>07</v>
          </cell>
          <cell r="F1094" t="str">
            <v>PAQ22a24</v>
          </cell>
          <cell r="G1094" t="str">
            <v>B</v>
          </cell>
          <cell r="H1094">
            <v>0</v>
          </cell>
        </row>
        <row r="1095">
          <cell r="A1095" t="str">
            <v>1;07;BP;B;PAQ24a26</v>
          </cell>
          <cell r="B1095">
            <v>730069</v>
          </cell>
          <cell r="C1095" t="str">
            <v>BP</v>
          </cell>
          <cell r="D1095" t="str">
            <v>BALEARES PORTUGAL</v>
          </cell>
          <cell r="E1095" t="str">
            <v>07</v>
          </cell>
          <cell r="F1095" t="str">
            <v>PAQ24a26</v>
          </cell>
          <cell r="G1095" t="str">
            <v>B</v>
          </cell>
          <cell r="H1095">
            <v>0</v>
          </cell>
        </row>
        <row r="1096">
          <cell r="A1096" t="str">
            <v>1;07;BP;B;PAQ26a28</v>
          </cell>
          <cell r="B1096">
            <v>730069</v>
          </cell>
          <cell r="C1096" t="str">
            <v>BP</v>
          </cell>
          <cell r="D1096" t="str">
            <v>BALEARES PORTUGAL</v>
          </cell>
          <cell r="E1096" t="str">
            <v>07</v>
          </cell>
          <cell r="F1096" t="str">
            <v>PAQ26a28</v>
          </cell>
          <cell r="G1096" t="str">
            <v>B</v>
          </cell>
          <cell r="H1096">
            <v>0</v>
          </cell>
        </row>
        <row r="1097">
          <cell r="A1097" t="str">
            <v>1;07;BP;B;PAQ28a30</v>
          </cell>
          <cell r="B1097">
            <v>730069</v>
          </cell>
          <cell r="C1097" t="str">
            <v>BP</v>
          </cell>
          <cell r="D1097" t="str">
            <v>BALEARES PORTUGAL</v>
          </cell>
          <cell r="E1097" t="str">
            <v>07</v>
          </cell>
          <cell r="F1097" t="str">
            <v>PAQ28a30</v>
          </cell>
          <cell r="G1097" t="str">
            <v>B</v>
          </cell>
          <cell r="H1097">
            <v>0</v>
          </cell>
        </row>
        <row r="1098">
          <cell r="A1098" t="str">
            <v>1;07;BP;B;PAQ30a32</v>
          </cell>
          <cell r="B1098">
            <v>730069</v>
          </cell>
          <cell r="C1098" t="str">
            <v>BP</v>
          </cell>
          <cell r="D1098" t="str">
            <v>BALEARES PORTUGAL</v>
          </cell>
          <cell r="E1098" t="str">
            <v>07</v>
          </cell>
          <cell r="F1098" t="str">
            <v>PAQ30a32</v>
          </cell>
          <cell r="G1098" t="str">
            <v>B</v>
          </cell>
          <cell r="H1098">
            <v>0</v>
          </cell>
        </row>
        <row r="1099">
          <cell r="A1099" t="str">
            <v>1;07;BP;B;PAQ32a34</v>
          </cell>
          <cell r="B1099">
            <v>730069</v>
          </cell>
          <cell r="C1099" t="str">
            <v>BP</v>
          </cell>
          <cell r="D1099" t="str">
            <v>BALEARES PORTUGAL</v>
          </cell>
          <cell r="E1099" t="str">
            <v>07</v>
          </cell>
          <cell r="F1099" t="str">
            <v>PAQ32a34</v>
          </cell>
          <cell r="G1099" t="str">
            <v>B</v>
          </cell>
          <cell r="H1099">
            <v>0</v>
          </cell>
        </row>
        <row r="1100">
          <cell r="A1100" t="str">
            <v>1;07;BP;B;PAQ34a36</v>
          </cell>
          <cell r="B1100">
            <v>730069</v>
          </cell>
          <cell r="C1100" t="str">
            <v>BP</v>
          </cell>
          <cell r="D1100" t="str">
            <v>BALEARES PORTUGAL</v>
          </cell>
          <cell r="E1100" t="str">
            <v>07</v>
          </cell>
          <cell r="F1100" t="str">
            <v>PAQ34a36</v>
          </cell>
          <cell r="G1100" t="str">
            <v>B</v>
          </cell>
          <cell r="H1100">
            <v>0</v>
          </cell>
        </row>
        <row r="1101">
          <cell r="A1101" t="str">
            <v>1;07;BP;B;PAQ36a38</v>
          </cell>
          <cell r="B1101">
            <v>730069</v>
          </cell>
          <cell r="C1101" t="str">
            <v>BP</v>
          </cell>
          <cell r="D1101" t="str">
            <v>BALEARES PORTUGAL</v>
          </cell>
          <cell r="E1101" t="str">
            <v>07</v>
          </cell>
          <cell r="F1101" t="str">
            <v>PAQ36a38</v>
          </cell>
          <cell r="G1101" t="str">
            <v>B</v>
          </cell>
          <cell r="H1101">
            <v>0</v>
          </cell>
        </row>
        <row r="1102">
          <cell r="A1102" t="str">
            <v>1;07;BP;B;PAQ38a40</v>
          </cell>
          <cell r="B1102">
            <v>730069</v>
          </cell>
          <cell r="C1102" t="str">
            <v>BP</v>
          </cell>
          <cell r="D1102" t="str">
            <v>BALEARES PORTUGAL</v>
          </cell>
          <cell r="E1102" t="str">
            <v>07</v>
          </cell>
          <cell r="F1102" t="str">
            <v>PAQ38a40</v>
          </cell>
          <cell r="G1102" t="str">
            <v>B</v>
          </cell>
          <cell r="H1102">
            <v>0</v>
          </cell>
        </row>
        <row r="1103">
          <cell r="A1103" t="str">
            <v>1;07;BP;F;</v>
          </cell>
          <cell r="B1103">
            <v>730069</v>
          </cell>
          <cell r="C1103" t="str">
            <v>BP</v>
          </cell>
          <cell r="D1103" t="str">
            <v>BALEARES PORTUGAL</v>
          </cell>
          <cell r="E1103" t="str">
            <v>07</v>
          </cell>
          <cell r="F1103" t="str">
            <v/>
          </cell>
          <cell r="G1103" t="str">
            <v>F</v>
          </cell>
          <cell r="H1103">
            <v>0</v>
          </cell>
        </row>
        <row r="1104">
          <cell r="A1104" t="str">
            <v>1;07;BP;E;</v>
          </cell>
          <cell r="B1104">
            <v>730069</v>
          </cell>
          <cell r="C1104" t="str">
            <v>BP</v>
          </cell>
          <cell r="D1104" t="str">
            <v>BALEARES PORTUGAL</v>
          </cell>
          <cell r="E1104" t="str">
            <v>07</v>
          </cell>
          <cell r="F1104" t="str">
            <v/>
          </cell>
          <cell r="G1104" t="str">
            <v>E</v>
          </cell>
          <cell r="H1104">
            <v>0</v>
          </cell>
        </row>
        <row r="1105">
          <cell r="A1105" t="str">
            <v>1;07;BP;P;</v>
          </cell>
          <cell r="B1105">
            <v>730069</v>
          </cell>
          <cell r="C1105" t="str">
            <v>BP</v>
          </cell>
          <cell r="D1105" t="str">
            <v>BALEARES PORTUGAL</v>
          </cell>
          <cell r="E1105" t="str">
            <v>07</v>
          </cell>
          <cell r="F1105" t="str">
            <v/>
          </cell>
          <cell r="G1105" t="str">
            <v>P</v>
          </cell>
          <cell r="H1105">
            <v>0</v>
          </cell>
        </row>
        <row r="1106">
          <cell r="A1106" t="str">
            <v>1;08;BP;B;BAG</v>
          </cell>
          <cell r="B1106">
            <v>730069</v>
          </cell>
          <cell r="C1106" t="str">
            <v>BP</v>
          </cell>
          <cell r="D1106" t="str">
            <v>BALEARES PORTUGAL</v>
          </cell>
          <cell r="E1106" t="str">
            <v>08</v>
          </cell>
          <cell r="F1106" t="str">
            <v>BAG</v>
          </cell>
          <cell r="G1106" t="str">
            <v>B</v>
          </cell>
          <cell r="H1106">
            <v>13.92</v>
          </cell>
        </row>
        <row r="1107">
          <cell r="A1107" t="str">
            <v>1;08;BP;B;DOCS</v>
          </cell>
          <cell r="B1107">
            <v>730069</v>
          </cell>
          <cell r="C1107" t="str">
            <v>BP</v>
          </cell>
          <cell r="D1107" t="str">
            <v>BALEARES PORTUGAL</v>
          </cell>
          <cell r="E1107" t="str">
            <v>08</v>
          </cell>
          <cell r="F1107" t="str">
            <v>DOCS</v>
          </cell>
          <cell r="G1107" t="str">
            <v>B</v>
          </cell>
          <cell r="H1107">
            <v>8.4700000000000006</v>
          </cell>
        </row>
        <row r="1108">
          <cell r="A1108" t="str">
            <v>1;08;BP;B;PAQ00a02</v>
          </cell>
          <cell r="B1108">
            <v>730069</v>
          </cell>
          <cell r="C1108" t="str">
            <v>BP</v>
          </cell>
          <cell r="D1108" t="str">
            <v>BALEARES PORTUGAL</v>
          </cell>
          <cell r="E1108" t="str">
            <v>08</v>
          </cell>
          <cell r="F1108" t="str">
            <v>PAQ00a02</v>
          </cell>
          <cell r="G1108" t="str">
            <v>B</v>
          </cell>
          <cell r="H1108">
            <v>16.47</v>
          </cell>
        </row>
        <row r="1109">
          <cell r="A1109" t="str">
            <v>1;08;BP;B;PAQ02a04</v>
          </cell>
          <cell r="B1109">
            <v>730069</v>
          </cell>
          <cell r="C1109" t="str">
            <v>BP</v>
          </cell>
          <cell r="D1109" t="str">
            <v>BALEARES PORTUGAL</v>
          </cell>
          <cell r="E1109" t="str">
            <v>08</v>
          </cell>
          <cell r="F1109" t="str">
            <v>PAQ02a04</v>
          </cell>
          <cell r="G1109" t="str">
            <v>B</v>
          </cell>
          <cell r="H1109">
            <v>21.74</v>
          </cell>
        </row>
        <row r="1110">
          <cell r="A1110" t="str">
            <v>1;08;BP;B;PAQ04a06</v>
          </cell>
          <cell r="B1110">
            <v>730069</v>
          </cell>
          <cell r="C1110" t="str">
            <v>BP</v>
          </cell>
          <cell r="D1110" t="str">
            <v>BALEARES PORTUGAL</v>
          </cell>
          <cell r="E1110" t="str">
            <v>08</v>
          </cell>
          <cell r="F1110" t="str">
            <v>PAQ04a06</v>
          </cell>
          <cell r="G1110" t="str">
            <v>B</v>
          </cell>
          <cell r="H1110">
            <v>27</v>
          </cell>
        </row>
        <row r="1111">
          <cell r="A1111" t="str">
            <v>1;08;BP;B;PAQ06a08</v>
          </cell>
          <cell r="B1111">
            <v>730069</v>
          </cell>
          <cell r="C1111" t="str">
            <v>BP</v>
          </cell>
          <cell r="D1111" t="str">
            <v>BALEARES PORTUGAL</v>
          </cell>
          <cell r="E1111" t="str">
            <v>08</v>
          </cell>
          <cell r="F1111" t="str">
            <v>PAQ06a08</v>
          </cell>
          <cell r="G1111" t="str">
            <v>B</v>
          </cell>
          <cell r="H1111">
            <v>32.270000000000003</v>
          </cell>
        </row>
        <row r="1112">
          <cell r="A1112" t="str">
            <v>1;08;BP;B;PAQ08a10</v>
          </cell>
          <cell r="B1112">
            <v>730069</v>
          </cell>
          <cell r="C1112" t="str">
            <v>BP</v>
          </cell>
          <cell r="D1112" t="str">
            <v>BALEARES PORTUGAL</v>
          </cell>
          <cell r="E1112" t="str">
            <v>08</v>
          </cell>
          <cell r="F1112" t="str">
            <v>PAQ08a10</v>
          </cell>
          <cell r="G1112" t="str">
            <v>B</v>
          </cell>
          <cell r="H1112">
            <v>37.54</v>
          </cell>
        </row>
        <row r="1113">
          <cell r="A1113" t="str">
            <v>1;08;BP;B;PAQ10a12</v>
          </cell>
          <cell r="B1113">
            <v>730069</v>
          </cell>
          <cell r="C1113" t="str">
            <v>BP</v>
          </cell>
          <cell r="D1113" t="str">
            <v>BALEARES PORTUGAL</v>
          </cell>
          <cell r="E1113" t="str">
            <v>08</v>
          </cell>
          <cell r="F1113" t="str">
            <v>PAQ10a12</v>
          </cell>
          <cell r="G1113" t="str">
            <v>B</v>
          </cell>
          <cell r="H1113">
            <v>42.81</v>
          </cell>
        </row>
        <row r="1114">
          <cell r="A1114" t="str">
            <v>1;08;BP;B;PAQ12a14</v>
          </cell>
          <cell r="B1114">
            <v>730069</v>
          </cell>
          <cell r="C1114" t="str">
            <v>BP</v>
          </cell>
          <cell r="D1114" t="str">
            <v>BALEARES PORTUGAL</v>
          </cell>
          <cell r="E1114" t="str">
            <v>08</v>
          </cell>
          <cell r="F1114" t="str">
            <v>PAQ12a14</v>
          </cell>
          <cell r="G1114" t="str">
            <v>B</v>
          </cell>
          <cell r="H1114">
            <v>48.08</v>
          </cell>
        </row>
        <row r="1115">
          <cell r="A1115" t="str">
            <v>1;08;BP;B;PAQ14a16</v>
          </cell>
          <cell r="B1115">
            <v>730069</v>
          </cell>
          <cell r="C1115" t="str">
            <v>BP</v>
          </cell>
          <cell r="D1115" t="str">
            <v>BALEARES PORTUGAL</v>
          </cell>
          <cell r="E1115" t="str">
            <v>08</v>
          </cell>
          <cell r="F1115" t="str">
            <v>PAQ14a16</v>
          </cell>
          <cell r="G1115" t="str">
            <v>B</v>
          </cell>
          <cell r="H1115">
            <v>53.35</v>
          </cell>
        </row>
        <row r="1116">
          <cell r="A1116" t="str">
            <v>1;08;BP;B;PAQ16a18</v>
          </cell>
          <cell r="B1116">
            <v>730069</v>
          </cell>
          <cell r="C1116" t="str">
            <v>BP</v>
          </cell>
          <cell r="D1116" t="str">
            <v>BALEARES PORTUGAL</v>
          </cell>
          <cell r="E1116" t="str">
            <v>08</v>
          </cell>
          <cell r="F1116" t="str">
            <v>PAQ16a18</v>
          </cell>
          <cell r="G1116" t="str">
            <v>B</v>
          </cell>
          <cell r="H1116">
            <v>58.62</v>
          </cell>
        </row>
        <row r="1117">
          <cell r="A1117" t="str">
            <v>1;08;BP;B;PAQ18a20</v>
          </cell>
          <cell r="B1117">
            <v>730069</v>
          </cell>
          <cell r="C1117" t="str">
            <v>BP</v>
          </cell>
          <cell r="D1117" t="str">
            <v>BALEARES PORTUGAL</v>
          </cell>
          <cell r="E1117" t="str">
            <v>08</v>
          </cell>
          <cell r="F1117" t="str">
            <v>PAQ18a20</v>
          </cell>
          <cell r="G1117" t="str">
            <v>B</v>
          </cell>
          <cell r="H1117">
            <v>63.89</v>
          </cell>
        </row>
        <row r="1118">
          <cell r="A1118" t="str">
            <v>1;08;BP;B;PAQ20a22</v>
          </cell>
          <cell r="B1118">
            <v>730069</v>
          </cell>
          <cell r="C1118" t="str">
            <v>BP</v>
          </cell>
          <cell r="D1118" t="str">
            <v>BALEARES PORTUGAL</v>
          </cell>
          <cell r="E1118" t="str">
            <v>08</v>
          </cell>
          <cell r="F1118" t="str">
            <v>PAQ20a22</v>
          </cell>
          <cell r="G1118" t="str">
            <v>B</v>
          </cell>
          <cell r="H1118">
            <v>69.16</v>
          </cell>
        </row>
        <row r="1119">
          <cell r="A1119" t="str">
            <v>1;08;BP;B;PAQ22a24</v>
          </cell>
          <cell r="B1119">
            <v>730069</v>
          </cell>
          <cell r="C1119" t="str">
            <v>BP</v>
          </cell>
          <cell r="D1119" t="str">
            <v>BALEARES PORTUGAL</v>
          </cell>
          <cell r="E1119" t="str">
            <v>08</v>
          </cell>
          <cell r="F1119" t="str">
            <v>PAQ22a24</v>
          </cell>
          <cell r="G1119" t="str">
            <v>B</v>
          </cell>
          <cell r="H1119">
            <v>74.430000000000007</v>
          </cell>
        </row>
        <row r="1120">
          <cell r="A1120" t="str">
            <v>1;08;BP;B;PAQ24a26</v>
          </cell>
          <cell r="B1120">
            <v>730069</v>
          </cell>
          <cell r="C1120" t="str">
            <v>BP</v>
          </cell>
          <cell r="D1120" t="str">
            <v>BALEARES PORTUGAL</v>
          </cell>
          <cell r="E1120" t="str">
            <v>08</v>
          </cell>
          <cell r="F1120" t="str">
            <v>PAQ24a26</v>
          </cell>
          <cell r="G1120" t="str">
            <v>B</v>
          </cell>
          <cell r="H1120">
            <v>79.7</v>
          </cell>
        </row>
        <row r="1121">
          <cell r="A1121" t="str">
            <v>1;08;BP;B;PAQ26a28</v>
          </cell>
          <cell r="B1121">
            <v>730069</v>
          </cell>
          <cell r="C1121" t="str">
            <v>BP</v>
          </cell>
          <cell r="D1121" t="str">
            <v>BALEARES PORTUGAL</v>
          </cell>
          <cell r="E1121" t="str">
            <v>08</v>
          </cell>
          <cell r="F1121" t="str">
            <v>PAQ26a28</v>
          </cell>
          <cell r="G1121" t="str">
            <v>B</v>
          </cell>
          <cell r="H1121">
            <v>84.97</v>
          </cell>
        </row>
        <row r="1122">
          <cell r="A1122" t="str">
            <v>1;08;BP;B;PAQ28a30</v>
          </cell>
          <cell r="B1122">
            <v>730069</v>
          </cell>
          <cell r="C1122" t="str">
            <v>BP</v>
          </cell>
          <cell r="D1122" t="str">
            <v>BALEARES PORTUGAL</v>
          </cell>
          <cell r="E1122" t="str">
            <v>08</v>
          </cell>
          <cell r="F1122" t="str">
            <v>PAQ28a30</v>
          </cell>
          <cell r="G1122" t="str">
            <v>B</v>
          </cell>
          <cell r="H1122">
            <v>90.24</v>
          </cell>
        </row>
        <row r="1123">
          <cell r="A1123" t="str">
            <v>1;08;BP;B;PAQ30a32</v>
          </cell>
          <cell r="B1123">
            <v>730069</v>
          </cell>
          <cell r="C1123" t="str">
            <v>BP</v>
          </cell>
          <cell r="D1123" t="str">
            <v>BALEARES PORTUGAL</v>
          </cell>
          <cell r="E1123" t="str">
            <v>08</v>
          </cell>
          <cell r="F1123" t="str">
            <v>PAQ30a32</v>
          </cell>
          <cell r="G1123" t="str">
            <v>B</v>
          </cell>
          <cell r="H1123">
            <v>95.51</v>
          </cell>
        </row>
        <row r="1124">
          <cell r="A1124" t="str">
            <v>1;08;BP;B;PAQ32a34</v>
          </cell>
          <cell r="B1124">
            <v>730069</v>
          </cell>
          <cell r="C1124" t="str">
            <v>BP</v>
          </cell>
          <cell r="D1124" t="str">
            <v>BALEARES PORTUGAL</v>
          </cell>
          <cell r="E1124" t="str">
            <v>08</v>
          </cell>
          <cell r="F1124" t="str">
            <v>PAQ32a34</v>
          </cell>
          <cell r="G1124" t="str">
            <v>B</v>
          </cell>
          <cell r="H1124">
            <v>100.78</v>
          </cell>
        </row>
        <row r="1125">
          <cell r="A1125" t="str">
            <v>1;08;BP;B;PAQ34a36</v>
          </cell>
          <cell r="B1125">
            <v>730069</v>
          </cell>
          <cell r="C1125" t="str">
            <v>BP</v>
          </cell>
          <cell r="D1125" t="str">
            <v>BALEARES PORTUGAL</v>
          </cell>
          <cell r="E1125" t="str">
            <v>08</v>
          </cell>
          <cell r="F1125" t="str">
            <v>PAQ34a36</v>
          </cell>
          <cell r="G1125" t="str">
            <v>B</v>
          </cell>
          <cell r="H1125">
            <v>106.05</v>
          </cell>
        </row>
        <row r="1126">
          <cell r="A1126" t="str">
            <v>1;08;BP;B;PAQ36a38</v>
          </cell>
          <cell r="B1126">
            <v>730069</v>
          </cell>
          <cell r="C1126" t="str">
            <v>BP</v>
          </cell>
          <cell r="D1126" t="str">
            <v>BALEARES PORTUGAL</v>
          </cell>
          <cell r="E1126" t="str">
            <v>08</v>
          </cell>
          <cell r="F1126" t="str">
            <v>PAQ36a38</v>
          </cell>
          <cell r="G1126" t="str">
            <v>B</v>
          </cell>
          <cell r="H1126">
            <v>111.32</v>
          </cell>
        </row>
        <row r="1127">
          <cell r="A1127" t="str">
            <v>1;08;BP;B;PAQ38a40</v>
          </cell>
          <cell r="B1127">
            <v>730069</v>
          </cell>
          <cell r="C1127" t="str">
            <v>BP</v>
          </cell>
          <cell r="D1127" t="str">
            <v>BALEARES PORTUGAL</v>
          </cell>
          <cell r="E1127" t="str">
            <v>08</v>
          </cell>
          <cell r="F1127" t="str">
            <v>PAQ38a40</v>
          </cell>
          <cell r="G1127" t="str">
            <v>B</v>
          </cell>
          <cell r="H1127">
            <v>116.59</v>
          </cell>
        </row>
        <row r="1128">
          <cell r="A1128" t="str">
            <v>1;08;BP;F;</v>
          </cell>
          <cell r="B1128">
            <v>730069</v>
          </cell>
          <cell r="C1128" t="str">
            <v>BP</v>
          </cell>
          <cell r="D1128" t="str">
            <v>BALEARES PORTUGAL</v>
          </cell>
          <cell r="E1128" t="str">
            <v>08</v>
          </cell>
          <cell r="F1128" t="str">
            <v/>
          </cell>
          <cell r="G1128" t="str">
            <v>F</v>
          </cell>
          <cell r="H1128">
            <v>5.27</v>
          </cell>
        </row>
        <row r="1129">
          <cell r="A1129" t="str">
            <v>1;08;BP;E;</v>
          </cell>
          <cell r="B1129">
            <v>730069</v>
          </cell>
          <cell r="C1129" t="str">
            <v>BP</v>
          </cell>
          <cell r="D1129" t="str">
            <v>BALEARES PORTUGAL</v>
          </cell>
          <cell r="E1129" t="str">
            <v>08</v>
          </cell>
          <cell r="F1129" t="str">
            <v/>
          </cell>
          <cell r="G1129" t="str">
            <v>E</v>
          </cell>
          <cell r="H1129">
            <v>0</v>
          </cell>
        </row>
        <row r="1130">
          <cell r="A1130" t="str">
            <v>1;08;BP;P;</v>
          </cell>
          <cell r="B1130">
            <v>730069</v>
          </cell>
          <cell r="C1130" t="str">
            <v>BP</v>
          </cell>
          <cell r="D1130" t="str">
            <v>BALEARES PORTUGAL</v>
          </cell>
          <cell r="E1130" t="str">
            <v>08</v>
          </cell>
          <cell r="F1130" t="str">
            <v/>
          </cell>
          <cell r="G1130" t="str">
            <v>P</v>
          </cell>
          <cell r="H1130">
            <v>0</v>
          </cell>
        </row>
        <row r="1131">
          <cell r="A1131" t="str">
            <v>1;10;BP;B;BAG</v>
          </cell>
          <cell r="B1131">
            <v>730069</v>
          </cell>
          <cell r="C1131" t="str">
            <v>BP</v>
          </cell>
          <cell r="D1131" t="str">
            <v>BALEARES PORTUGAL</v>
          </cell>
          <cell r="E1131" t="str">
            <v>10</v>
          </cell>
          <cell r="F1131" t="str">
            <v>BAG</v>
          </cell>
          <cell r="G1131" t="str">
            <v>B</v>
          </cell>
          <cell r="H1131">
            <v>1.7</v>
          </cell>
        </row>
        <row r="1132">
          <cell r="A1132" t="str">
            <v>1;10;BP;B;DOCS</v>
          </cell>
          <cell r="B1132">
            <v>730069</v>
          </cell>
          <cell r="C1132" t="str">
            <v>BP</v>
          </cell>
          <cell r="D1132" t="str">
            <v>BALEARES PORTUGAL</v>
          </cell>
          <cell r="E1132" t="str">
            <v>10</v>
          </cell>
          <cell r="F1132" t="str">
            <v>DOCS</v>
          </cell>
          <cell r="G1132" t="str">
            <v>B</v>
          </cell>
          <cell r="H1132">
            <v>1.7</v>
          </cell>
        </row>
        <row r="1133">
          <cell r="A1133" t="str">
            <v>1;11;BP;B;BAG</v>
          </cell>
          <cell r="B1133">
            <v>730069</v>
          </cell>
          <cell r="C1133" t="str">
            <v>BP</v>
          </cell>
          <cell r="D1133" t="str">
            <v>BALEARES PORTUGAL</v>
          </cell>
          <cell r="E1133" t="str">
            <v>11</v>
          </cell>
          <cell r="F1133" t="str">
            <v>BAG</v>
          </cell>
          <cell r="G1133" t="str">
            <v>B</v>
          </cell>
          <cell r="H1133">
            <v>30.84</v>
          </cell>
        </row>
        <row r="1134">
          <cell r="A1134" t="str">
            <v>1;11;BP;B;DOCS</v>
          </cell>
          <cell r="B1134">
            <v>730069</v>
          </cell>
          <cell r="C1134" t="str">
            <v>BP</v>
          </cell>
          <cell r="D1134" t="str">
            <v>BALEARES PORTUGAL</v>
          </cell>
          <cell r="E1134" t="str">
            <v>11</v>
          </cell>
          <cell r="F1134" t="str">
            <v>DOCS</v>
          </cell>
          <cell r="G1134" t="str">
            <v>B</v>
          </cell>
          <cell r="H1134">
            <v>25.66</v>
          </cell>
        </row>
        <row r="1135">
          <cell r="A1135" t="str">
            <v>1;11;BP;B;PAQ00a02</v>
          </cell>
          <cell r="B1135">
            <v>730069</v>
          </cell>
          <cell r="C1135" t="str">
            <v>BP</v>
          </cell>
          <cell r="D1135" t="str">
            <v>BALEARES PORTUGAL</v>
          </cell>
          <cell r="E1135" t="str">
            <v>11</v>
          </cell>
          <cell r="F1135" t="str">
            <v>PAQ00a02</v>
          </cell>
          <cell r="G1135" t="str">
            <v>B</v>
          </cell>
          <cell r="H1135">
            <v>35.549999999999997</v>
          </cell>
        </row>
        <row r="1136">
          <cell r="A1136" t="str">
            <v>1;11;BP;B;PAQ02a04</v>
          </cell>
          <cell r="B1136">
            <v>730069</v>
          </cell>
          <cell r="C1136" t="str">
            <v>BP</v>
          </cell>
          <cell r="D1136" t="str">
            <v>BALEARES PORTUGAL</v>
          </cell>
          <cell r="E1136" t="str">
            <v>11</v>
          </cell>
          <cell r="F1136" t="str">
            <v>PAQ02a04</v>
          </cell>
          <cell r="G1136" t="str">
            <v>B</v>
          </cell>
          <cell r="H1136">
            <v>53.5</v>
          </cell>
        </row>
        <row r="1137">
          <cell r="A1137" t="str">
            <v>1;11;BP;B;PAQ04a06</v>
          </cell>
          <cell r="B1137">
            <v>730069</v>
          </cell>
          <cell r="C1137" t="str">
            <v>BP</v>
          </cell>
          <cell r="D1137" t="str">
            <v>BALEARES PORTUGAL</v>
          </cell>
          <cell r="E1137" t="str">
            <v>11</v>
          </cell>
          <cell r="F1137" t="str">
            <v>PAQ04a06</v>
          </cell>
          <cell r="G1137" t="str">
            <v>B</v>
          </cell>
          <cell r="H1137">
            <v>73.5</v>
          </cell>
        </row>
        <row r="1138">
          <cell r="A1138" t="str">
            <v>1;11;BP;B;PAQ06a08</v>
          </cell>
          <cell r="B1138">
            <v>730069</v>
          </cell>
          <cell r="C1138" t="str">
            <v>BP</v>
          </cell>
          <cell r="D1138" t="str">
            <v>BALEARES PORTUGAL</v>
          </cell>
          <cell r="E1138" t="str">
            <v>11</v>
          </cell>
          <cell r="F1138" t="str">
            <v>PAQ06a08</v>
          </cell>
          <cell r="G1138" t="str">
            <v>B</v>
          </cell>
          <cell r="H1138">
            <v>93.51</v>
          </cell>
        </row>
        <row r="1139">
          <cell r="A1139" t="str">
            <v>1;11;BP;B;PAQ08a10</v>
          </cell>
          <cell r="B1139">
            <v>730069</v>
          </cell>
          <cell r="C1139" t="str">
            <v>BP</v>
          </cell>
          <cell r="D1139" t="str">
            <v>BALEARES PORTUGAL</v>
          </cell>
          <cell r="E1139" t="str">
            <v>11</v>
          </cell>
          <cell r="F1139" t="str">
            <v>PAQ08a10</v>
          </cell>
          <cell r="G1139" t="str">
            <v>B</v>
          </cell>
          <cell r="H1139">
            <v>113.53</v>
          </cell>
        </row>
        <row r="1140">
          <cell r="A1140" t="str">
            <v>1;11;BP;B;PAQ10a12</v>
          </cell>
          <cell r="B1140">
            <v>730069</v>
          </cell>
          <cell r="C1140" t="str">
            <v>BP</v>
          </cell>
          <cell r="D1140" t="str">
            <v>BALEARES PORTUGAL</v>
          </cell>
          <cell r="E1140" t="str">
            <v>11</v>
          </cell>
          <cell r="F1140" t="str">
            <v>PAQ10a12</v>
          </cell>
          <cell r="G1140" t="str">
            <v>B</v>
          </cell>
          <cell r="H1140">
            <v>133.54</v>
          </cell>
        </row>
        <row r="1141">
          <cell r="A1141" t="str">
            <v>1;11;BP;B;PAQ12a14</v>
          </cell>
          <cell r="B1141">
            <v>730069</v>
          </cell>
          <cell r="C1141" t="str">
            <v>BP</v>
          </cell>
          <cell r="D1141" t="str">
            <v>BALEARES PORTUGAL</v>
          </cell>
          <cell r="E1141" t="str">
            <v>11</v>
          </cell>
          <cell r="F1141" t="str">
            <v>PAQ12a14</v>
          </cell>
          <cell r="G1141" t="str">
            <v>B</v>
          </cell>
          <cell r="H1141">
            <v>153.54</v>
          </cell>
        </row>
        <row r="1142">
          <cell r="A1142" t="str">
            <v>1;11;BP;B;PAQ14a16</v>
          </cell>
          <cell r="B1142">
            <v>730069</v>
          </cell>
          <cell r="C1142" t="str">
            <v>BP</v>
          </cell>
          <cell r="D1142" t="str">
            <v>BALEARES PORTUGAL</v>
          </cell>
          <cell r="E1142" t="str">
            <v>11</v>
          </cell>
          <cell r="F1142" t="str">
            <v>PAQ14a16</v>
          </cell>
          <cell r="G1142" t="str">
            <v>B</v>
          </cell>
          <cell r="H1142">
            <v>173.55</v>
          </cell>
        </row>
        <row r="1143">
          <cell r="A1143" t="str">
            <v>1;11;BP;B;PAQ16a18</v>
          </cell>
          <cell r="B1143">
            <v>730069</v>
          </cell>
          <cell r="C1143" t="str">
            <v>BP</v>
          </cell>
          <cell r="D1143" t="str">
            <v>BALEARES PORTUGAL</v>
          </cell>
          <cell r="E1143" t="str">
            <v>11</v>
          </cell>
          <cell r="F1143" t="str">
            <v>PAQ16a18</v>
          </cell>
          <cell r="G1143" t="str">
            <v>B</v>
          </cell>
          <cell r="H1143">
            <v>193.57</v>
          </cell>
        </row>
        <row r="1144">
          <cell r="A1144" t="str">
            <v>1;11;BP;B;PAQ18a20</v>
          </cell>
          <cell r="B1144">
            <v>730069</v>
          </cell>
          <cell r="C1144" t="str">
            <v>BP</v>
          </cell>
          <cell r="D1144" t="str">
            <v>BALEARES PORTUGAL</v>
          </cell>
          <cell r="E1144" t="str">
            <v>11</v>
          </cell>
          <cell r="F1144" t="str">
            <v>PAQ18a20</v>
          </cell>
          <cell r="G1144" t="str">
            <v>B</v>
          </cell>
          <cell r="H1144">
            <v>213.58</v>
          </cell>
        </row>
        <row r="1145">
          <cell r="A1145" t="str">
            <v>1;11;BP;B;PAQ20a22</v>
          </cell>
          <cell r="B1145">
            <v>730069</v>
          </cell>
          <cell r="C1145" t="str">
            <v>BP</v>
          </cell>
          <cell r="D1145" t="str">
            <v>BALEARES PORTUGAL</v>
          </cell>
          <cell r="E1145" t="str">
            <v>11</v>
          </cell>
          <cell r="F1145" t="str">
            <v>PAQ20a22</v>
          </cell>
          <cell r="G1145" t="str">
            <v>B</v>
          </cell>
          <cell r="H1145">
            <v>233.58</v>
          </cell>
        </row>
        <row r="1146">
          <cell r="A1146" t="str">
            <v>1;11;BP;B;PAQ22a24</v>
          </cell>
          <cell r="B1146">
            <v>730069</v>
          </cell>
          <cell r="C1146" t="str">
            <v>BP</v>
          </cell>
          <cell r="D1146" t="str">
            <v>BALEARES PORTUGAL</v>
          </cell>
          <cell r="E1146" t="str">
            <v>11</v>
          </cell>
          <cell r="F1146" t="str">
            <v>PAQ22a24</v>
          </cell>
          <cell r="G1146" t="str">
            <v>B</v>
          </cell>
          <cell r="H1146">
            <v>253.6</v>
          </cell>
        </row>
        <row r="1147">
          <cell r="A1147" t="str">
            <v>1;11;BP;B;PAQ24a26</v>
          </cell>
          <cell r="B1147">
            <v>730069</v>
          </cell>
          <cell r="C1147" t="str">
            <v>BP</v>
          </cell>
          <cell r="D1147" t="str">
            <v>BALEARES PORTUGAL</v>
          </cell>
          <cell r="E1147" t="str">
            <v>11</v>
          </cell>
          <cell r="F1147" t="str">
            <v>PAQ24a26</v>
          </cell>
          <cell r="G1147" t="str">
            <v>B</v>
          </cell>
          <cell r="H1147">
            <v>273.61</v>
          </cell>
        </row>
        <row r="1148">
          <cell r="A1148" t="str">
            <v>1;11;BP;B;PAQ26a28</v>
          </cell>
          <cell r="B1148">
            <v>730069</v>
          </cell>
          <cell r="C1148" t="str">
            <v>BP</v>
          </cell>
          <cell r="D1148" t="str">
            <v>BALEARES PORTUGAL</v>
          </cell>
          <cell r="E1148" t="str">
            <v>11</v>
          </cell>
          <cell r="F1148" t="str">
            <v>PAQ26a28</v>
          </cell>
          <cell r="G1148" t="str">
            <v>B</v>
          </cell>
          <cell r="H1148">
            <v>293.62</v>
          </cell>
        </row>
        <row r="1149">
          <cell r="A1149" t="str">
            <v>1;11;BP;B;PAQ28a30</v>
          </cell>
          <cell r="B1149">
            <v>730069</v>
          </cell>
          <cell r="C1149" t="str">
            <v>BP</v>
          </cell>
          <cell r="D1149" t="str">
            <v>BALEARES PORTUGAL</v>
          </cell>
          <cell r="E1149" t="str">
            <v>11</v>
          </cell>
          <cell r="F1149" t="str">
            <v>PAQ28a30</v>
          </cell>
          <cell r="G1149" t="str">
            <v>B</v>
          </cell>
          <cell r="H1149">
            <v>313.62</v>
          </cell>
        </row>
        <row r="1150">
          <cell r="A1150" t="str">
            <v>1;11;BP;B;PAQ30a32</v>
          </cell>
          <cell r="B1150">
            <v>730069</v>
          </cell>
          <cell r="C1150" t="str">
            <v>BP</v>
          </cell>
          <cell r="D1150" t="str">
            <v>BALEARES PORTUGAL</v>
          </cell>
          <cell r="E1150" t="str">
            <v>11</v>
          </cell>
          <cell r="F1150" t="str">
            <v>PAQ30a32</v>
          </cell>
          <cell r="G1150" t="str">
            <v>B</v>
          </cell>
          <cell r="H1150">
            <v>333.64</v>
          </cell>
        </row>
        <row r="1151">
          <cell r="A1151" t="str">
            <v>1;11;BP;B;PAQ32a34</v>
          </cell>
          <cell r="B1151">
            <v>730069</v>
          </cell>
          <cell r="C1151" t="str">
            <v>BP</v>
          </cell>
          <cell r="D1151" t="str">
            <v>BALEARES PORTUGAL</v>
          </cell>
          <cell r="E1151" t="str">
            <v>11</v>
          </cell>
          <cell r="F1151" t="str">
            <v>PAQ32a34</v>
          </cell>
          <cell r="G1151" t="str">
            <v>B</v>
          </cell>
          <cell r="H1151">
            <v>353.65</v>
          </cell>
        </row>
        <row r="1152">
          <cell r="A1152" t="str">
            <v>1;11;BP;B;PAQ34a36</v>
          </cell>
          <cell r="B1152">
            <v>730069</v>
          </cell>
          <cell r="C1152" t="str">
            <v>BP</v>
          </cell>
          <cell r="D1152" t="str">
            <v>BALEARES PORTUGAL</v>
          </cell>
          <cell r="E1152" t="str">
            <v>11</v>
          </cell>
          <cell r="F1152" t="str">
            <v>PAQ34a36</v>
          </cell>
          <cell r="G1152" t="str">
            <v>B</v>
          </cell>
          <cell r="H1152">
            <v>373.66</v>
          </cell>
        </row>
        <row r="1153">
          <cell r="A1153" t="str">
            <v>1;11;BP;B;PAQ36a38</v>
          </cell>
          <cell r="B1153">
            <v>730069</v>
          </cell>
          <cell r="C1153" t="str">
            <v>BP</v>
          </cell>
          <cell r="D1153" t="str">
            <v>BALEARES PORTUGAL</v>
          </cell>
          <cell r="E1153" t="str">
            <v>11</v>
          </cell>
          <cell r="F1153" t="str">
            <v>PAQ36a38</v>
          </cell>
          <cell r="G1153" t="str">
            <v>B</v>
          </cell>
          <cell r="H1153">
            <v>393.67</v>
          </cell>
        </row>
        <row r="1154">
          <cell r="A1154" t="str">
            <v>1;11;BP;F;</v>
          </cell>
          <cell r="B1154">
            <v>730069</v>
          </cell>
          <cell r="C1154" t="str">
            <v>BP</v>
          </cell>
          <cell r="D1154" t="str">
            <v>BALEARES PORTUGAL</v>
          </cell>
          <cell r="E1154" t="str">
            <v>11</v>
          </cell>
          <cell r="F1154" t="str">
            <v/>
          </cell>
          <cell r="G1154" t="str">
            <v>F</v>
          </cell>
          <cell r="H1154">
            <v>20.010000000000002</v>
          </cell>
        </row>
        <row r="1155">
          <cell r="A1155" t="str">
            <v>1;11;BP;B;PAQ38a40</v>
          </cell>
          <cell r="B1155">
            <v>730069</v>
          </cell>
          <cell r="C1155" t="str">
            <v>BP</v>
          </cell>
          <cell r="D1155" t="str">
            <v>BALEARES PORTUGAL</v>
          </cell>
          <cell r="E1155" t="str">
            <v>11</v>
          </cell>
          <cell r="F1155" t="str">
            <v>PAQ38a40</v>
          </cell>
          <cell r="G1155" t="str">
            <v>B</v>
          </cell>
          <cell r="H1155">
            <v>413.68</v>
          </cell>
        </row>
        <row r="1156">
          <cell r="A1156" t="str">
            <v>1;11;BP;P;</v>
          </cell>
          <cell r="B1156">
            <v>730069</v>
          </cell>
          <cell r="C1156" t="str">
            <v>BP</v>
          </cell>
          <cell r="D1156" t="str">
            <v>BALEARES PORTUGAL</v>
          </cell>
          <cell r="E1156" t="str">
            <v>11</v>
          </cell>
          <cell r="F1156" t="str">
            <v/>
          </cell>
          <cell r="G1156" t="str">
            <v>P</v>
          </cell>
          <cell r="H1156">
            <v>0</v>
          </cell>
        </row>
        <row r="1157">
          <cell r="A1157" t="str">
            <v>1;11;BP;E;</v>
          </cell>
          <cell r="B1157">
            <v>730069</v>
          </cell>
          <cell r="C1157" t="str">
            <v>BP</v>
          </cell>
          <cell r="D1157" t="str">
            <v>BALEARES PORTUGAL</v>
          </cell>
          <cell r="E1157" t="str">
            <v>11</v>
          </cell>
          <cell r="F1157" t="str">
            <v/>
          </cell>
          <cell r="G1157" t="str">
            <v>E</v>
          </cell>
          <cell r="H1157">
            <v>0</v>
          </cell>
        </row>
        <row r="1158">
          <cell r="A1158" t="str">
            <v>1;13;BP;B;PAQ00a02</v>
          </cell>
          <cell r="B1158">
            <v>730069</v>
          </cell>
          <cell r="C1158" t="str">
            <v>BP</v>
          </cell>
          <cell r="D1158" t="str">
            <v>BALEARES PORTUGAL</v>
          </cell>
          <cell r="E1158" t="str">
            <v>13</v>
          </cell>
          <cell r="F1158" t="str">
            <v>PAQ00a02</v>
          </cell>
          <cell r="G1158" t="str">
            <v>B</v>
          </cell>
          <cell r="H1158">
            <v>0</v>
          </cell>
        </row>
        <row r="1159">
          <cell r="A1159" t="str">
            <v>1;13;BP;B;PAQ02a04</v>
          </cell>
          <cell r="B1159">
            <v>730069</v>
          </cell>
          <cell r="C1159" t="str">
            <v>BP</v>
          </cell>
          <cell r="D1159" t="str">
            <v>BALEARES PORTUGAL</v>
          </cell>
          <cell r="E1159" t="str">
            <v>13</v>
          </cell>
          <cell r="F1159" t="str">
            <v>PAQ02a04</v>
          </cell>
          <cell r="G1159" t="str">
            <v>B</v>
          </cell>
          <cell r="H1159">
            <v>0</v>
          </cell>
        </row>
        <row r="1160">
          <cell r="A1160" t="str">
            <v>1;13;BP;B;PAQ04a06</v>
          </cell>
          <cell r="B1160">
            <v>730069</v>
          </cell>
          <cell r="C1160" t="str">
            <v>BP</v>
          </cell>
          <cell r="D1160" t="str">
            <v>BALEARES PORTUGAL</v>
          </cell>
          <cell r="E1160" t="str">
            <v>13</v>
          </cell>
          <cell r="F1160" t="str">
            <v>PAQ04a06</v>
          </cell>
          <cell r="G1160" t="str">
            <v>B</v>
          </cell>
          <cell r="H1160">
            <v>0</v>
          </cell>
        </row>
        <row r="1161">
          <cell r="A1161" t="str">
            <v>1;13;BP;B;PAQ06a08</v>
          </cell>
          <cell r="B1161">
            <v>730069</v>
          </cell>
          <cell r="C1161" t="str">
            <v>BP</v>
          </cell>
          <cell r="D1161" t="str">
            <v>BALEARES PORTUGAL</v>
          </cell>
          <cell r="E1161" t="str">
            <v>13</v>
          </cell>
          <cell r="F1161" t="str">
            <v>PAQ06a08</v>
          </cell>
          <cell r="G1161" t="str">
            <v>B</v>
          </cell>
          <cell r="H1161">
            <v>0</v>
          </cell>
        </row>
        <row r="1162">
          <cell r="A1162" t="str">
            <v>1;13;BP;B;PAQ08a10</v>
          </cell>
          <cell r="B1162">
            <v>730069</v>
          </cell>
          <cell r="C1162" t="str">
            <v>BP</v>
          </cell>
          <cell r="D1162" t="str">
            <v>BALEARES PORTUGAL</v>
          </cell>
          <cell r="E1162" t="str">
            <v>13</v>
          </cell>
          <cell r="F1162" t="str">
            <v>PAQ08a10</v>
          </cell>
          <cell r="G1162" t="str">
            <v>B</v>
          </cell>
          <cell r="H1162">
            <v>0</v>
          </cell>
        </row>
        <row r="1163">
          <cell r="A1163" t="str">
            <v>1;13;BP;B;PAQ10a12</v>
          </cell>
          <cell r="B1163">
            <v>730069</v>
          </cell>
          <cell r="C1163" t="str">
            <v>BP</v>
          </cell>
          <cell r="D1163" t="str">
            <v>BALEARES PORTUGAL</v>
          </cell>
          <cell r="E1163" t="str">
            <v>13</v>
          </cell>
          <cell r="F1163" t="str">
            <v>PAQ10a12</v>
          </cell>
          <cell r="G1163" t="str">
            <v>B</v>
          </cell>
          <cell r="H1163">
            <v>0</v>
          </cell>
        </row>
        <row r="1164">
          <cell r="A1164" t="str">
            <v>1;13;BP;B;PAQ12a14</v>
          </cell>
          <cell r="B1164">
            <v>730069</v>
          </cell>
          <cell r="C1164" t="str">
            <v>BP</v>
          </cell>
          <cell r="D1164" t="str">
            <v>BALEARES PORTUGAL</v>
          </cell>
          <cell r="E1164" t="str">
            <v>13</v>
          </cell>
          <cell r="F1164" t="str">
            <v>PAQ12a14</v>
          </cell>
          <cell r="G1164" t="str">
            <v>B</v>
          </cell>
          <cell r="H1164">
            <v>0</v>
          </cell>
        </row>
        <row r="1165">
          <cell r="A1165" t="str">
            <v>1;13;BP;B;PAQ14a16</v>
          </cell>
          <cell r="B1165">
            <v>730069</v>
          </cell>
          <cell r="C1165" t="str">
            <v>BP</v>
          </cell>
          <cell r="D1165" t="str">
            <v>BALEARES PORTUGAL</v>
          </cell>
          <cell r="E1165" t="str">
            <v>13</v>
          </cell>
          <cell r="F1165" t="str">
            <v>PAQ14a16</v>
          </cell>
          <cell r="G1165" t="str">
            <v>B</v>
          </cell>
          <cell r="H1165">
            <v>0</v>
          </cell>
        </row>
        <row r="1166">
          <cell r="A1166" t="str">
            <v>1;13;BP;B;PAQ16a18</v>
          </cell>
          <cell r="B1166">
            <v>730069</v>
          </cell>
          <cell r="C1166" t="str">
            <v>BP</v>
          </cell>
          <cell r="D1166" t="str">
            <v>BALEARES PORTUGAL</v>
          </cell>
          <cell r="E1166" t="str">
            <v>13</v>
          </cell>
          <cell r="F1166" t="str">
            <v>PAQ16a18</v>
          </cell>
          <cell r="G1166" t="str">
            <v>B</v>
          </cell>
          <cell r="H1166">
            <v>0</v>
          </cell>
        </row>
        <row r="1167">
          <cell r="A1167" t="str">
            <v>1;13;BP;B;PAQ18a20</v>
          </cell>
          <cell r="B1167">
            <v>730069</v>
          </cell>
          <cell r="C1167" t="str">
            <v>BP</v>
          </cell>
          <cell r="D1167" t="str">
            <v>BALEARES PORTUGAL</v>
          </cell>
          <cell r="E1167" t="str">
            <v>13</v>
          </cell>
          <cell r="F1167" t="str">
            <v>PAQ18a20</v>
          </cell>
          <cell r="G1167" t="str">
            <v>B</v>
          </cell>
          <cell r="H1167">
            <v>0</v>
          </cell>
        </row>
        <row r="1168">
          <cell r="A1168" t="str">
            <v>1;13;BP;B;PAQ20a22</v>
          </cell>
          <cell r="B1168">
            <v>730069</v>
          </cell>
          <cell r="C1168" t="str">
            <v>BP</v>
          </cell>
          <cell r="D1168" t="str">
            <v>BALEARES PORTUGAL</v>
          </cell>
          <cell r="E1168" t="str">
            <v>13</v>
          </cell>
          <cell r="F1168" t="str">
            <v>PAQ20a22</v>
          </cell>
          <cell r="G1168" t="str">
            <v>B</v>
          </cell>
          <cell r="H1168">
            <v>0</v>
          </cell>
        </row>
        <row r="1169">
          <cell r="A1169" t="str">
            <v>1;13;BP;B;PAQ22a24</v>
          </cell>
          <cell r="B1169">
            <v>730069</v>
          </cell>
          <cell r="C1169" t="str">
            <v>BP</v>
          </cell>
          <cell r="D1169" t="str">
            <v>BALEARES PORTUGAL</v>
          </cell>
          <cell r="E1169" t="str">
            <v>13</v>
          </cell>
          <cell r="F1169" t="str">
            <v>PAQ22a24</v>
          </cell>
          <cell r="G1169" t="str">
            <v>B</v>
          </cell>
          <cell r="H1169">
            <v>0</v>
          </cell>
        </row>
        <row r="1170">
          <cell r="A1170" t="str">
            <v>1;13;BP;B;PAQ24a26</v>
          </cell>
          <cell r="B1170">
            <v>730069</v>
          </cell>
          <cell r="C1170" t="str">
            <v>BP</v>
          </cell>
          <cell r="D1170" t="str">
            <v>BALEARES PORTUGAL</v>
          </cell>
          <cell r="E1170" t="str">
            <v>13</v>
          </cell>
          <cell r="F1170" t="str">
            <v>PAQ24a26</v>
          </cell>
          <cell r="G1170" t="str">
            <v>B</v>
          </cell>
          <cell r="H1170">
            <v>0</v>
          </cell>
        </row>
        <row r="1171">
          <cell r="A1171" t="str">
            <v>1;13;BP;B;PAQ26a28</v>
          </cell>
          <cell r="B1171">
            <v>730069</v>
          </cell>
          <cell r="C1171" t="str">
            <v>BP</v>
          </cell>
          <cell r="D1171" t="str">
            <v>BALEARES PORTUGAL</v>
          </cell>
          <cell r="E1171" t="str">
            <v>13</v>
          </cell>
          <cell r="F1171" t="str">
            <v>PAQ26a28</v>
          </cell>
          <cell r="G1171" t="str">
            <v>B</v>
          </cell>
          <cell r="H1171">
            <v>0</v>
          </cell>
        </row>
        <row r="1172">
          <cell r="A1172" t="str">
            <v>1;13;BP;B;PAQ28a30</v>
          </cell>
          <cell r="B1172">
            <v>730069</v>
          </cell>
          <cell r="C1172" t="str">
            <v>BP</v>
          </cell>
          <cell r="D1172" t="str">
            <v>BALEARES PORTUGAL</v>
          </cell>
          <cell r="E1172" t="str">
            <v>13</v>
          </cell>
          <cell r="F1172" t="str">
            <v>PAQ28a30</v>
          </cell>
          <cell r="G1172" t="str">
            <v>B</v>
          </cell>
          <cell r="H1172">
            <v>0</v>
          </cell>
        </row>
        <row r="1173">
          <cell r="A1173" t="str">
            <v>1;13;BP;B;PAQ30a32</v>
          </cell>
          <cell r="B1173">
            <v>730069</v>
          </cell>
          <cell r="C1173" t="str">
            <v>BP</v>
          </cell>
          <cell r="D1173" t="str">
            <v>BALEARES PORTUGAL</v>
          </cell>
          <cell r="E1173" t="str">
            <v>13</v>
          </cell>
          <cell r="F1173" t="str">
            <v>PAQ30a32</v>
          </cell>
          <cell r="G1173" t="str">
            <v>B</v>
          </cell>
          <cell r="H1173">
            <v>0</v>
          </cell>
        </row>
        <row r="1174">
          <cell r="A1174" t="str">
            <v>1;13;BP;B;PAQ32a34</v>
          </cell>
          <cell r="B1174">
            <v>730069</v>
          </cell>
          <cell r="C1174" t="str">
            <v>BP</v>
          </cell>
          <cell r="D1174" t="str">
            <v>BALEARES PORTUGAL</v>
          </cell>
          <cell r="E1174" t="str">
            <v>13</v>
          </cell>
          <cell r="F1174" t="str">
            <v>PAQ32a34</v>
          </cell>
          <cell r="G1174" t="str">
            <v>B</v>
          </cell>
          <cell r="H1174">
            <v>0</v>
          </cell>
        </row>
        <row r="1175">
          <cell r="A1175" t="str">
            <v>1;13;BP;B;PAQ34a36</v>
          </cell>
          <cell r="B1175">
            <v>730069</v>
          </cell>
          <cell r="C1175" t="str">
            <v>BP</v>
          </cell>
          <cell r="D1175" t="str">
            <v>BALEARES PORTUGAL</v>
          </cell>
          <cell r="E1175" t="str">
            <v>13</v>
          </cell>
          <cell r="F1175" t="str">
            <v>PAQ34a36</v>
          </cell>
          <cell r="G1175" t="str">
            <v>B</v>
          </cell>
          <cell r="H1175">
            <v>0</v>
          </cell>
        </row>
        <row r="1176">
          <cell r="A1176" t="str">
            <v>1;13;BP;B;PAQ36a38</v>
          </cell>
          <cell r="B1176">
            <v>730069</v>
          </cell>
          <cell r="C1176" t="str">
            <v>BP</v>
          </cell>
          <cell r="D1176" t="str">
            <v>BALEARES PORTUGAL</v>
          </cell>
          <cell r="E1176" t="str">
            <v>13</v>
          </cell>
          <cell r="F1176" t="str">
            <v>PAQ36a38</v>
          </cell>
          <cell r="G1176" t="str">
            <v>B</v>
          </cell>
          <cell r="H1176">
            <v>0</v>
          </cell>
        </row>
        <row r="1177">
          <cell r="A1177" t="str">
            <v>1;13;BP;B;PAQ38a40</v>
          </cell>
          <cell r="B1177">
            <v>730069</v>
          </cell>
          <cell r="C1177" t="str">
            <v>BP</v>
          </cell>
          <cell r="D1177" t="str">
            <v>BALEARES PORTUGAL</v>
          </cell>
          <cell r="E1177" t="str">
            <v>13</v>
          </cell>
          <cell r="F1177" t="str">
            <v>PAQ38a40</v>
          </cell>
          <cell r="G1177" t="str">
            <v>B</v>
          </cell>
          <cell r="H1177">
            <v>0</v>
          </cell>
        </row>
        <row r="1178">
          <cell r="A1178" t="str">
            <v>1;13;BP;F;</v>
          </cell>
          <cell r="B1178">
            <v>730069</v>
          </cell>
          <cell r="C1178" t="str">
            <v>BP</v>
          </cell>
          <cell r="D1178" t="str">
            <v>BALEARES PORTUGAL</v>
          </cell>
          <cell r="E1178" t="str">
            <v>13</v>
          </cell>
          <cell r="F1178" t="str">
            <v/>
          </cell>
          <cell r="G1178" t="str">
            <v>F</v>
          </cell>
          <cell r="H1178">
            <v>0</v>
          </cell>
        </row>
        <row r="1179">
          <cell r="A1179" t="str">
            <v>1;13;BP;E;</v>
          </cell>
          <cell r="B1179">
            <v>730069</v>
          </cell>
          <cell r="C1179" t="str">
            <v>BP</v>
          </cell>
          <cell r="D1179" t="str">
            <v>BALEARES PORTUGAL</v>
          </cell>
          <cell r="E1179" t="str">
            <v>13</v>
          </cell>
          <cell r="F1179" t="str">
            <v/>
          </cell>
          <cell r="G1179" t="str">
            <v>E</v>
          </cell>
          <cell r="H1179">
            <v>0</v>
          </cell>
        </row>
        <row r="1180">
          <cell r="A1180" t="str">
            <v>1;13;BP;P;</v>
          </cell>
          <cell r="B1180">
            <v>730069</v>
          </cell>
          <cell r="C1180" t="str">
            <v>BP</v>
          </cell>
          <cell r="D1180" t="str">
            <v>BALEARES PORTUGAL</v>
          </cell>
          <cell r="E1180" t="str">
            <v>13</v>
          </cell>
          <cell r="F1180" t="str">
            <v/>
          </cell>
          <cell r="G1180" t="str">
            <v>P</v>
          </cell>
          <cell r="H1180">
            <v>0</v>
          </cell>
        </row>
        <row r="1181">
          <cell r="A1181" t="str">
            <v>1;14;BP;B;BAG</v>
          </cell>
          <cell r="B1181">
            <v>730069</v>
          </cell>
          <cell r="C1181" t="str">
            <v>BP</v>
          </cell>
          <cell r="D1181" t="str">
            <v>BALEARES PORTUGAL</v>
          </cell>
          <cell r="E1181" t="str">
            <v>14</v>
          </cell>
          <cell r="F1181" t="str">
            <v>BAG</v>
          </cell>
          <cell r="G1181" t="str">
            <v>B</v>
          </cell>
          <cell r="H1181">
            <v>1.79</v>
          </cell>
        </row>
        <row r="1182">
          <cell r="A1182" t="str">
            <v>1;15;BP;B;BAG</v>
          </cell>
          <cell r="B1182">
            <v>730069</v>
          </cell>
          <cell r="C1182" t="str">
            <v>BP</v>
          </cell>
          <cell r="D1182" t="str">
            <v>BALEARES PORTUGAL</v>
          </cell>
          <cell r="E1182" t="str">
            <v>15</v>
          </cell>
          <cell r="F1182" t="str">
            <v>BAG</v>
          </cell>
          <cell r="G1182" t="str">
            <v>B</v>
          </cell>
          <cell r="H1182">
            <v>1.79</v>
          </cell>
        </row>
        <row r="1183">
          <cell r="A1183" t="str">
            <v>1;17;BP;B;PAQ00a02</v>
          </cell>
          <cell r="B1183">
            <v>730069</v>
          </cell>
          <cell r="C1183" t="str">
            <v>BP</v>
          </cell>
          <cell r="D1183" t="str">
            <v>BALEARES PORTUGAL</v>
          </cell>
          <cell r="E1183" t="str">
            <v>17</v>
          </cell>
          <cell r="F1183" t="str">
            <v>PAQ00a02</v>
          </cell>
          <cell r="G1183" t="str">
            <v>B</v>
          </cell>
          <cell r="H1183">
            <v>9.33</v>
          </cell>
        </row>
        <row r="1184">
          <cell r="A1184" t="str">
            <v>1;17;BP;B;PAQ02a04</v>
          </cell>
          <cell r="B1184">
            <v>730069</v>
          </cell>
          <cell r="C1184" t="str">
            <v>BP</v>
          </cell>
          <cell r="D1184" t="str">
            <v>BALEARES PORTUGAL</v>
          </cell>
          <cell r="E1184" t="str">
            <v>17</v>
          </cell>
          <cell r="F1184" t="str">
            <v>PAQ02a04</v>
          </cell>
          <cell r="G1184" t="str">
            <v>B</v>
          </cell>
          <cell r="H1184">
            <v>14.61</v>
          </cell>
        </row>
        <row r="1185">
          <cell r="A1185" t="str">
            <v>1;17;BP;B;PAQ04a06</v>
          </cell>
          <cell r="B1185">
            <v>730069</v>
          </cell>
          <cell r="C1185" t="str">
            <v>BP</v>
          </cell>
          <cell r="D1185" t="str">
            <v>BALEARES PORTUGAL</v>
          </cell>
          <cell r="E1185" t="str">
            <v>17</v>
          </cell>
          <cell r="F1185" t="str">
            <v>PAQ04a06</v>
          </cell>
          <cell r="G1185" t="str">
            <v>B</v>
          </cell>
          <cell r="H1185">
            <v>19.88</v>
          </cell>
        </row>
        <row r="1186">
          <cell r="A1186" t="str">
            <v>1;17;BP;B;PAQ06a08</v>
          </cell>
          <cell r="B1186">
            <v>730069</v>
          </cell>
          <cell r="C1186" t="str">
            <v>BP</v>
          </cell>
          <cell r="D1186" t="str">
            <v>BALEARES PORTUGAL</v>
          </cell>
          <cell r="E1186" t="str">
            <v>17</v>
          </cell>
          <cell r="F1186" t="str">
            <v>PAQ06a08</v>
          </cell>
          <cell r="G1186" t="str">
            <v>B</v>
          </cell>
          <cell r="H1186">
            <v>25.15</v>
          </cell>
        </row>
        <row r="1187">
          <cell r="A1187" t="str">
            <v>1;17;BP;B;PAQ08a10</v>
          </cell>
          <cell r="B1187">
            <v>730069</v>
          </cell>
          <cell r="C1187" t="str">
            <v>BP</v>
          </cell>
          <cell r="D1187" t="str">
            <v>BALEARES PORTUGAL</v>
          </cell>
          <cell r="E1187" t="str">
            <v>17</v>
          </cell>
          <cell r="F1187" t="str">
            <v>PAQ08a10</v>
          </cell>
          <cell r="G1187" t="str">
            <v>B</v>
          </cell>
          <cell r="H1187">
            <v>30.42</v>
          </cell>
        </row>
        <row r="1188">
          <cell r="A1188" t="str">
            <v>1;17;BP;B;PAQ10a12</v>
          </cell>
          <cell r="B1188">
            <v>730069</v>
          </cell>
          <cell r="C1188" t="str">
            <v>BP</v>
          </cell>
          <cell r="D1188" t="str">
            <v>BALEARES PORTUGAL</v>
          </cell>
          <cell r="E1188" t="str">
            <v>17</v>
          </cell>
          <cell r="F1188" t="str">
            <v>PAQ10a12</v>
          </cell>
          <cell r="G1188" t="str">
            <v>B</v>
          </cell>
          <cell r="H1188">
            <v>35.69</v>
          </cell>
        </row>
        <row r="1189">
          <cell r="A1189" t="str">
            <v>1;17;BP;B;PAQ12a14</v>
          </cell>
          <cell r="B1189">
            <v>730069</v>
          </cell>
          <cell r="C1189" t="str">
            <v>BP</v>
          </cell>
          <cell r="D1189" t="str">
            <v>BALEARES PORTUGAL</v>
          </cell>
          <cell r="E1189" t="str">
            <v>17</v>
          </cell>
          <cell r="F1189" t="str">
            <v>PAQ12a14</v>
          </cell>
          <cell r="G1189" t="str">
            <v>B</v>
          </cell>
          <cell r="H1189">
            <v>40.96</v>
          </cell>
        </row>
        <row r="1190">
          <cell r="A1190" t="str">
            <v>1;17;BP;B;PAQ14a16</v>
          </cell>
          <cell r="B1190">
            <v>730069</v>
          </cell>
          <cell r="C1190" t="str">
            <v>BP</v>
          </cell>
          <cell r="D1190" t="str">
            <v>BALEARES PORTUGAL</v>
          </cell>
          <cell r="E1190" t="str">
            <v>17</v>
          </cell>
          <cell r="F1190" t="str">
            <v>PAQ14a16</v>
          </cell>
          <cell r="G1190" t="str">
            <v>B</v>
          </cell>
          <cell r="H1190">
            <v>46.23</v>
          </cell>
        </row>
        <row r="1191">
          <cell r="A1191" t="str">
            <v>1;17;BP;B;PAQ16a18</v>
          </cell>
          <cell r="B1191">
            <v>730069</v>
          </cell>
          <cell r="C1191" t="str">
            <v>BP</v>
          </cell>
          <cell r="D1191" t="str">
            <v>BALEARES PORTUGAL</v>
          </cell>
          <cell r="E1191" t="str">
            <v>17</v>
          </cell>
          <cell r="F1191" t="str">
            <v>PAQ16a18</v>
          </cell>
          <cell r="G1191" t="str">
            <v>B</v>
          </cell>
          <cell r="H1191">
            <v>51.5</v>
          </cell>
        </row>
        <row r="1192">
          <cell r="A1192" t="str">
            <v>1;17;BP;B;PAQ18a20</v>
          </cell>
          <cell r="B1192">
            <v>730069</v>
          </cell>
          <cell r="C1192" t="str">
            <v>BP</v>
          </cell>
          <cell r="D1192" t="str">
            <v>BALEARES PORTUGAL</v>
          </cell>
          <cell r="E1192" t="str">
            <v>17</v>
          </cell>
          <cell r="F1192" t="str">
            <v>PAQ18a20</v>
          </cell>
          <cell r="G1192" t="str">
            <v>B</v>
          </cell>
          <cell r="H1192">
            <v>56.76</v>
          </cell>
        </row>
        <row r="1193">
          <cell r="A1193" t="str">
            <v>1;17;BP;B;PAQ20a22</v>
          </cell>
          <cell r="B1193">
            <v>730069</v>
          </cell>
          <cell r="C1193" t="str">
            <v>BP</v>
          </cell>
          <cell r="D1193" t="str">
            <v>BALEARES PORTUGAL</v>
          </cell>
          <cell r="E1193" t="str">
            <v>17</v>
          </cell>
          <cell r="F1193" t="str">
            <v>PAQ20a22</v>
          </cell>
          <cell r="G1193" t="str">
            <v>B</v>
          </cell>
          <cell r="H1193">
            <v>62.03</v>
          </cell>
        </row>
        <row r="1194">
          <cell r="A1194" t="str">
            <v>1;17;BP;B;PAQ22a24</v>
          </cell>
          <cell r="B1194">
            <v>730069</v>
          </cell>
          <cell r="C1194" t="str">
            <v>BP</v>
          </cell>
          <cell r="D1194" t="str">
            <v>BALEARES PORTUGAL</v>
          </cell>
          <cell r="E1194" t="str">
            <v>17</v>
          </cell>
          <cell r="F1194" t="str">
            <v>PAQ22a24</v>
          </cell>
          <cell r="G1194" t="str">
            <v>B</v>
          </cell>
          <cell r="H1194">
            <v>67.31</v>
          </cell>
        </row>
        <row r="1195">
          <cell r="A1195" t="str">
            <v>1;17;BP;B;PAQ24a26</v>
          </cell>
          <cell r="B1195">
            <v>730069</v>
          </cell>
          <cell r="C1195" t="str">
            <v>BP</v>
          </cell>
          <cell r="D1195" t="str">
            <v>BALEARES PORTUGAL</v>
          </cell>
          <cell r="E1195" t="str">
            <v>17</v>
          </cell>
          <cell r="F1195" t="str">
            <v>PAQ24a26</v>
          </cell>
          <cell r="G1195" t="str">
            <v>B</v>
          </cell>
          <cell r="H1195">
            <v>72.58</v>
          </cell>
        </row>
        <row r="1196">
          <cell r="A1196" t="str">
            <v>1;17;BP;B;PAQ26a28</v>
          </cell>
          <cell r="B1196">
            <v>730069</v>
          </cell>
          <cell r="C1196" t="str">
            <v>BP</v>
          </cell>
          <cell r="D1196" t="str">
            <v>BALEARES PORTUGAL</v>
          </cell>
          <cell r="E1196" t="str">
            <v>17</v>
          </cell>
          <cell r="F1196" t="str">
            <v>PAQ26a28</v>
          </cell>
          <cell r="G1196" t="str">
            <v>B</v>
          </cell>
          <cell r="H1196">
            <v>77.849999999999994</v>
          </cell>
        </row>
        <row r="1197">
          <cell r="A1197" t="str">
            <v>1;17;BP;B;PAQ28a30</v>
          </cell>
          <cell r="B1197">
            <v>730069</v>
          </cell>
          <cell r="C1197" t="str">
            <v>BP</v>
          </cell>
          <cell r="D1197" t="str">
            <v>BALEARES PORTUGAL</v>
          </cell>
          <cell r="E1197" t="str">
            <v>17</v>
          </cell>
          <cell r="F1197" t="str">
            <v>PAQ28a30</v>
          </cell>
          <cell r="G1197" t="str">
            <v>B</v>
          </cell>
          <cell r="H1197">
            <v>83.12</v>
          </cell>
        </row>
        <row r="1198">
          <cell r="A1198" t="str">
            <v>1;17;BP;B;PAQ30a32</v>
          </cell>
          <cell r="B1198">
            <v>730069</v>
          </cell>
          <cell r="C1198" t="str">
            <v>BP</v>
          </cell>
          <cell r="D1198" t="str">
            <v>BALEARES PORTUGAL</v>
          </cell>
          <cell r="E1198" t="str">
            <v>17</v>
          </cell>
          <cell r="F1198" t="str">
            <v>PAQ30a32</v>
          </cell>
          <cell r="G1198" t="str">
            <v>B</v>
          </cell>
          <cell r="H1198">
            <v>88.39</v>
          </cell>
        </row>
        <row r="1199">
          <cell r="A1199" t="str">
            <v>1;17;BP;B;PAQ32a34</v>
          </cell>
          <cell r="B1199">
            <v>730069</v>
          </cell>
          <cell r="C1199" t="str">
            <v>BP</v>
          </cell>
          <cell r="D1199" t="str">
            <v>BALEARES PORTUGAL</v>
          </cell>
          <cell r="E1199" t="str">
            <v>17</v>
          </cell>
          <cell r="F1199" t="str">
            <v>PAQ32a34</v>
          </cell>
          <cell r="G1199" t="str">
            <v>B</v>
          </cell>
          <cell r="H1199">
            <v>93.66</v>
          </cell>
        </row>
        <row r="1200">
          <cell r="A1200" t="str">
            <v>1;17;BP;B;PAQ34a36</v>
          </cell>
          <cell r="B1200">
            <v>730069</v>
          </cell>
          <cell r="C1200" t="str">
            <v>BP</v>
          </cell>
          <cell r="D1200" t="str">
            <v>BALEARES PORTUGAL</v>
          </cell>
          <cell r="E1200" t="str">
            <v>17</v>
          </cell>
          <cell r="F1200" t="str">
            <v>PAQ34a36</v>
          </cell>
          <cell r="G1200" t="str">
            <v>B</v>
          </cell>
          <cell r="H1200">
            <v>98.93</v>
          </cell>
        </row>
        <row r="1201">
          <cell r="A1201" t="str">
            <v>1;17;BP;B;PAQ36a38</v>
          </cell>
          <cell r="B1201">
            <v>730069</v>
          </cell>
          <cell r="C1201" t="str">
            <v>BP</v>
          </cell>
          <cell r="D1201" t="str">
            <v>BALEARES PORTUGAL</v>
          </cell>
          <cell r="E1201" t="str">
            <v>17</v>
          </cell>
          <cell r="F1201" t="str">
            <v>PAQ36a38</v>
          </cell>
          <cell r="G1201" t="str">
            <v>B</v>
          </cell>
          <cell r="H1201">
            <v>104.2</v>
          </cell>
        </row>
        <row r="1202">
          <cell r="A1202" t="str">
            <v>1;17;BP;B;PAQ38a40</v>
          </cell>
          <cell r="B1202">
            <v>730069</v>
          </cell>
          <cell r="C1202" t="str">
            <v>BP</v>
          </cell>
          <cell r="D1202" t="str">
            <v>BALEARES PORTUGAL</v>
          </cell>
          <cell r="E1202" t="str">
            <v>17</v>
          </cell>
          <cell r="F1202" t="str">
            <v>PAQ38a40</v>
          </cell>
          <cell r="G1202" t="str">
            <v>B</v>
          </cell>
          <cell r="H1202">
            <v>109.46</v>
          </cell>
        </row>
        <row r="1203">
          <cell r="A1203" t="str">
            <v>1;17;BP;F;</v>
          </cell>
          <cell r="B1203">
            <v>730069</v>
          </cell>
          <cell r="C1203" t="str">
            <v>BP</v>
          </cell>
          <cell r="D1203" t="str">
            <v>BALEARES PORTUGAL</v>
          </cell>
          <cell r="E1203" t="str">
            <v>17</v>
          </cell>
          <cell r="F1203" t="str">
            <v/>
          </cell>
          <cell r="G1203" t="str">
            <v>F</v>
          </cell>
          <cell r="H1203">
            <v>5.27</v>
          </cell>
        </row>
        <row r="1204">
          <cell r="A1204" t="str">
            <v>1;17;BP;E;</v>
          </cell>
          <cell r="B1204">
            <v>730069</v>
          </cell>
          <cell r="C1204" t="str">
            <v>BP</v>
          </cell>
          <cell r="D1204" t="str">
            <v>BALEARES PORTUGAL</v>
          </cell>
          <cell r="E1204" t="str">
            <v>17</v>
          </cell>
          <cell r="F1204" t="str">
            <v/>
          </cell>
          <cell r="G1204" t="str">
            <v>E</v>
          </cell>
          <cell r="H1204">
            <v>0</v>
          </cell>
        </row>
        <row r="1205">
          <cell r="A1205" t="str">
            <v>1;17;BP;P;</v>
          </cell>
          <cell r="B1205">
            <v>730069</v>
          </cell>
          <cell r="C1205" t="str">
            <v>BP</v>
          </cell>
          <cell r="D1205" t="str">
            <v>BALEARES PORTUGAL</v>
          </cell>
          <cell r="E1205" t="str">
            <v>17</v>
          </cell>
          <cell r="F1205" t="str">
            <v/>
          </cell>
          <cell r="G1205" t="str">
            <v>P</v>
          </cell>
          <cell r="H1205">
            <v>0</v>
          </cell>
        </row>
        <row r="1206">
          <cell r="A1206" t="str">
            <v>1;21;BP;B;BAG</v>
          </cell>
          <cell r="B1206">
            <v>730069</v>
          </cell>
          <cell r="C1206" t="str">
            <v>BP</v>
          </cell>
          <cell r="D1206" t="str">
            <v>BALEARES PORTUGAL</v>
          </cell>
          <cell r="E1206" t="str">
            <v>21</v>
          </cell>
          <cell r="F1206" t="str">
            <v>BAG</v>
          </cell>
          <cell r="G1206" t="str">
            <v>B</v>
          </cell>
          <cell r="H1206">
            <v>21.67</v>
          </cell>
        </row>
        <row r="1207">
          <cell r="A1207" t="str">
            <v>1;21;BP;B;DOCS</v>
          </cell>
          <cell r="B1207">
            <v>730069</v>
          </cell>
          <cell r="C1207" t="str">
            <v>BP</v>
          </cell>
          <cell r="D1207" t="str">
            <v>BALEARES PORTUGAL</v>
          </cell>
          <cell r="E1207" t="str">
            <v>21</v>
          </cell>
          <cell r="F1207" t="str">
            <v>DOCS</v>
          </cell>
          <cell r="G1207" t="str">
            <v>B</v>
          </cell>
          <cell r="H1207">
            <v>21.67</v>
          </cell>
        </row>
        <row r="1208">
          <cell r="A1208" t="str">
            <v>1;21;BP;B;PAQ00a02</v>
          </cell>
          <cell r="B1208">
            <v>730069</v>
          </cell>
          <cell r="C1208" t="str">
            <v>BP</v>
          </cell>
          <cell r="D1208" t="str">
            <v>BALEARES PORTUGAL</v>
          </cell>
          <cell r="E1208" t="str">
            <v>21</v>
          </cell>
          <cell r="F1208" t="str">
            <v>PAQ00a02</v>
          </cell>
          <cell r="G1208" t="str">
            <v>B</v>
          </cell>
          <cell r="H1208">
            <v>24.4</v>
          </cell>
        </row>
        <row r="1209">
          <cell r="A1209" t="str">
            <v>1;21;BP;B;PAQ02a04</v>
          </cell>
          <cell r="B1209">
            <v>730069</v>
          </cell>
          <cell r="C1209" t="str">
            <v>BP</v>
          </cell>
          <cell r="D1209" t="str">
            <v>BALEARES PORTUGAL</v>
          </cell>
          <cell r="E1209" t="str">
            <v>21</v>
          </cell>
          <cell r="F1209" t="str">
            <v>PAQ02a04</v>
          </cell>
          <cell r="G1209" t="str">
            <v>B</v>
          </cell>
          <cell r="H1209">
            <v>34.83</v>
          </cell>
        </row>
        <row r="1210">
          <cell r="A1210" t="str">
            <v>1;21;BP;B;PAQ04a06</v>
          </cell>
          <cell r="B1210">
            <v>730069</v>
          </cell>
          <cell r="C1210" t="str">
            <v>BP</v>
          </cell>
          <cell r="D1210" t="str">
            <v>BALEARES PORTUGAL</v>
          </cell>
          <cell r="E1210" t="str">
            <v>21</v>
          </cell>
          <cell r="F1210" t="str">
            <v>PAQ04a06</v>
          </cell>
          <cell r="G1210" t="str">
            <v>B</v>
          </cell>
          <cell r="H1210">
            <v>45.52</v>
          </cell>
        </row>
        <row r="1211">
          <cell r="A1211" t="str">
            <v>1;21;BP;B;PAQ06a08</v>
          </cell>
          <cell r="B1211">
            <v>730069</v>
          </cell>
          <cell r="C1211" t="str">
            <v>BP</v>
          </cell>
          <cell r="D1211" t="str">
            <v>BALEARES PORTUGAL</v>
          </cell>
          <cell r="E1211" t="str">
            <v>21</v>
          </cell>
          <cell r="F1211" t="str">
            <v>PAQ06a08</v>
          </cell>
          <cell r="G1211" t="str">
            <v>B</v>
          </cell>
          <cell r="H1211">
            <v>56.22</v>
          </cell>
        </row>
        <row r="1212">
          <cell r="A1212" t="str">
            <v>1;21;BP;B;PAQ08a10</v>
          </cell>
          <cell r="B1212">
            <v>730069</v>
          </cell>
          <cell r="C1212" t="str">
            <v>BP</v>
          </cell>
          <cell r="D1212" t="str">
            <v>BALEARES PORTUGAL</v>
          </cell>
          <cell r="E1212" t="str">
            <v>21</v>
          </cell>
          <cell r="F1212" t="str">
            <v>PAQ08a10</v>
          </cell>
          <cell r="G1212" t="str">
            <v>B</v>
          </cell>
          <cell r="H1212">
            <v>66.91</v>
          </cell>
        </row>
        <row r="1213">
          <cell r="A1213" t="str">
            <v>1;21;BP;B;PAQ10a12</v>
          </cell>
          <cell r="B1213">
            <v>730069</v>
          </cell>
          <cell r="C1213" t="str">
            <v>BP</v>
          </cell>
          <cell r="D1213" t="str">
            <v>BALEARES PORTUGAL</v>
          </cell>
          <cell r="E1213" t="str">
            <v>21</v>
          </cell>
          <cell r="F1213" t="str">
            <v>PAQ10a12</v>
          </cell>
          <cell r="G1213" t="str">
            <v>B</v>
          </cell>
          <cell r="H1213">
            <v>77.61</v>
          </cell>
        </row>
        <row r="1214">
          <cell r="A1214" t="str">
            <v>1;21;BP;B;PAQ12a14</v>
          </cell>
          <cell r="B1214">
            <v>730069</v>
          </cell>
          <cell r="C1214" t="str">
            <v>BP</v>
          </cell>
          <cell r="D1214" t="str">
            <v>BALEARES PORTUGAL</v>
          </cell>
          <cell r="E1214" t="str">
            <v>21</v>
          </cell>
          <cell r="F1214" t="str">
            <v>PAQ12a14</v>
          </cell>
          <cell r="G1214" t="str">
            <v>B</v>
          </cell>
          <cell r="H1214">
            <v>88.29</v>
          </cell>
        </row>
        <row r="1215">
          <cell r="A1215" t="str">
            <v>1;21;BP;B;PAQ14a16</v>
          </cell>
          <cell r="B1215">
            <v>730069</v>
          </cell>
          <cell r="C1215" t="str">
            <v>BP</v>
          </cell>
          <cell r="D1215" t="str">
            <v>BALEARES PORTUGAL</v>
          </cell>
          <cell r="E1215" t="str">
            <v>21</v>
          </cell>
          <cell r="F1215" t="str">
            <v>PAQ14a16</v>
          </cell>
          <cell r="G1215" t="str">
            <v>B</v>
          </cell>
          <cell r="H1215">
            <v>98.99</v>
          </cell>
        </row>
        <row r="1216">
          <cell r="A1216" t="str">
            <v>1;21;BP;B;PAQ16a18</v>
          </cell>
          <cell r="B1216">
            <v>730069</v>
          </cell>
          <cell r="C1216" t="str">
            <v>BP</v>
          </cell>
          <cell r="D1216" t="str">
            <v>BALEARES PORTUGAL</v>
          </cell>
          <cell r="E1216" t="str">
            <v>21</v>
          </cell>
          <cell r="F1216" t="str">
            <v>PAQ16a18</v>
          </cell>
          <cell r="G1216" t="str">
            <v>B</v>
          </cell>
          <cell r="H1216">
            <v>109.68</v>
          </cell>
        </row>
        <row r="1217">
          <cell r="A1217" t="str">
            <v>1;21;BP;B;PAQ18a20</v>
          </cell>
          <cell r="B1217">
            <v>730069</v>
          </cell>
          <cell r="C1217" t="str">
            <v>BP</v>
          </cell>
          <cell r="D1217" t="str">
            <v>BALEARES PORTUGAL</v>
          </cell>
          <cell r="E1217" t="str">
            <v>21</v>
          </cell>
          <cell r="F1217" t="str">
            <v>PAQ18a20</v>
          </cell>
          <cell r="G1217" t="str">
            <v>B</v>
          </cell>
          <cell r="H1217">
            <v>120.38</v>
          </cell>
        </row>
        <row r="1218">
          <cell r="A1218" t="str">
            <v>1;21;BP;B;PAQ20a22</v>
          </cell>
          <cell r="B1218">
            <v>730069</v>
          </cell>
          <cell r="C1218" t="str">
            <v>BP</v>
          </cell>
          <cell r="D1218" t="str">
            <v>BALEARES PORTUGAL</v>
          </cell>
          <cell r="E1218" t="str">
            <v>21</v>
          </cell>
          <cell r="F1218" t="str">
            <v>PAQ20a22</v>
          </cell>
          <cell r="G1218" t="str">
            <v>B</v>
          </cell>
          <cell r="H1218">
            <v>131.07</v>
          </cell>
        </row>
        <row r="1219">
          <cell r="A1219" t="str">
            <v>1;21;BP;B;PAQ22a24</v>
          </cell>
          <cell r="B1219">
            <v>730069</v>
          </cell>
          <cell r="C1219" t="str">
            <v>BP</v>
          </cell>
          <cell r="D1219" t="str">
            <v>BALEARES PORTUGAL</v>
          </cell>
          <cell r="E1219" t="str">
            <v>21</v>
          </cell>
          <cell r="F1219" t="str">
            <v>PAQ22a24</v>
          </cell>
          <cell r="G1219" t="str">
            <v>B</v>
          </cell>
          <cell r="H1219">
            <v>141.77000000000001</v>
          </cell>
        </row>
        <row r="1220">
          <cell r="A1220" t="str">
            <v>1;21;BP;B;PAQ24a26</v>
          </cell>
          <cell r="B1220">
            <v>730069</v>
          </cell>
          <cell r="C1220" t="str">
            <v>BP</v>
          </cell>
          <cell r="D1220" t="str">
            <v>BALEARES PORTUGAL</v>
          </cell>
          <cell r="E1220" t="str">
            <v>21</v>
          </cell>
          <cell r="F1220" t="str">
            <v>PAQ24a26</v>
          </cell>
          <cell r="G1220" t="str">
            <v>B</v>
          </cell>
          <cell r="H1220">
            <v>152.46</v>
          </cell>
        </row>
        <row r="1221">
          <cell r="A1221" t="str">
            <v>1;21;BP;B;PAQ26a28</v>
          </cell>
          <cell r="B1221">
            <v>730069</v>
          </cell>
          <cell r="C1221" t="str">
            <v>BP</v>
          </cell>
          <cell r="D1221" t="str">
            <v>BALEARES PORTUGAL</v>
          </cell>
          <cell r="E1221" t="str">
            <v>21</v>
          </cell>
          <cell r="F1221" t="str">
            <v>PAQ26a28</v>
          </cell>
          <cell r="G1221" t="str">
            <v>B</v>
          </cell>
          <cell r="H1221">
            <v>163.16</v>
          </cell>
        </row>
        <row r="1222">
          <cell r="A1222" t="str">
            <v>1;21;BP;B;PAQ28a30</v>
          </cell>
          <cell r="B1222">
            <v>730069</v>
          </cell>
          <cell r="C1222" t="str">
            <v>BP</v>
          </cell>
          <cell r="D1222" t="str">
            <v>BALEARES PORTUGAL</v>
          </cell>
          <cell r="E1222" t="str">
            <v>21</v>
          </cell>
          <cell r="F1222" t="str">
            <v>PAQ28a30</v>
          </cell>
          <cell r="G1222" t="str">
            <v>B</v>
          </cell>
          <cell r="H1222">
            <v>173.85</v>
          </cell>
        </row>
        <row r="1223">
          <cell r="A1223" t="str">
            <v>1;21;BP;B;PAQ30a32</v>
          </cell>
          <cell r="B1223">
            <v>730069</v>
          </cell>
          <cell r="C1223" t="str">
            <v>BP</v>
          </cell>
          <cell r="D1223" t="str">
            <v>BALEARES PORTUGAL</v>
          </cell>
          <cell r="E1223" t="str">
            <v>21</v>
          </cell>
          <cell r="F1223" t="str">
            <v>PAQ30a32</v>
          </cell>
          <cell r="G1223" t="str">
            <v>B</v>
          </cell>
          <cell r="H1223">
            <v>184.55</v>
          </cell>
        </row>
        <row r="1224">
          <cell r="A1224" t="str">
            <v>1;21;BP;B;PAQ32a34</v>
          </cell>
          <cell r="B1224">
            <v>730069</v>
          </cell>
          <cell r="C1224" t="str">
            <v>BP</v>
          </cell>
          <cell r="D1224" t="str">
            <v>BALEARES PORTUGAL</v>
          </cell>
          <cell r="E1224" t="str">
            <v>21</v>
          </cell>
          <cell r="F1224" t="str">
            <v>PAQ32a34</v>
          </cell>
          <cell r="G1224" t="str">
            <v>B</v>
          </cell>
          <cell r="H1224">
            <v>195.24</v>
          </cell>
        </row>
        <row r="1225">
          <cell r="A1225" t="str">
            <v>1;21;BP;B;PAQ34a36</v>
          </cell>
          <cell r="B1225">
            <v>730069</v>
          </cell>
          <cell r="C1225" t="str">
            <v>BP</v>
          </cell>
          <cell r="D1225" t="str">
            <v>BALEARES PORTUGAL</v>
          </cell>
          <cell r="E1225" t="str">
            <v>21</v>
          </cell>
          <cell r="F1225" t="str">
            <v>PAQ34a36</v>
          </cell>
          <cell r="G1225" t="str">
            <v>B</v>
          </cell>
          <cell r="H1225">
            <v>205.94</v>
          </cell>
        </row>
        <row r="1226">
          <cell r="A1226" t="str">
            <v>1;21;BP;B;PAQ36a38</v>
          </cell>
          <cell r="B1226">
            <v>730069</v>
          </cell>
          <cell r="C1226" t="str">
            <v>BP</v>
          </cell>
          <cell r="D1226" t="str">
            <v>BALEARES PORTUGAL</v>
          </cell>
          <cell r="E1226" t="str">
            <v>21</v>
          </cell>
          <cell r="F1226" t="str">
            <v>PAQ36a38</v>
          </cell>
          <cell r="G1226" t="str">
            <v>B</v>
          </cell>
          <cell r="H1226">
            <v>216.63</v>
          </cell>
        </row>
        <row r="1227">
          <cell r="A1227" t="str">
            <v>1;21;BP;F;</v>
          </cell>
          <cell r="B1227">
            <v>730069</v>
          </cell>
          <cell r="C1227" t="str">
            <v>BP</v>
          </cell>
          <cell r="D1227" t="str">
            <v>BALEARES PORTUGAL</v>
          </cell>
          <cell r="E1227" t="str">
            <v>21</v>
          </cell>
          <cell r="F1227" t="str">
            <v/>
          </cell>
          <cell r="G1227" t="str">
            <v>F</v>
          </cell>
          <cell r="H1227">
            <v>10.7</v>
          </cell>
        </row>
        <row r="1228">
          <cell r="A1228" t="str">
            <v>1;21;BP;B;PAQ38a40</v>
          </cell>
          <cell r="B1228">
            <v>730069</v>
          </cell>
          <cell r="C1228" t="str">
            <v>BP</v>
          </cell>
          <cell r="D1228" t="str">
            <v>BALEARES PORTUGAL</v>
          </cell>
          <cell r="E1228" t="str">
            <v>21</v>
          </cell>
          <cell r="F1228" t="str">
            <v>PAQ38a40</v>
          </cell>
          <cell r="G1228" t="str">
            <v>B</v>
          </cell>
          <cell r="H1228">
            <v>227.33</v>
          </cell>
        </row>
        <row r="1229">
          <cell r="A1229" t="str">
            <v>1;21;BP;P;</v>
          </cell>
          <cell r="B1229">
            <v>730069</v>
          </cell>
          <cell r="C1229" t="str">
            <v>BP</v>
          </cell>
          <cell r="D1229" t="str">
            <v>BALEARES PORTUGAL</v>
          </cell>
          <cell r="E1229" t="str">
            <v>21</v>
          </cell>
          <cell r="F1229" t="str">
            <v/>
          </cell>
          <cell r="G1229" t="str">
            <v>P</v>
          </cell>
          <cell r="H1229">
            <v>0</v>
          </cell>
        </row>
        <row r="1230">
          <cell r="A1230" t="str">
            <v>1;21;BP;E;</v>
          </cell>
          <cell r="B1230">
            <v>730069</v>
          </cell>
          <cell r="C1230" t="str">
            <v>BP</v>
          </cell>
          <cell r="D1230" t="str">
            <v>BALEARES PORTUGAL</v>
          </cell>
          <cell r="E1230" t="str">
            <v>21</v>
          </cell>
          <cell r="F1230" t="str">
            <v/>
          </cell>
          <cell r="G1230" t="str">
            <v>E</v>
          </cell>
          <cell r="H1230">
            <v>0</v>
          </cell>
        </row>
        <row r="1231">
          <cell r="A1231" t="str">
            <v>1;27;BP;B;PAQ00a02</v>
          </cell>
          <cell r="B1231">
            <v>730069</v>
          </cell>
          <cell r="C1231" t="str">
            <v>BP</v>
          </cell>
          <cell r="D1231" t="str">
            <v>BALEARES PORTUGAL</v>
          </cell>
          <cell r="E1231" t="str">
            <v>27</v>
          </cell>
          <cell r="F1231" t="str">
            <v>PAQ00a02</v>
          </cell>
          <cell r="G1231" t="str">
            <v>B</v>
          </cell>
          <cell r="H1231">
            <v>16.47</v>
          </cell>
        </row>
        <row r="1232">
          <cell r="A1232" t="str">
            <v>1;27;BP;B;PAQ02a04</v>
          </cell>
          <cell r="B1232">
            <v>730069</v>
          </cell>
          <cell r="C1232" t="str">
            <v>BP</v>
          </cell>
          <cell r="D1232" t="str">
            <v>BALEARES PORTUGAL</v>
          </cell>
          <cell r="E1232" t="str">
            <v>27</v>
          </cell>
          <cell r="F1232" t="str">
            <v>PAQ02a04</v>
          </cell>
          <cell r="G1232" t="str">
            <v>B</v>
          </cell>
          <cell r="H1232">
            <v>21.74</v>
          </cell>
        </row>
        <row r="1233">
          <cell r="A1233" t="str">
            <v>1;27;BP;B;PAQ04a06</v>
          </cell>
          <cell r="B1233">
            <v>730069</v>
          </cell>
          <cell r="C1233" t="str">
            <v>BP</v>
          </cell>
          <cell r="D1233" t="str">
            <v>BALEARES PORTUGAL</v>
          </cell>
          <cell r="E1233" t="str">
            <v>27</v>
          </cell>
          <cell r="F1233" t="str">
            <v>PAQ04a06</v>
          </cell>
          <cell r="G1233" t="str">
            <v>B</v>
          </cell>
          <cell r="H1233">
            <v>27</v>
          </cell>
        </row>
        <row r="1234">
          <cell r="A1234" t="str">
            <v>1;27;BP;B;PAQ06a08</v>
          </cell>
          <cell r="B1234">
            <v>730069</v>
          </cell>
          <cell r="C1234" t="str">
            <v>BP</v>
          </cell>
          <cell r="D1234" t="str">
            <v>BALEARES PORTUGAL</v>
          </cell>
          <cell r="E1234" t="str">
            <v>27</v>
          </cell>
          <cell r="F1234" t="str">
            <v>PAQ06a08</v>
          </cell>
          <cell r="G1234" t="str">
            <v>B</v>
          </cell>
          <cell r="H1234">
            <v>32.270000000000003</v>
          </cell>
        </row>
        <row r="1235">
          <cell r="A1235" t="str">
            <v>1;27;BP;B;PAQ08a10</v>
          </cell>
          <cell r="B1235">
            <v>730069</v>
          </cell>
          <cell r="C1235" t="str">
            <v>BP</v>
          </cell>
          <cell r="D1235" t="str">
            <v>BALEARES PORTUGAL</v>
          </cell>
          <cell r="E1235" t="str">
            <v>27</v>
          </cell>
          <cell r="F1235" t="str">
            <v>PAQ08a10</v>
          </cell>
          <cell r="G1235" t="str">
            <v>B</v>
          </cell>
          <cell r="H1235">
            <v>37.54</v>
          </cell>
        </row>
        <row r="1236">
          <cell r="A1236" t="str">
            <v>1;27;BP;B;PAQ10a12</v>
          </cell>
          <cell r="B1236">
            <v>730069</v>
          </cell>
          <cell r="C1236" t="str">
            <v>BP</v>
          </cell>
          <cell r="D1236" t="str">
            <v>BALEARES PORTUGAL</v>
          </cell>
          <cell r="E1236" t="str">
            <v>27</v>
          </cell>
          <cell r="F1236" t="str">
            <v>PAQ10a12</v>
          </cell>
          <cell r="G1236" t="str">
            <v>B</v>
          </cell>
          <cell r="H1236">
            <v>42.81</v>
          </cell>
        </row>
        <row r="1237">
          <cell r="A1237" t="str">
            <v>1;27;BP;B;PAQ12a14</v>
          </cell>
          <cell r="B1237">
            <v>730069</v>
          </cell>
          <cell r="C1237" t="str">
            <v>BP</v>
          </cell>
          <cell r="D1237" t="str">
            <v>BALEARES PORTUGAL</v>
          </cell>
          <cell r="E1237" t="str">
            <v>27</v>
          </cell>
          <cell r="F1237" t="str">
            <v>PAQ12a14</v>
          </cell>
          <cell r="G1237" t="str">
            <v>B</v>
          </cell>
          <cell r="H1237">
            <v>48.08</v>
          </cell>
        </row>
        <row r="1238">
          <cell r="A1238" t="str">
            <v>1;27;BP;B;PAQ14a16</v>
          </cell>
          <cell r="B1238">
            <v>730069</v>
          </cell>
          <cell r="C1238" t="str">
            <v>BP</v>
          </cell>
          <cell r="D1238" t="str">
            <v>BALEARES PORTUGAL</v>
          </cell>
          <cell r="E1238" t="str">
            <v>27</v>
          </cell>
          <cell r="F1238" t="str">
            <v>PAQ14a16</v>
          </cell>
          <cell r="G1238" t="str">
            <v>B</v>
          </cell>
          <cell r="H1238">
            <v>53.35</v>
          </cell>
        </row>
        <row r="1239">
          <cell r="A1239" t="str">
            <v>1;27;BP;B;PAQ16a18</v>
          </cell>
          <cell r="B1239">
            <v>730069</v>
          </cell>
          <cell r="C1239" t="str">
            <v>BP</v>
          </cell>
          <cell r="D1239" t="str">
            <v>BALEARES PORTUGAL</v>
          </cell>
          <cell r="E1239" t="str">
            <v>27</v>
          </cell>
          <cell r="F1239" t="str">
            <v>PAQ16a18</v>
          </cell>
          <cell r="G1239" t="str">
            <v>B</v>
          </cell>
          <cell r="H1239">
            <v>58.62</v>
          </cell>
        </row>
        <row r="1240">
          <cell r="A1240" t="str">
            <v>1;27;BP;B;PAQ18a20</v>
          </cell>
          <cell r="B1240">
            <v>730069</v>
          </cell>
          <cell r="C1240" t="str">
            <v>BP</v>
          </cell>
          <cell r="D1240" t="str">
            <v>BALEARES PORTUGAL</v>
          </cell>
          <cell r="E1240" t="str">
            <v>27</v>
          </cell>
          <cell r="F1240" t="str">
            <v>PAQ18a20</v>
          </cell>
          <cell r="G1240" t="str">
            <v>B</v>
          </cell>
          <cell r="H1240">
            <v>63.89</v>
          </cell>
        </row>
        <row r="1241">
          <cell r="A1241" t="str">
            <v>1;27;BP;B;PAQ20a22</v>
          </cell>
          <cell r="B1241">
            <v>730069</v>
          </cell>
          <cell r="C1241" t="str">
            <v>BP</v>
          </cell>
          <cell r="D1241" t="str">
            <v>BALEARES PORTUGAL</v>
          </cell>
          <cell r="E1241" t="str">
            <v>27</v>
          </cell>
          <cell r="F1241" t="str">
            <v>PAQ20a22</v>
          </cell>
          <cell r="G1241" t="str">
            <v>B</v>
          </cell>
          <cell r="H1241">
            <v>69.16</v>
          </cell>
        </row>
        <row r="1242">
          <cell r="A1242" t="str">
            <v>1;27;BP;B;PAQ22a24</v>
          </cell>
          <cell r="B1242">
            <v>730069</v>
          </cell>
          <cell r="C1242" t="str">
            <v>BP</v>
          </cell>
          <cell r="D1242" t="str">
            <v>BALEARES PORTUGAL</v>
          </cell>
          <cell r="E1242" t="str">
            <v>27</v>
          </cell>
          <cell r="F1242" t="str">
            <v>PAQ22a24</v>
          </cell>
          <cell r="G1242" t="str">
            <v>B</v>
          </cell>
          <cell r="H1242">
            <v>74.430000000000007</v>
          </cell>
        </row>
        <row r="1243">
          <cell r="A1243" t="str">
            <v>1;27;BP;B;PAQ24a26</v>
          </cell>
          <cell r="B1243">
            <v>730069</v>
          </cell>
          <cell r="C1243" t="str">
            <v>BP</v>
          </cell>
          <cell r="D1243" t="str">
            <v>BALEARES PORTUGAL</v>
          </cell>
          <cell r="E1243" t="str">
            <v>27</v>
          </cell>
          <cell r="F1243" t="str">
            <v>PAQ24a26</v>
          </cell>
          <cell r="G1243" t="str">
            <v>B</v>
          </cell>
          <cell r="H1243">
            <v>79.7</v>
          </cell>
        </row>
        <row r="1244">
          <cell r="A1244" t="str">
            <v>1;27;BP;B;PAQ26a28</v>
          </cell>
          <cell r="B1244">
            <v>730069</v>
          </cell>
          <cell r="C1244" t="str">
            <v>BP</v>
          </cell>
          <cell r="D1244" t="str">
            <v>BALEARES PORTUGAL</v>
          </cell>
          <cell r="E1244" t="str">
            <v>27</v>
          </cell>
          <cell r="F1244" t="str">
            <v>PAQ26a28</v>
          </cell>
          <cell r="G1244" t="str">
            <v>B</v>
          </cell>
          <cell r="H1244">
            <v>84.97</v>
          </cell>
        </row>
        <row r="1245">
          <cell r="A1245" t="str">
            <v>1;27;BP;B;PAQ28a30</v>
          </cell>
          <cell r="B1245">
            <v>730069</v>
          </cell>
          <cell r="C1245" t="str">
            <v>BP</v>
          </cell>
          <cell r="D1245" t="str">
            <v>BALEARES PORTUGAL</v>
          </cell>
          <cell r="E1245" t="str">
            <v>27</v>
          </cell>
          <cell r="F1245" t="str">
            <v>PAQ28a30</v>
          </cell>
          <cell r="G1245" t="str">
            <v>B</v>
          </cell>
          <cell r="H1245">
            <v>90.24</v>
          </cell>
        </row>
        <row r="1246">
          <cell r="A1246" t="str">
            <v>1;27;BP;B;PAQ30a32</v>
          </cell>
          <cell r="B1246">
            <v>730069</v>
          </cell>
          <cell r="C1246" t="str">
            <v>BP</v>
          </cell>
          <cell r="D1246" t="str">
            <v>BALEARES PORTUGAL</v>
          </cell>
          <cell r="E1246" t="str">
            <v>27</v>
          </cell>
          <cell r="F1246" t="str">
            <v>PAQ30a32</v>
          </cell>
          <cell r="G1246" t="str">
            <v>B</v>
          </cell>
          <cell r="H1246">
            <v>95.51</v>
          </cell>
        </row>
        <row r="1247">
          <cell r="A1247" t="str">
            <v>1;27;BP;B;PAQ32a34</v>
          </cell>
          <cell r="B1247">
            <v>730069</v>
          </cell>
          <cell r="C1247" t="str">
            <v>BP</v>
          </cell>
          <cell r="D1247" t="str">
            <v>BALEARES PORTUGAL</v>
          </cell>
          <cell r="E1247" t="str">
            <v>27</v>
          </cell>
          <cell r="F1247" t="str">
            <v>PAQ32a34</v>
          </cell>
          <cell r="G1247" t="str">
            <v>B</v>
          </cell>
          <cell r="H1247">
            <v>100.78</v>
          </cell>
        </row>
        <row r="1248">
          <cell r="A1248" t="str">
            <v>1;27;BP;B;PAQ34a36</v>
          </cell>
          <cell r="B1248">
            <v>730069</v>
          </cell>
          <cell r="C1248" t="str">
            <v>BP</v>
          </cell>
          <cell r="D1248" t="str">
            <v>BALEARES PORTUGAL</v>
          </cell>
          <cell r="E1248" t="str">
            <v>27</v>
          </cell>
          <cell r="F1248" t="str">
            <v>PAQ34a36</v>
          </cell>
          <cell r="G1248" t="str">
            <v>B</v>
          </cell>
          <cell r="H1248">
            <v>106.05</v>
          </cell>
        </row>
        <row r="1249">
          <cell r="A1249" t="str">
            <v>1;27;BP;B;PAQ36a38</v>
          </cell>
          <cell r="B1249">
            <v>730069</v>
          </cell>
          <cell r="C1249" t="str">
            <v>BP</v>
          </cell>
          <cell r="D1249" t="str">
            <v>BALEARES PORTUGAL</v>
          </cell>
          <cell r="E1249" t="str">
            <v>27</v>
          </cell>
          <cell r="F1249" t="str">
            <v>PAQ36a38</v>
          </cell>
          <cell r="G1249" t="str">
            <v>B</v>
          </cell>
          <cell r="H1249">
            <v>111.32</v>
          </cell>
        </row>
        <row r="1250">
          <cell r="A1250" t="str">
            <v>1;27;BP;B;PAQ38a40</v>
          </cell>
          <cell r="B1250">
            <v>730069</v>
          </cell>
          <cell r="C1250" t="str">
            <v>BP</v>
          </cell>
          <cell r="D1250" t="str">
            <v>BALEARES PORTUGAL</v>
          </cell>
          <cell r="E1250" t="str">
            <v>27</v>
          </cell>
          <cell r="F1250" t="str">
            <v>PAQ38a40</v>
          </cell>
          <cell r="G1250" t="str">
            <v>B</v>
          </cell>
          <cell r="H1250">
            <v>116.59</v>
          </cell>
        </row>
        <row r="1251">
          <cell r="A1251" t="str">
            <v>1;27;BP;F;</v>
          </cell>
          <cell r="B1251">
            <v>730069</v>
          </cell>
          <cell r="C1251" t="str">
            <v>BP</v>
          </cell>
          <cell r="D1251" t="str">
            <v>BALEARES PORTUGAL</v>
          </cell>
          <cell r="E1251" t="str">
            <v>27</v>
          </cell>
          <cell r="F1251" t="str">
            <v/>
          </cell>
          <cell r="G1251" t="str">
            <v>F</v>
          </cell>
          <cell r="H1251">
            <v>5.27</v>
          </cell>
        </row>
        <row r="1252">
          <cell r="A1252" t="str">
            <v>1;27;BP;P;</v>
          </cell>
          <cell r="B1252">
            <v>730069</v>
          </cell>
          <cell r="C1252" t="str">
            <v>BP</v>
          </cell>
          <cell r="D1252" t="str">
            <v>BALEARES PORTUGAL</v>
          </cell>
          <cell r="E1252" t="str">
            <v>27</v>
          </cell>
          <cell r="F1252" t="str">
            <v/>
          </cell>
          <cell r="G1252" t="str">
            <v>P</v>
          </cell>
          <cell r="H1252">
            <v>0</v>
          </cell>
        </row>
        <row r="1253">
          <cell r="A1253" t="str">
            <v>1;27;BP;E;</v>
          </cell>
          <cell r="B1253">
            <v>730069</v>
          </cell>
          <cell r="C1253" t="str">
            <v>BP</v>
          </cell>
          <cell r="D1253" t="str">
            <v>BALEARES PORTUGAL</v>
          </cell>
          <cell r="E1253" t="str">
            <v>27</v>
          </cell>
          <cell r="F1253" t="str">
            <v/>
          </cell>
          <cell r="G1253" t="str">
            <v>E</v>
          </cell>
          <cell r="H1253">
            <v>0</v>
          </cell>
        </row>
        <row r="1254">
          <cell r="A1254" t="str">
            <v>1;31;BP;B;PAQ00a02</v>
          </cell>
          <cell r="B1254">
            <v>730069</v>
          </cell>
          <cell r="C1254" t="str">
            <v>BP</v>
          </cell>
          <cell r="D1254" t="str">
            <v>BALEARES PORTUGAL</v>
          </cell>
          <cell r="E1254" t="str">
            <v>31</v>
          </cell>
          <cell r="F1254" t="str">
            <v>PAQ00a02</v>
          </cell>
          <cell r="G1254" t="str">
            <v>B</v>
          </cell>
          <cell r="H1254">
            <v>14.91</v>
          </cell>
        </row>
        <row r="1255">
          <cell r="A1255" t="str">
            <v>1;31;BP;B;PAQ02a04</v>
          </cell>
          <cell r="B1255">
            <v>730069</v>
          </cell>
          <cell r="C1255" t="str">
            <v>BP</v>
          </cell>
          <cell r="D1255" t="str">
            <v>BALEARES PORTUGAL</v>
          </cell>
          <cell r="E1255" t="str">
            <v>31</v>
          </cell>
          <cell r="F1255" t="str">
            <v>PAQ02a04</v>
          </cell>
          <cell r="G1255" t="str">
            <v>B</v>
          </cell>
          <cell r="H1255">
            <v>19.649999999999999</v>
          </cell>
        </row>
        <row r="1256">
          <cell r="A1256" t="str">
            <v>1;31;BP;B;PAQ04a06</v>
          </cell>
          <cell r="B1256">
            <v>730069</v>
          </cell>
          <cell r="C1256" t="str">
            <v>BP</v>
          </cell>
          <cell r="D1256" t="str">
            <v>BALEARES PORTUGAL</v>
          </cell>
          <cell r="E1256" t="str">
            <v>31</v>
          </cell>
          <cell r="F1256" t="str">
            <v>PAQ04a06</v>
          </cell>
          <cell r="G1256" t="str">
            <v>B</v>
          </cell>
          <cell r="H1256">
            <v>24.42</v>
          </cell>
        </row>
        <row r="1257">
          <cell r="A1257" t="str">
            <v>1;31;BP;B;PAQ06a08</v>
          </cell>
          <cell r="B1257">
            <v>730069</v>
          </cell>
          <cell r="C1257" t="str">
            <v>BP</v>
          </cell>
          <cell r="D1257" t="str">
            <v>BALEARES PORTUGAL</v>
          </cell>
          <cell r="E1257" t="str">
            <v>31</v>
          </cell>
          <cell r="F1257" t="str">
            <v>PAQ06a08</v>
          </cell>
          <cell r="G1257" t="str">
            <v>B</v>
          </cell>
          <cell r="H1257">
            <v>29.19</v>
          </cell>
        </row>
        <row r="1258">
          <cell r="A1258" t="str">
            <v>1;31;BP;B;PAQ08a10</v>
          </cell>
          <cell r="B1258">
            <v>730069</v>
          </cell>
          <cell r="C1258" t="str">
            <v>BP</v>
          </cell>
          <cell r="D1258" t="str">
            <v>BALEARES PORTUGAL</v>
          </cell>
          <cell r="E1258" t="str">
            <v>31</v>
          </cell>
          <cell r="F1258" t="str">
            <v>PAQ08a10</v>
          </cell>
          <cell r="G1258" t="str">
            <v>B</v>
          </cell>
          <cell r="H1258">
            <v>33.96</v>
          </cell>
        </row>
        <row r="1259">
          <cell r="A1259" t="str">
            <v>1;31;BP;B;PAQ10a12</v>
          </cell>
          <cell r="B1259">
            <v>730069</v>
          </cell>
          <cell r="C1259" t="str">
            <v>BP</v>
          </cell>
          <cell r="D1259" t="str">
            <v>BALEARES PORTUGAL</v>
          </cell>
          <cell r="E1259" t="str">
            <v>31</v>
          </cell>
          <cell r="F1259" t="str">
            <v>PAQ10a12</v>
          </cell>
          <cell r="G1259" t="str">
            <v>B</v>
          </cell>
          <cell r="H1259">
            <v>38.729999999999997</v>
          </cell>
        </row>
        <row r="1260">
          <cell r="A1260" t="str">
            <v>1;31;BP;B;PAQ12a14</v>
          </cell>
          <cell r="B1260">
            <v>730069</v>
          </cell>
          <cell r="C1260" t="str">
            <v>BP</v>
          </cell>
          <cell r="D1260" t="str">
            <v>BALEARES PORTUGAL</v>
          </cell>
          <cell r="E1260" t="str">
            <v>31</v>
          </cell>
          <cell r="F1260" t="str">
            <v>PAQ12a14</v>
          </cell>
          <cell r="G1260" t="str">
            <v>B</v>
          </cell>
          <cell r="H1260">
            <v>43.48</v>
          </cell>
        </row>
        <row r="1261">
          <cell r="A1261" t="str">
            <v>1;31;BP;B;PAQ14a16</v>
          </cell>
          <cell r="B1261">
            <v>730069</v>
          </cell>
          <cell r="C1261" t="str">
            <v>BP</v>
          </cell>
          <cell r="D1261" t="str">
            <v>BALEARES PORTUGAL</v>
          </cell>
          <cell r="E1261" t="str">
            <v>31</v>
          </cell>
          <cell r="F1261" t="str">
            <v>PAQ14a16</v>
          </cell>
          <cell r="G1261" t="str">
            <v>B</v>
          </cell>
          <cell r="H1261">
            <v>48.26</v>
          </cell>
        </row>
        <row r="1262">
          <cell r="A1262" t="str">
            <v>1;31;BP;B;PAQ16a18</v>
          </cell>
          <cell r="B1262">
            <v>730069</v>
          </cell>
          <cell r="C1262" t="str">
            <v>BP</v>
          </cell>
          <cell r="D1262" t="str">
            <v>BALEARES PORTUGAL</v>
          </cell>
          <cell r="E1262" t="str">
            <v>31</v>
          </cell>
          <cell r="F1262" t="str">
            <v>PAQ16a18</v>
          </cell>
          <cell r="G1262" t="str">
            <v>B</v>
          </cell>
          <cell r="H1262">
            <v>53.01</v>
          </cell>
        </row>
        <row r="1263">
          <cell r="A1263" t="str">
            <v>1;31;BP;B;PAQ18a20</v>
          </cell>
          <cell r="B1263">
            <v>730069</v>
          </cell>
          <cell r="C1263" t="str">
            <v>BP</v>
          </cell>
          <cell r="D1263" t="str">
            <v>BALEARES PORTUGAL</v>
          </cell>
          <cell r="E1263" t="str">
            <v>31</v>
          </cell>
          <cell r="F1263" t="str">
            <v>PAQ18a20</v>
          </cell>
          <cell r="G1263" t="str">
            <v>B</v>
          </cell>
          <cell r="H1263">
            <v>57.79</v>
          </cell>
        </row>
        <row r="1264">
          <cell r="A1264" t="str">
            <v>1;33;BP;B;PAQ00a02</v>
          </cell>
          <cell r="B1264">
            <v>730069</v>
          </cell>
          <cell r="C1264" t="str">
            <v>BP</v>
          </cell>
          <cell r="D1264" t="str">
            <v>BALEARES PORTUGAL</v>
          </cell>
          <cell r="E1264" t="str">
            <v>33</v>
          </cell>
          <cell r="F1264" t="str">
            <v>PAQ00a02</v>
          </cell>
          <cell r="G1264" t="str">
            <v>B</v>
          </cell>
          <cell r="H1264">
            <v>24.71</v>
          </cell>
        </row>
        <row r="1265">
          <cell r="A1265" t="str">
            <v>1;33;BP;B;PAQ02a04</v>
          </cell>
          <cell r="B1265">
            <v>730069</v>
          </cell>
          <cell r="C1265" t="str">
            <v>BP</v>
          </cell>
          <cell r="D1265" t="str">
            <v>BALEARES PORTUGAL</v>
          </cell>
          <cell r="E1265" t="str">
            <v>33</v>
          </cell>
          <cell r="F1265" t="str">
            <v>PAQ02a04</v>
          </cell>
          <cell r="G1265" t="str">
            <v>B</v>
          </cell>
          <cell r="H1265">
            <v>32.61</v>
          </cell>
        </row>
        <row r="1266">
          <cell r="A1266" t="str">
            <v>1;33;BP;B;PAQ04a06</v>
          </cell>
          <cell r="B1266">
            <v>730069</v>
          </cell>
          <cell r="C1266" t="str">
            <v>BP</v>
          </cell>
          <cell r="D1266" t="str">
            <v>BALEARES PORTUGAL</v>
          </cell>
          <cell r="E1266" t="str">
            <v>33</v>
          </cell>
          <cell r="F1266" t="str">
            <v>PAQ04a06</v>
          </cell>
          <cell r="G1266" t="str">
            <v>B</v>
          </cell>
          <cell r="H1266">
            <v>40.520000000000003</v>
          </cell>
        </row>
        <row r="1267">
          <cell r="A1267" t="str">
            <v>1;33;BP;B;PAQ06a08</v>
          </cell>
          <cell r="B1267">
            <v>730069</v>
          </cell>
          <cell r="C1267" t="str">
            <v>BP</v>
          </cell>
          <cell r="D1267" t="str">
            <v>BALEARES PORTUGAL</v>
          </cell>
          <cell r="E1267" t="str">
            <v>33</v>
          </cell>
          <cell r="F1267" t="str">
            <v>PAQ06a08</v>
          </cell>
          <cell r="G1267" t="str">
            <v>B</v>
          </cell>
          <cell r="H1267">
            <v>48.43</v>
          </cell>
        </row>
        <row r="1268">
          <cell r="A1268" t="str">
            <v>1;33;BP;B;PAQ08a10</v>
          </cell>
          <cell r="B1268">
            <v>730069</v>
          </cell>
          <cell r="C1268" t="str">
            <v>BP</v>
          </cell>
          <cell r="D1268" t="str">
            <v>BALEARES PORTUGAL</v>
          </cell>
          <cell r="E1268" t="str">
            <v>33</v>
          </cell>
          <cell r="F1268" t="str">
            <v>PAQ08a10</v>
          </cell>
          <cell r="G1268" t="str">
            <v>B</v>
          </cell>
          <cell r="H1268">
            <v>56.32</v>
          </cell>
        </row>
        <row r="1269">
          <cell r="A1269" t="str">
            <v>1;33;BP;B;PAQ10a12</v>
          </cell>
          <cell r="B1269">
            <v>730069</v>
          </cell>
          <cell r="C1269" t="str">
            <v>BP</v>
          </cell>
          <cell r="D1269" t="str">
            <v>BALEARES PORTUGAL</v>
          </cell>
          <cell r="E1269" t="str">
            <v>33</v>
          </cell>
          <cell r="F1269" t="str">
            <v>PAQ10a12</v>
          </cell>
          <cell r="G1269" t="str">
            <v>B</v>
          </cell>
          <cell r="H1269">
            <v>64.23</v>
          </cell>
        </row>
        <row r="1270">
          <cell r="A1270" t="str">
            <v>1;33;BP;B;PAQ12a14</v>
          </cell>
          <cell r="B1270">
            <v>730069</v>
          </cell>
          <cell r="C1270" t="str">
            <v>BP</v>
          </cell>
          <cell r="D1270" t="str">
            <v>BALEARES PORTUGAL</v>
          </cell>
          <cell r="E1270" t="str">
            <v>33</v>
          </cell>
          <cell r="F1270" t="str">
            <v>PAQ12a14</v>
          </cell>
          <cell r="G1270" t="str">
            <v>B</v>
          </cell>
          <cell r="H1270">
            <v>72.14</v>
          </cell>
        </row>
        <row r="1271">
          <cell r="A1271" t="str">
            <v>1;33;BP;B;PAQ14a16</v>
          </cell>
          <cell r="B1271">
            <v>730069</v>
          </cell>
          <cell r="C1271" t="str">
            <v>BP</v>
          </cell>
          <cell r="D1271" t="str">
            <v>BALEARES PORTUGAL</v>
          </cell>
          <cell r="E1271" t="str">
            <v>33</v>
          </cell>
          <cell r="F1271" t="str">
            <v>PAQ14a16</v>
          </cell>
          <cell r="G1271" t="str">
            <v>B</v>
          </cell>
          <cell r="H1271">
            <v>80.040000000000006</v>
          </cell>
        </row>
        <row r="1272">
          <cell r="A1272" t="str">
            <v>1;33;BP;B;PAQ16a18</v>
          </cell>
          <cell r="B1272">
            <v>730069</v>
          </cell>
          <cell r="C1272" t="str">
            <v>BP</v>
          </cell>
          <cell r="D1272" t="str">
            <v>BALEARES PORTUGAL</v>
          </cell>
          <cell r="E1272" t="str">
            <v>33</v>
          </cell>
          <cell r="F1272" t="str">
            <v>PAQ16a18</v>
          </cell>
          <cell r="G1272" t="str">
            <v>B</v>
          </cell>
          <cell r="H1272">
            <v>87.95</v>
          </cell>
        </row>
        <row r="1273">
          <cell r="A1273" t="str">
            <v>1;33;BP;B;PAQ18a20</v>
          </cell>
          <cell r="B1273">
            <v>730069</v>
          </cell>
          <cell r="C1273" t="str">
            <v>BP</v>
          </cell>
          <cell r="D1273" t="str">
            <v>BALEARES PORTUGAL</v>
          </cell>
          <cell r="E1273" t="str">
            <v>33</v>
          </cell>
          <cell r="F1273" t="str">
            <v>PAQ18a20</v>
          </cell>
          <cell r="G1273" t="str">
            <v>B</v>
          </cell>
          <cell r="H1273">
            <v>95.85</v>
          </cell>
        </row>
        <row r="1274">
          <cell r="A1274" t="str">
            <v>1;33;BP;B;PAQ20a22</v>
          </cell>
          <cell r="B1274">
            <v>730069</v>
          </cell>
          <cell r="C1274" t="str">
            <v>BP</v>
          </cell>
          <cell r="D1274" t="str">
            <v>BALEARES PORTUGAL</v>
          </cell>
          <cell r="E1274" t="str">
            <v>33</v>
          </cell>
          <cell r="F1274" t="str">
            <v>PAQ20a22</v>
          </cell>
          <cell r="G1274" t="str">
            <v>B</v>
          </cell>
          <cell r="H1274">
            <v>103.76</v>
          </cell>
        </row>
        <row r="1275">
          <cell r="A1275" t="str">
            <v>1;33;BP;B;PAQ22a24</v>
          </cell>
          <cell r="B1275">
            <v>730069</v>
          </cell>
          <cell r="C1275" t="str">
            <v>BP</v>
          </cell>
          <cell r="D1275" t="str">
            <v>BALEARES PORTUGAL</v>
          </cell>
          <cell r="E1275" t="str">
            <v>33</v>
          </cell>
          <cell r="F1275" t="str">
            <v>PAQ22a24</v>
          </cell>
          <cell r="G1275" t="str">
            <v>B</v>
          </cell>
          <cell r="H1275">
            <v>111.66</v>
          </cell>
        </row>
        <row r="1276">
          <cell r="A1276" t="str">
            <v>1;33;BP;B;PAQ24a26</v>
          </cell>
          <cell r="B1276">
            <v>730069</v>
          </cell>
          <cell r="C1276" t="str">
            <v>BP</v>
          </cell>
          <cell r="D1276" t="str">
            <v>BALEARES PORTUGAL</v>
          </cell>
          <cell r="E1276" t="str">
            <v>33</v>
          </cell>
          <cell r="F1276" t="str">
            <v>PAQ24a26</v>
          </cell>
          <cell r="G1276" t="str">
            <v>B</v>
          </cell>
          <cell r="H1276">
            <v>119.56</v>
          </cell>
        </row>
        <row r="1277">
          <cell r="A1277" t="str">
            <v>1;33;BP;B;PAQ26a28</v>
          </cell>
          <cell r="B1277">
            <v>730069</v>
          </cell>
          <cell r="C1277" t="str">
            <v>BP</v>
          </cell>
          <cell r="D1277" t="str">
            <v>BALEARES PORTUGAL</v>
          </cell>
          <cell r="E1277" t="str">
            <v>33</v>
          </cell>
          <cell r="F1277" t="str">
            <v>PAQ26a28</v>
          </cell>
          <cell r="G1277" t="str">
            <v>B</v>
          </cell>
          <cell r="H1277">
            <v>127.47</v>
          </cell>
        </row>
        <row r="1278">
          <cell r="A1278" t="str">
            <v>1;33;BP;B;PAQ28a30</v>
          </cell>
          <cell r="B1278">
            <v>730069</v>
          </cell>
          <cell r="C1278" t="str">
            <v>BP</v>
          </cell>
          <cell r="D1278" t="str">
            <v>BALEARES PORTUGAL</v>
          </cell>
          <cell r="E1278" t="str">
            <v>33</v>
          </cell>
          <cell r="F1278" t="str">
            <v>PAQ28a30</v>
          </cell>
          <cell r="G1278" t="str">
            <v>B</v>
          </cell>
          <cell r="H1278">
            <v>135.38</v>
          </cell>
        </row>
        <row r="1279">
          <cell r="A1279" t="str">
            <v>1;33;BP;B;PAQ30a32</v>
          </cell>
          <cell r="B1279">
            <v>730069</v>
          </cell>
          <cell r="C1279" t="str">
            <v>BP</v>
          </cell>
          <cell r="D1279" t="str">
            <v>BALEARES PORTUGAL</v>
          </cell>
          <cell r="E1279" t="str">
            <v>33</v>
          </cell>
          <cell r="F1279" t="str">
            <v>PAQ30a32</v>
          </cell>
          <cell r="G1279" t="str">
            <v>B</v>
          </cell>
          <cell r="H1279">
            <v>143.28</v>
          </cell>
        </row>
        <row r="1280">
          <cell r="A1280" t="str">
            <v>1;33;BP;B;PAQ32a34</v>
          </cell>
          <cell r="B1280">
            <v>730069</v>
          </cell>
          <cell r="C1280" t="str">
            <v>BP</v>
          </cell>
          <cell r="D1280" t="str">
            <v>BALEARES PORTUGAL</v>
          </cell>
          <cell r="E1280" t="str">
            <v>33</v>
          </cell>
          <cell r="F1280" t="str">
            <v>PAQ32a34</v>
          </cell>
          <cell r="G1280" t="str">
            <v>B</v>
          </cell>
          <cell r="H1280">
            <v>151.19</v>
          </cell>
        </row>
        <row r="1281">
          <cell r="A1281" t="str">
            <v>1;33;BP;B;PAQ34a36</v>
          </cell>
          <cell r="B1281">
            <v>730069</v>
          </cell>
          <cell r="C1281" t="str">
            <v>BP</v>
          </cell>
          <cell r="D1281" t="str">
            <v>BALEARES PORTUGAL</v>
          </cell>
          <cell r="E1281" t="str">
            <v>33</v>
          </cell>
          <cell r="F1281" t="str">
            <v>PAQ34a36</v>
          </cell>
          <cell r="G1281" t="str">
            <v>B</v>
          </cell>
          <cell r="H1281">
            <v>159.1</v>
          </cell>
        </row>
        <row r="1282">
          <cell r="A1282" t="str">
            <v>1;33;BP;B;PAQ36a38</v>
          </cell>
          <cell r="B1282">
            <v>730069</v>
          </cell>
          <cell r="C1282" t="str">
            <v>BP</v>
          </cell>
          <cell r="D1282" t="str">
            <v>BALEARES PORTUGAL</v>
          </cell>
          <cell r="E1282" t="str">
            <v>33</v>
          </cell>
          <cell r="F1282" t="str">
            <v>PAQ36a38</v>
          </cell>
          <cell r="G1282" t="str">
            <v>B</v>
          </cell>
          <cell r="H1282">
            <v>166.99</v>
          </cell>
        </row>
        <row r="1283">
          <cell r="A1283" t="str">
            <v>1;33;BP;B;PAQ38a40</v>
          </cell>
          <cell r="B1283">
            <v>730069</v>
          </cell>
          <cell r="C1283" t="str">
            <v>BP</v>
          </cell>
          <cell r="D1283" t="str">
            <v>BALEARES PORTUGAL</v>
          </cell>
          <cell r="E1283" t="str">
            <v>33</v>
          </cell>
          <cell r="F1283" t="str">
            <v>PAQ38a40</v>
          </cell>
          <cell r="G1283" t="str">
            <v>B</v>
          </cell>
          <cell r="H1283">
            <v>174.9</v>
          </cell>
        </row>
        <row r="1284">
          <cell r="A1284" t="str">
            <v>1;33;BP;F;</v>
          </cell>
          <cell r="B1284">
            <v>730069</v>
          </cell>
          <cell r="C1284" t="str">
            <v>BP</v>
          </cell>
          <cell r="D1284" t="str">
            <v>BALEARES PORTUGAL</v>
          </cell>
          <cell r="E1284" t="str">
            <v>33</v>
          </cell>
          <cell r="F1284" t="str">
            <v/>
          </cell>
          <cell r="G1284" t="str">
            <v>F</v>
          </cell>
          <cell r="H1284">
            <v>7.91</v>
          </cell>
        </row>
        <row r="1285">
          <cell r="A1285" t="str">
            <v>1;33;BP;P;</v>
          </cell>
          <cell r="B1285">
            <v>730069</v>
          </cell>
          <cell r="C1285" t="str">
            <v>BP</v>
          </cell>
          <cell r="D1285" t="str">
            <v>BALEARES PORTUGAL</v>
          </cell>
          <cell r="E1285" t="str">
            <v>33</v>
          </cell>
          <cell r="F1285" t="str">
            <v/>
          </cell>
          <cell r="G1285" t="str">
            <v>P</v>
          </cell>
          <cell r="H1285">
            <v>0</v>
          </cell>
        </row>
        <row r="1286">
          <cell r="A1286" t="str">
            <v>1;33;BP;E;</v>
          </cell>
          <cell r="B1286">
            <v>730069</v>
          </cell>
          <cell r="C1286" t="str">
            <v>BP</v>
          </cell>
          <cell r="D1286" t="str">
            <v>BALEARES PORTUGAL</v>
          </cell>
          <cell r="E1286" t="str">
            <v>33</v>
          </cell>
          <cell r="F1286" t="str">
            <v/>
          </cell>
          <cell r="G1286" t="str">
            <v>E</v>
          </cell>
          <cell r="H1286">
            <v>0</v>
          </cell>
        </row>
        <row r="1287">
          <cell r="A1287" t="str">
            <v>1;60;BP;B;BAG</v>
          </cell>
          <cell r="B1287">
            <v>730069</v>
          </cell>
          <cell r="C1287" t="str">
            <v>BP</v>
          </cell>
          <cell r="D1287" t="str">
            <v>BALEARES PORTUGAL</v>
          </cell>
          <cell r="E1287" t="str">
            <v>60</v>
          </cell>
          <cell r="F1287" t="str">
            <v>BAG</v>
          </cell>
          <cell r="G1287" t="str">
            <v>B</v>
          </cell>
          <cell r="H1287">
            <v>32.33</v>
          </cell>
        </row>
        <row r="1288">
          <cell r="A1288" t="str">
            <v>1;60;BP;B;PAQ00a02</v>
          </cell>
          <cell r="B1288">
            <v>730069</v>
          </cell>
          <cell r="C1288" t="str">
            <v>BP</v>
          </cell>
          <cell r="D1288" t="str">
            <v>BALEARES PORTUGAL</v>
          </cell>
          <cell r="E1288" t="str">
            <v>60</v>
          </cell>
          <cell r="F1288" t="str">
            <v>PAQ00a02</v>
          </cell>
          <cell r="G1288" t="str">
            <v>B</v>
          </cell>
          <cell r="H1288">
            <v>37.03</v>
          </cell>
        </row>
        <row r="1289">
          <cell r="A1289" t="str">
            <v>1;60;BP;B;PAQ02a04</v>
          </cell>
          <cell r="B1289">
            <v>730069</v>
          </cell>
          <cell r="C1289" t="str">
            <v>BP</v>
          </cell>
          <cell r="D1289" t="str">
            <v>BALEARES PORTUGAL</v>
          </cell>
          <cell r="E1289" t="str">
            <v>60</v>
          </cell>
          <cell r="F1289" t="str">
            <v>PAQ02a04</v>
          </cell>
          <cell r="G1289" t="str">
            <v>B</v>
          </cell>
          <cell r="H1289">
            <v>54.97</v>
          </cell>
        </row>
        <row r="1290">
          <cell r="A1290" t="str">
            <v>1;60;BP;B;PAQ04a06</v>
          </cell>
          <cell r="B1290">
            <v>730069</v>
          </cell>
          <cell r="C1290" t="str">
            <v>BP</v>
          </cell>
          <cell r="D1290" t="str">
            <v>BALEARES PORTUGAL</v>
          </cell>
          <cell r="E1290" t="str">
            <v>60</v>
          </cell>
          <cell r="F1290" t="str">
            <v>PAQ04a06</v>
          </cell>
          <cell r="G1290" t="str">
            <v>B</v>
          </cell>
          <cell r="H1290">
            <v>74.98</v>
          </cell>
        </row>
        <row r="1291">
          <cell r="A1291" t="str">
            <v>1;60;BP;B;PAQ06a08</v>
          </cell>
          <cell r="B1291">
            <v>730069</v>
          </cell>
          <cell r="C1291" t="str">
            <v>BP</v>
          </cell>
          <cell r="D1291" t="str">
            <v>BALEARES PORTUGAL</v>
          </cell>
          <cell r="E1291" t="str">
            <v>60</v>
          </cell>
          <cell r="F1291" t="str">
            <v>PAQ06a08</v>
          </cell>
          <cell r="G1291" t="str">
            <v>B</v>
          </cell>
          <cell r="H1291">
            <v>94.99</v>
          </cell>
        </row>
        <row r="1292">
          <cell r="A1292" t="str">
            <v>1;60;BP;B;PAQ08a10</v>
          </cell>
          <cell r="B1292">
            <v>730069</v>
          </cell>
          <cell r="C1292" t="str">
            <v>BP</v>
          </cell>
          <cell r="D1292" t="str">
            <v>BALEARES PORTUGAL</v>
          </cell>
          <cell r="E1292" t="str">
            <v>60</v>
          </cell>
          <cell r="F1292" t="str">
            <v>PAQ08a10</v>
          </cell>
          <cell r="G1292" t="str">
            <v>B</v>
          </cell>
          <cell r="H1292">
            <v>115.01</v>
          </cell>
        </row>
        <row r="1293">
          <cell r="A1293" t="str">
            <v>1;60;BP;B;PAQ10a12</v>
          </cell>
          <cell r="B1293">
            <v>730069</v>
          </cell>
          <cell r="C1293" t="str">
            <v>BP</v>
          </cell>
          <cell r="D1293" t="str">
            <v>BALEARES PORTUGAL</v>
          </cell>
          <cell r="E1293" t="str">
            <v>60</v>
          </cell>
          <cell r="F1293" t="str">
            <v>PAQ10a12</v>
          </cell>
          <cell r="G1293" t="str">
            <v>B</v>
          </cell>
          <cell r="H1293">
            <v>135.01</v>
          </cell>
        </row>
        <row r="1294">
          <cell r="A1294" t="str">
            <v>1;60;BP;B;PAQ12a14</v>
          </cell>
          <cell r="B1294">
            <v>730069</v>
          </cell>
          <cell r="C1294" t="str">
            <v>BP</v>
          </cell>
          <cell r="D1294" t="str">
            <v>BALEARES PORTUGAL</v>
          </cell>
          <cell r="E1294" t="str">
            <v>60</v>
          </cell>
          <cell r="F1294" t="str">
            <v>PAQ12a14</v>
          </cell>
          <cell r="G1294" t="str">
            <v>B</v>
          </cell>
          <cell r="H1294">
            <v>155.02000000000001</v>
          </cell>
        </row>
        <row r="1295">
          <cell r="A1295" t="str">
            <v>1;60;BP;B;PAQ14a16</v>
          </cell>
          <cell r="B1295">
            <v>730069</v>
          </cell>
          <cell r="C1295" t="str">
            <v>BP</v>
          </cell>
          <cell r="D1295" t="str">
            <v>BALEARES PORTUGAL</v>
          </cell>
          <cell r="E1295" t="str">
            <v>60</v>
          </cell>
          <cell r="F1295" t="str">
            <v>PAQ14a16</v>
          </cell>
          <cell r="G1295" t="str">
            <v>B</v>
          </cell>
          <cell r="H1295">
            <v>175.04</v>
          </cell>
        </row>
        <row r="1296">
          <cell r="A1296" t="str">
            <v>1;60;BP;B;PAQ16a18</v>
          </cell>
          <cell r="B1296">
            <v>730069</v>
          </cell>
          <cell r="C1296" t="str">
            <v>BP</v>
          </cell>
          <cell r="D1296" t="str">
            <v>BALEARES PORTUGAL</v>
          </cell>
          <cell r="E1296" t="str">
            <v>60</v>
          </cell>
          <cell r="F1296" t="str">
            <v>PAQ16a18</v>
          </cell>
          <cell r="G1296" t="str">
            <v>B</v>
          </cell>
          <cell r="H1296">
            <v>195.05</v>
          </cell>
        </row>
        <row r="1297">
          <cell r="A1297" t="str">
            <v>1;60;BP;B;PAQ18a20</v>
          </cell>
          <cell r="B1297">
            <v>730069</v>
          </cell>
          <cell r="C1297" t="str">
            <v>BP</v>
          </cell>
          <cell r="D1297" t="str">
            <v>BALEARES PORTUGAL</v>
          </cell>
          <cell r="E1297" t="str">
            <v>60</v>
          </cell>
          <cell r="F1297" t="str">
            <v>PAQ18a20</v>
          </cell>
          <cell r="G1297" t="str">
            <v>B</v>
          </cell>
          <cell r="H1297">
            <v>215.05</v>
          </cell>
        </row>
        <row r="1298">
          <cell r="A1298" t="str">
            <v>1;60;BP;B;PAQ20a22</v>
          </cell>
          <cell r="B1298">
            <v>730069</v>
          </cell>
          <cell r="C1298" t="str">
            <v>BP</v>
          </cell>
          <cell r="D1298" t="str">
            <v>BALEARES PORTUGAL</v>
          </cell>
          <cell r="E1298" t="str">
            <v>60</v>
          </cell>
          <cell r="F1298" t="str">
            <v>PAQ20a22</v>
          </cell>
          <cell r="G1298" t="str">
            <v>B</v>
          </cell>
          <cell r="H1298">
            <v>235.06</v>
          </cell>
        </row>
        <row r="1299">
          <cell r="A1299" t="str">
            <v>1;60;BP;B;PAQ22a24</v>
          </cell>
          <cell r="B1299">
            <v>730069</v>
          </cell>
          <cell r="C1299" t="str">
            <v>BP</v>
          </cell>
          <cell r="D1299" t="str">
            <v>BALEARES PORTUGAL</v>
          </cell>
          <cell r="E1299" t="str">
            <v>60</v>
          </cell>
          <cell r="F1299" t="str">
            <v>PAQ22a24</v>
          </cell>
          <cell r="G1299" t="str">
            <v>B</v>
          </cell>
          <cell r="H1299">
            <v>255.08</v>
          </cell>
        </row>
        <row r="1300">
          <cell r="A1300" t="str">
            <v>1;60;BP;B;PAQ24a26</v>
          </cell>
          <cell r="B1300">
            <v>730069</v>
          </cell>
          <cell r="C1300" t="str">
            <v>BP</v>
          </cell>
          <cell r="D1300" t="str">
            <v>BALEARES PORTUGAL</v>
          </cell>
          <cell r="E1300" t="str">
            <v>60</v>
          </cell>
          <cell r="F1300" t="str">
            <v>PAQ24a26</v>
          </cell>
          <cell r="G1300" t="str">
            <v>B</v>
          </cell>
          <cell r="H1300">
            <v>275.08999999999997</v>
          </cell>
        </row>
        <row r="1301">
          <cell r="A1301" t="str">
            <v>1;60;BP;B;PAQ26a28</v>
          </cell>
          <cell r="B1301">
            <v>730069</v>
          </cell>
          <cell r="C1301" t="str">
            <v>BP</v>
          </cell>
          <cell r="D1301" t="str">
            <v>BALEARES PORTUGAL</v>
          </cell>
          <cell r="E1301" t="str">
            <v>60</v>
          </cell>
          <cell r="F1301" t="str">
            <v>PAQ26a28</v>
          </cell>
          <cell r="G1301" t="str">
            <v>B</v>
          </cell>
          <cell r="H1301">
            <v>295.08999999999997</v>
          </cell>
        </row>
        <row r="1302">
          <cell r="A1302" t="str">
            <v>1;60;BP;B;PAQ28a30</v>
          </cell>
          <cell r="B1302">
            <v>730069</v>
          </cell>
          <cell r="C1302" t="str">
            <v>BP</v>
          </cell>
          <cell r="D1302" t="str">
            <v>BALEARES PORTUGAL</v>
          </cell>
          <cell r="E1302" t="str">
            <v>60</v>
          </cell>
          <cell r="F1302" t="str">
            <v>PAQ28a30</v>
          </cell>
          <cell r="G1302" t="str">
            <v>B</v>
          </cell>
          <cell r="H1302">
            <v>315.11</v>
          </cell>
        </row>
        <row r="1303">
          <cell r="A1303" t="str">
            <v>1;60;BP;B;PAQ30a32</v>
          </cell>
          <cell r="B1303">
            <v>730069</v>
          </cell>
          <cell r="C1303" t="str">
            <v>BP</v>
          </cell>
          <cell r="D1303" t="str">
            <v>BALEARES PORTUGAL</v>
          </cell>
          <cell r="E1303" t="str">
            <v>60</v>
          </cell>
          <cell r="F1303" t="str">
            <v>PAQ30a32</v>
          </cell>
          <cell r="G1303" t="str">
            <v>B</v>
          </cell>
          <cell r="H1303">
            <v>335.12</v>
          </cell>
        </row>
        <row r="1304">
          <cell r="A1304" t="str">
            <v>1;60;BP;B;PAQ32a34</v>
          </cell>
          <cell r="B1304">
            <v>730069</v>
          </cell>
          <cell r="C1304" t="str">
            <v>BP</v>
          </cell>
          <cell r="D1304" t="str">
            <v>BALEARES PORTUGAL</v>
          </cell>
          <cell r="E1304" t="str">
            <v>60</v>
          </cell>
          <cell r="F1304" t="str">
            <v>PAQ32a34</v>
          </cell>
          <cell r="G1304" t="str">
            <v>B</v>
          </cell>
          <cell r="H1304">
            <v>355.13</v>
          </cell>
        </row>
        <row r="1305">
          <cell r="A1305" t="str">
            <v>1;60;BP;B;PAQ34a36</v>
          </cell>
          <cell r="B1305">
            <v>730069</v>
          </cell>
          <cell r="C1305" t="str">
            <v>BP</v>
          </cell>
          <cell r="D1305" t="str">
            <v>BALEARES PORTUGAL</v>
          </cell>
          <cell r="E1305" t="str">
            <v>60</v>
          </cell>
          <cell r="F1305" t="str">
            <v>PAQ34a36</v>
          </cell>
          <cell r="G1305" t="str">
            <v>B</v>
          </cell>
          <cell r="H1305">
            <v>375.13</v>
          </cell>
        </row>
        <row r="1306">
          <cell r="A1306" t="str">
            <v>1;60;BP;B;PAQ36a38</v>
          </cell>
          <cell r="B1306">
            <v>730069</v>
          </cell>
          <cell r="C1306" t="str">
            <v>BP</v>
          </cell>
          <cell r="D1306" t="str">
            <v>BALEARES PORTUGAL</v>
          </cell>
          <cell r="E1306" t="str">
            <v>60</v>
          </cell>
          <cell r="F1306" t="str">
            <v>PAQ36a38</v>
          </cell>
          <cell r="G1306" t="str">
            <v>B</v>
          </cell>
          <cell r="H1306">
            <v>395.15</v>
          </cell>
        </row>
        <row r="1307">
          <cell r="A1307" t="str">
            <v>1;60;BP;B;PAQ38a40</v>
          </cell>
          <cell r="B1307">
            <v>730069</v>
          </cell>
          <cell r="C1307" t="str">
            <v>BP</v>
          </cell>
          <cell r="D1307" t="str">
            <v>BALEARES PORTUGAL</v>
          </cell>
          <cell r="E1307" t="str">
            <v>60</v>
          </cell>
          <cell r="F1307" t="str">
            <v>PAQ38a40</v>
          </cell>
          <cell r="G1307" t="str">
            <v>B</v>
          </cell>
          <cell r="H1307">
            <v>415.16</v>
          </cell>
        </row>
        <row r="1308">
          <cell r="A1308" t="str">
            <v>1;60;BP;F;</v>
          </cell>
          <cell r="B1308">
            <v>730069</v>
          </cell>
          <cell r="C1308" t="str">
            <v>BP</v>
          </cell>
          <cell r="D1308" t="str">
            <v>BALEARES PORTUGAL</v>
          </cell>
          <cell r="E1308" t="str">
            <v>60</v>
          </cell>
          <cell r="F1308" t="str">
            <v/>
          </cell>
          <cell r="G1308" t="str">
            <v>F</v>
          </cell>
          <cell r="H1308">
            <v>20.010000000000002</v>
          </cell>
        </row>
        <row r="1309">
          <cell r="A1309" t="str">
            <v>1;60;BP;P;</v>
          </cell>
          <cell r="B1309">
            <v>730069</v>
          </cell>
          <cell r="C1309" t="str">
            <v>BP</v>
          </cell>
          <cell r="D1309" t="str">
            <v>BALEARES PORTUGAL</v>
          </cell>
          <cell r="E1309" t="str">
            <v>60</v>
          </cell>
          <cell r="F1309" t="str">
            <v/>
          </cell>
          <cell r="G1309" t="str">
            <v>P</v>
          </cell>
          <cell r="H1309">
            <v>0</v>
          </cell>
        </row>
        <row r="1310">
          <cell r="A1310" t="str">
            <v>1;60;BP;E;</v>
          </cell>
          <cell r="B1310">
            <v>730069</v>
          </cell>
          <cell r="C1310" t="str">
            <v>BP</v>
          </cell>
          <cell r="D1310" t="str">
            <v>BALEARES PORTUGAL</v>
          </cell>
          <cell r="E1310" t="str">
            <v>60</v>
          </cell>
          <cell r="F1310" t="str">
            <v/>
          </cell>
          <cell r="G1310" t="str">
            <v>E</v>
          </cell>
          <cell r="H1310">
            <v>0</v>
          </cell>
        </row>
        <row r="1311">
          <cell r="A1311" t="str">
            <v>1;61;BP;B;BAG</v>
          </cell>
          <cell r="B1311">
            <v>730069</v>
          </cell>
          <cell r="C1311" t="str">
            <v>BP</v>
          </cell>
          <cell r="D1311" t="str">
            <v>BALEARES PORTUGAL</v>
          </cell>
          <cell r="E1311" t="str">
            <v>61</v>
          </cell>
          <cell r="F1311" t="str">
            <v>BAG</v>
          </cell>
          <cell r="G1311" t="str">
            <v>B</v>
          </cell>
          <cell r="H1311">
            <v>20.85</v>
          </cell>
        </row>
        <row r="1312">
          <cell r="A1312" t="str">
            <v>1;61;BP;B;PAQ00a02</v>
          </cell>
          <cell r="B1312">
            <v>730069</v>
          </cell>
          <cell r="C1312" t="str">
            <v>BP</v>
          </cell>
          <cell r="D1312" t="str">
            <v>BALEARES PORTUGAL</v>
          </cell>
          <cell r="E1312" t="str">
            <v>61</v>
          </cell>
          <cell r="F1312" t="str">
            <v>PAQ00a02</v>
          </cell>
          <cell r="G1312" t="str">
            <v>B</v>
          </cell>
          <cell r="H1312">
            <v>25.57</v>
          </cell>
        </row>
        <row r="1313">
          <cell r="A1313" t="str">
            <v>1;61;BP;B;PAQ02a04</v>
          </cell>
          <cell r="B1313">
            <v>730069</v>
          </cell>
          <cell r="C1313" t="str">
            <v>BP</v>
          </cell>
          <cell r="D1313" t="str">
            <v>BALEARES PORTUGAL</v>
          </cell>
          <cell r="E1313" t="str">
            <v>61</v>
          </cell>
          <cell r="F1313" t="str">
            <v>PAQ02a04</v>
          </cell>
          <cell r="G1313" t="str">
            <v>B</v>
          </cell>
          <cell r="H1313">
            <v>43.5</v>
          </cell>
        </row>
        <row r="1314">
          <cell r="A1314" t="str">
            <v>1;61;BP;B;PAQ04a06</v>
          </cell>
          <cell r="B1314">
            <v>730069</v>
          </cell>
          <cell r="C1314" t="str">
            <v>BP</v>
          </cell>
          <cell r="D1314" t="str">
            <v>BALEARES PORTUGAL</v>
          </cell>
          <cell r="E1314" t="str">
            <v>61</v>
          </cell>
          <cell r="F1314" t="str">
            <v>PAQ04a06</v>
          </cell>
          <cell r="G1314" t="str">
            <v>B</v>
          </cell>
          <cell r="H1314">
            <v>63.51</v>
          </cell>
        </row>
        <row r="1315">
          <cell r="A1315" t="str">
            <v>1;61;BP;B;PAQ06a08</v>
          </cell>
          <cell r="B1315">
            <v>730069</v>
          </cell>
          <cell r="C1315" t="str">
            <v>BP</v>
          </cell>
          <cell r="D1315" t="str">
            <v>BALEARES PORTUGAL</v>
          </cell>
          <cell r="E1315" t="str">
            <v>61</v>
          </cell>
          <cell r="F1315" t="str">
            <v>PAQ06a08</v>
          </cell>
          <cell r="G1315" t="str">
            <v>B</v>
          </cell>
          <cell r="H1315">
            <v>83.53</v>
          </cell>
        </row>
        <row r="1316">
          <cell r="A1316" t="str">
            <v>1;61;BP;B;PAQ08a10</v>
          </cell>
          <cell r="B1316">
            <v>730069</v>
          </cell>
          <cell r="C1316" t="str">
            <v>BP</v>
          </cell>
          <cell r="D1316" t="str">
            <v>BALEARES PORTUGAL</v>
          </cell>
          <cell r="E1316" t="str">
            <v>61</v>
          </cell>
          <cell r="F1316" t="str">
            <v>PAQ08a10</v>
          </cell>
          <cell r="G1316" t="str">
            <v>B</v>
          </cell>
          <cell r="H1316">
            <v>103.54</v>
          </cell>
        </row>
        <row r="1317">
          <cell r="A1317" t="str">
            <v>1;61;BP;B;PAQ10a12</v>
          </cell>
          <cell r="B1317">
            <v>730069</v>
          </cell>
          <cell r="C1317" t="str">
            <v>BP</v>
          </cell>
          <cell r="D1317" t="str">
            <v>BALEARES PORTUGAL</v>
          </cell>
          <cell r="E1317" t="str">
            <v>61</v>
          </cell>
          <cell r="F1317" t="str">
            <v>PAQ10a12</v>
          </cell>
          <cell r="G1317" t="str">
            <v>B</v>
          </cell>
          <cell r="H1317">
            <v>123.54</v>
          </cell>
        </row>
        <row r="1318">
          <cell r="A1318" t="str">
            <v>1;61;BP;B;PAQ12a14</v>
          </cell>
          <cell r="B1318">
            <v>730069</v>
          </cell>
          <cell r="C1318" t="str">
            <v>BP</v>
          </cell>
          <cell r="D1318" t="str">
            <v>BALEARES PORTUGAL</v>
          </cell>
          <cell r="E1318" t="str">
            <v>61</v>
          </cell>
          <cell r="F1318" t="str">
            <v>PAQ12a14</v>
          </cell>
          <cell r="G1318" t="str">
            <v>B</v>
          </cell>
          <cell r="H1318">
            <v>143.56</v>
          </cell>
        </row>
        <row r="1319">
          <cell r="A1319" t="str">
            <v>1;61;BP;B;PAQ14a16</v>
          </cell>
          <cell r="B1319">
            <v>730069</v>
          </cell>
          <cell r="C1319" t="str">
            <v>BP</v>
          </cell>
          <cell r="D1319" t="str">
            <v>BALEARES PORTUGAL</v>
          </cell>
          <cell r="E1319" t="str">
            <v>61</v>
          </cell>
          <cell r="F1319" t="str">
            <v>PAQ14a16</v>
          </cell>
          <cell r="G1319" t="str">
            <v>B</v>
          </cell>
          <cell r="H1319">
            <v>163.57</v>
          </cell>
        </row>
        <row r="1320">
          <cell r="A1320" t="str">
            <v>1;61;BP;B;PAQ16a18</v>
          </cell>
          <cell r="B1320">
            <v>730069</v>
          </cell>
          <cell r="C1320" t="str">
            <v>BP</v>
          </cell>
          <cell r="D1320" t="str">
            <v>BALEARES PORTUGAL</v>
          </cell>
          <cell r="E1320" t="str">
            <v>61</v>
          </cell>
          <cell r="F1320" t="str">
            <v>PAQ16a18</v>
          </cell>
          <cell r="G1320" t="str">
            <v>B</v>
          </cell>
          <cell r="H1320">
            <v>183.58</v>
          </cell>
        </row>
        <row r="1321">
          <cell r="A1321" t="str">
            <v>1;61;BP;B;PAQ18a20</v>
          </cell>
          <cell r="B1321">
            <v>730069</v>
          </cell>
          <cell r="C1321" t="str">
            <v>BP</v>
          </cell>
          <cell r="D1321" t="str">
            <v>BALEARES PORTUGAL</v>
          </cell>
          <cell r="E1321" t="str">
            <v>61</v>
          </cell>
          <cell r="F1321" t="str">
            <v>PAQ18a20</v>
          </cell>
          <cell r="G1321" t="str">
            <v>B</v>
          </cell>
          <cell r="H1321">
            <v>203.58</v>
          </cell>
        </row>
        <row r="1322">
          <cell r="A1322" t="str">
            <v>1;61;BP;B;PAQ20a22</v>
          </cell>
          <cell r="B1322">
            <v>730069</v>
          </cell>
          <cell r="C1322" t="str">
            <v>BP</v>
          </cell>
          <cell r="D1322" t="str">
            <v>BALEARES PORTUGAL</v>
          </cell>
          <cell r="E1322" t="str">
            <v>61</v>
          </cell>
          <cell r="F1322" t="str">
            <v>PAQ20a22</v>
          </cell>
          <cell r="G1322" t="str">
            <v>B</v>
          </cell>
          <cell r="H1322">
            <v>223.6</v>
          </cell>
        </row>
        <row r="1323">
          <cell r="A1323" t="str">
            <v>1;61;BP;B;PAQ22a24</v>
          </cell>
          <cell r="B1323">
            <v>730069</v>
          </cell>
          <cell r="C1323" t="str">
            <v>BP</v>
          </cell>
          <cell r="D1323" t="str">
            <v>BALEARES PORTUGAL</v>
          </cell>
          <cell r="E1323" t="str">
            <v>61</v>
          </cell>
          <cell r="F1323" t="str">
            <v>PAQ22a24</v>
          </cell>
          <cell r="G1323" t="str">
            <v>B</v>
          </cell>
          <cell r="H1323">
            <v>243.61</v>
          </cell>
        </row>
        <row r="1324">
          <cell r="A1324" t="str">
            <v>1;61;BP;B;PAQ24a26</v>
          </cell>
          <cell r="B1324">
            <v>730069</v>
          </cell>
          <cell r="C1324" t="str">
            <v>BP</v>
          </cell>
          <cell r="D1324" t="str">
            <v>BALEARES PORTUGAL</v>
          </cell>
          <cell r="E1324" t="str">
            <v>61</v>
          </cell>
          <cell r="F1324" t="str">
            <v>PAQ24a26</v>
          </cell>
          <cell r="G1324" t="str">
            <v>B</v>
          </cell>
          <cell r="H1324">
            <v>263.62</v>
          </cell>
        </row>
        <row r="1325">
          <cell r="A1325" t="str">
            <v>1;61;BP;B;PAQ26a28</v>
          </cell>
          <cell r="B1325">
            <v>730069</v>
          </cell>
          <cell r="C1325" t="str">
            <v>BP</v>
          </cell>
          <cell r="D1325" t="str">
            <v>BALEARES PORTUGAL</v>
          </cell>
          <cell r="E1325" t="str">
            <v>61</v>
          </cell>
          <cell r="F1325" t="str">
            <v>PAQ26a28</v>
          </cell>
          <cell r="G1325" t="str">
            <v>B</v>
          </cell>
          <cell r="H1325">
            <v>283.63</v>
          </cell>
        </row>
        <row r="1326">
          <cell r="A1326" t="str">
            <v>1;61;BP;B;PAQ28a30</v>
          </cell>
          <cell r="B1326">
            <v>730069</v>
          </cell>
          <cell r="C1326" t="str">
            <v>BP</v>
          </cell>
          <cell r="D1326" t="str">
            <v>BALEARES PORTUGAL</v>
          </cell>
          <cell r="E1326" t="str">
            <v>61</v>
          </cell>
          <cell r="F1326" t="str">
            <v>PAQ28a30</v>
          </cell>
          <cell r="G1326" t="str">
            <v>B</v>
          </cell>
          <cell r="H1326">
            <v>303.64</v>
          </cell>
        </row>
        <row r="1327">
          <cell r="A1327" t="str">
            <v>1;61;BP;B;PAQ30a32</v>
          </cell>
          <cell r="B1327">
            <v>730069</v>
          </cell>
          <cell r="C1327" t="str">
            <v>BP</v>
          </cell>
          <cell r="D1327" t="str">
            <v>BALEARES PORTUGAL</v>
          </cell>
          <cell r="E1327" t="str">
            <v>61</v>
          </cell>
          <cell r="F1327" t="str">
            <v>PAQ30a32</v>
          </cell>
          <cell r="G1327" t="str">
            <v>B</v>
          </cell>
          <cell r="H1327">
            <v>323.64999999999998</v>
          </cell>
        </row>
        <row r="1328">
          <cell r="A1328" t="str">
            <v>1;61;BP;B;PAQ32a34</v>
          </cell>
          <cell r="B1328">
            <v>730069</v>
          </cell>
          <cell r="C1328" t="str">
            <v>BP</v>
          </cell>
          <cell r="D1328" t="str">
            <v>BALEARES PORTUGAL</v>
          </cell>
          <cell r="E1328" t="str">
            <v>61</v>
          </cell>
          <cell r="F1328" t="str">
            <v>PAQ32a34</v>
          </cell>
          <cell r="G1328" t="str">
            <v>B</v>
          </cell>
          <cell r="H1328">
            <v>343.67</v>
          </cell>
        </row>
        <row r="1329">
          <cell r="A1329" t="str">
            <v>1;61;BP;B;PAQ34a36</v>
          </cell>
          <cell r="B1329">
            <v>730069</v>
          </cell>
          <cell r="C1329" t="str">
            <v>BP</v>
          </cell>
          <cell r="D1329" t="str">
            <v>BALEARES PORTUGAL</v>
          </cell>
          <cell r="E1329" t="str">
            <v>61</v>
          </cell>
          <cell r="F1329" t="str">
            <v>PAQ34a36</v>
          </cell>
          <cell r="G1329" t="str">
            <v>B</v>
          </cell>
          <cell r="H1329">
            <v>363.67</v>
          </cell>
        </row>
        <row r="1330">
          <cell r="A1330" t="str">
            <v>1;61;BP;B;PAQ36a38</v>
          </cell>
          <cell r="B1330">
            <v>730069</v>
          </cell>
          <cell r="C1330" t="str">
            <v>BP</v>
          </cell>
          <cell r="D1330" t="str">
            <v>BALEARES PORTUGAL</v>
          </cell>
          <cell r="E1330" t="str">
            <v>61</v>
          </cell>
          <cell r="F1330" t="str">
            <v>PAQ36a38</v>
          </cell>
          <cell r="G1330" t="str">
            <v>B</v>
          </cell>
          <cell r="H1330">
            <v>383.68</v>
          </cell>
        </row>
        <row r="1331">
          <cell r="A1331" t="str">
            <v>1;61;BP;B;PAQ38a40</v>
          </cell>
          <cell r="B1331">
            <v>730069</v>
          </cell>
          <cell r="C1331" t="str">
            <v>BP</v>
          </cell>
          <cell r="D1331" t="str">
            <v>BALEARES PORTUGAL</v>
          </cell>
          <cell r="E1331" t="str">
            <v>61</v>
          </cell>
          <cell r="F1331" t="str">
            <v>PAQ38a40</v>
          </cell>
          <cell r="G1331" t="str">
            <v>B</v>
          </cell>
          <cell r="H1331">
            <v>403.69</v>
          </cell>
        </row>
        <row r="1332">
          <cell r="A1332" t="str">
            <v>1;61;BP;F;</v>
          </cell>
          <cell r="B1332">
            <v>730069</v>
          </cell>
          <cell r="C1332" t="str">
            <v>BP</v>
          </cell>
          <cell r="D1332" t="str">
            <v>BALEARES PORTUGAL</v>
          </cell>
          <cell r="E1332" t="str">
            <v>61</v>
          </cell>
          <cell r="F1332" t="str">
            <v/>
          </cell>
          <cell r="G1332" t="str">
            <v>F</v>
          </cell>
          <cell r="H1332">
            <v>20.010000000000002</v>
          </cell>
        </row>
        <row r="1333">
          <cell r="A1333" t="str">
            <v>1;61;BP;E;</v>
          </cell>
          <cell r="B1333">
            <v>730069</v>
          </cell>
          <cell r="C1333" t="str">
            <v>BP</v>
          </cell>
          <cell r="D1333" t="str">
            <v>BALEARES PORTUGAL</v>
          </cell>
          <cell r="E1333" t="str">
            <v>61</v>
          </cell>
          <cell r="F1333" t="str">
            <v/>
          </cell>
          <cell r="G1333" t="str">
            <v>E</v>
          </cell>
          <cell r="H1333">
            <v>0</v>
          </cell>
        </row>
        <row r="1334">
          <cell r="A1334" t="str">
            <v>1;61;BP;P;</v>
          </cell>
          <cell r="B1334">
            <v>730069</v>
          </cell>
          <cell r="C1334" t="str">
            <v>BP</v>
          </cell>
          <cell r="D1334" t="str">
            <v>BALEARES PORTUGAL</v>
          </cell>
          <cell r="E1334" t="str">
            <v>61</v>
          </cell>
          <cell r="F1334" t="str">
            <v/>
          </cell>
          <cell r="G1334" t="str">
            <v>P</v>
          </cell>
          <cell r="H1334">
            <v>0</v>
          </cell>
        </row>
        <row r="1335">
          <cell r="A1335" t="str">
            <v>1;62;BP;B;BAG</v>
          </cell>
          <cell r="B1335">
            <v>730069</v>
          </cell>
          <cell r="C1335" t="str">
            <v>BP</v>
          </cell>
          <cell r="D1335" t="str">
            <v>BALEARES PORTUGAL</v>
          </cell>
          <cell r="E1335" t="str">
            <v>62</v>
          </cell>
          <cell r="F1335" t="str">
            <v>BAG</v>
          </cell>
          <cell r="G1335" t="str">
            <v>B</v>
          </cell>
          <cell r="H1335">
            <v>15.73</v>
          </cell>
        </row>
        <row r="1336">
          <cell r="A1336" t="str">
            <v>1;62;BP;B;PAQ00a02</v>
          </cell>
          <cell r="B1336">
            <v>730069</v>
          </cell>
          <cell r="C1336" t="str">
            <v>BP</v>
          </cell>
          <cell r="D1336" t="str">
            <v>BALEARES PORTUGAL</v>
          </cell>
          <cell r="E1336" t="str">
            <v>62</v>
          </cell>
          <cell r="F1336" t="str">
            <v>PAQ00a02</v>
          </cell>
          <cell r="G1336" t="str">
            <v>B</v>
          </cell>
          <cell r="H1336">
            <v>18.489999999999998</v>
          </cell>
        </row>
        <row r="1337">
          <cell r="A1337" t="str">
            <v>1;62;BP;B;PAQ02a04</v>
          </cell>
          <cell r="B1337">
            <v>730069</v>
          </cell>
          <cell r="C1337" t="str">
            <v>BP</v>
          </cell>
          <cell r="D1337" t="str">
            <v>BALEARES PORTUGAL</v>
          </cell>
          <cell r="E1337" t="str">
            <v>62</v>
          </cell>
          <cell r="F1337" t="str">
            <v>PAQ02a04</v>
          </cell>
          <cell r="G1337" t="str">
            <v>B</v>
          </cell>
          <cell r="H1337">
            <v>28.9</v>
          </cell>
        </row>
        <row r="1338">
          <cell r="A1338" t="str">
            <v>1;62;BP;B;PAQ04a06</v>
          </cell>
          <cell r="B1338">
            <v>730069</v>
          </cell>
          <cell r="C1338" t="str">
            <v>BP</v>
          </cell>
          <cell r="D1338" t="str">
            <v>BALEARES PORTUGAL</v>
          </cell>
          <cell r="E1338" t="str">
            <v>62</v>
          </cell>
          <cell r="F1338" t="str">
            <v>PAQ04a06</v>
          </cell>
          <cell r="G1338" t="str">
            <v>B</v>
          </cell>
          <cell r="H1338">
            <v>39.6</v>
          </cell>
        </row>
        <row r="1339">
          <cell r="A1339" t="str">
            <v>1;62;BP;B;PAQ06a08</v>
          </cell>
          <cell r="B1339">
            <v>730069</v>
          </cell>
          <cell r="C1339" t="str">
            <v>BP</v>
          </cell>
          <cell r="D1339" t="str">
            <v>BALEARES PORTUGAL</v>
          </cell>
          <cell r="E1339" t="str">
            <v>62</v>
          </cell>
          <cell r="F1339" t="str">
            <v>PAQ06a08</v>
          </cell>
          <cell r="G1339" t="str">
            <v>B</v>
          </cell>
          <cell r="H1339">
            <v>50.28</v>
          </cell>
        </row>
        <row r="1340">
          <cell r="A1340" t="str">
            <v>1;62;BP;B;PAQ08a10</v>
          </cell>
          <cell r="B1340">
            <v>730069</v>
          </cell>
          <cell r="C1340" t="str">
            <v>BP</v>
          </cell>
          <cell r="D1340" t="str">
            <v>BALEARES PORTUGAL</v>
          </cell>
          <cell r="E1340" t="str">
            <v>62</v>
          </cell>
          <cell r="F1340" t="str">
            <v>PAQ08a10</v>
          </cell>
          <cell r="G1340" t="str">
            <v>B</v>
          </cell>
          <cell r="H1340">
            <v>60.98</v>
          </cell>
        </row>
        <row r="1341">
          <cell r="A1341" t="str">
            <v>1;62;BP;B;PAQ10a12</v>
          </cell>
          <cell r="B1341">
            <v>730069</v>
          </cell>
          <cell r="C1341" t="str">
            <v>BP</v>
          </cell>
          <cell r="D1341" t="str">
            <v>BALEARES PORTUGAL</v>
          </cell>
          <cell r="E1341" t="str">
            <v>62</v>
          </cell>
          <cell r="F1341" t="str">
            <v>PAQ10a12</v>
          </cell>
          <cell r="G1341" t="str">
            <v>B</v>
          </cell>
          <cell r="H1341">
            <v>71.67</v>
          </cell>
        </row>
        <row r="1342">
          <cell r="A1342" t="str">
            <v>1;62;BP;B;PAQ12a14</v>
          </cell>
          <cell r="B1342">
            <v>730069</v>
          </cell>
          <cell r="C1342" t="str">
            <v>BP</v>
          </cell>
          <cell r="D1342" t="str">
            <v>BALEARES PORTUGAL</v>
          </cell>
          <cell r="E1342" t="str">
            <v>62</v>
          </cell>
          <cell r="F1342" t="str">
            <v>PAQ12a14</v>
          </cell>
          <cell r="G1342" t="str">
            <v>B</v>
          </cell>
          <cell r="H1342">
            <v>82.37</v>
          </cell>
        </row>
        <row r="1343">
          <cell r="A1343" t="str">
            <v>1;62;BP;B;PAQ14a16</v>
          </cell>
          <cell r="B1343">
            <v>730069</v>
          </cell>
          <cell r="C1343" t="str">
            <v>BP</v>
          </cell>
          <cell r="D1343" t="str">
            <v>BALEARES PORTUGAL</v>
          </cell>
          <cell r="E1343" t="str">
            <v>62</v>
          </cell>
          <cell r="F1343" t="str">
            <v>PAQ14a16</v>
          </cell>
          <cell r="G1343" t="str">
            <v>B</v>
          </cell>
          <cell r="H1343">
            <v>93.06</v>
          </cell>
        </row>
        <row r="1344">
          <cell r="A1344" t="str">
            <v>1;62;BP;B;PAQ16a18</v>
          </cell>
          <cell r="B1344">
            <v>730069</v>
          </cell>
          <cell r="C1344" t="str">
            <v>BP</v>
          </cell>
          <cell r="D1344" t="str">
            <v>BALEARES PORTUGAL</v>
          </cell>
          <cell r="E1344" t="str">
            <v>62</v>
          </cell>
          <cell r="F1344" t="str">
            <v>PAQ16a18</v>
          </cell>
          <cell r="G1344" t="str">
            <v>B</v>
          </cell>
          <cell r="H1344">
            <v>103.76</v>
          </cell>
        </row>
        <row r="1345">
          <cell r="A1345" t="str">
            <v>1;62;BP;B;PAQ18a20</v>
          </cell>
          <cell r="B1345">
            <v>730069</v>
          </cell>
          <cell r="C1345" t="str">
            <v>BP</v>
          </cell>
          <cell r="D1345" t="str">
            <v>BALEARES PORTUGAL</v>
          </cell>
          <cell r="E1345" t="str">
            <v>62</v>
          </cell>
          <cell r="F1345" t="str">
            <v>PAQ18a20</v>
          </cell>
          <cell r="G1345" t="str">
            <v>B</v>
          </cell>
          <cell r="H1345">
            <v>114.45</v>
          </cell>
        </row>
        <row r="1346">
          <cell r="A1346" t="str">
            <v>1;62;BP;B;PAQ20a22</v>
          </cell>
          <cell r="B1346">
            <v>730069</v>
          </cell>
          <cell r="C1346" t="str">
            <v>BP</v>
          </cell>
          <cell r="D1346" t="str">
            <v>BALEARES PORTUGAL</v>
          </cell>
          <cell r="E1346" t="str">
            <v>62</v>
          </cell>
          <cell r="F1346" t="str">
            <v>PAQ20a22</v>
          </cell>
          <cell r="G1346" t="str">
            <v>B</v>
          </cell>
          <cell r="H1346">
            <v>125.15</v>
          </cell>
        </row>
        <row r="1347">
          <cell r="A1347" t="str">
            <v>1;62;BP;B;PAQ22a24</v>
          </cell>
          <cell r="B1347">
            <v>730069</v>
          </cell>
          <cell r="C1347" t="str">
            <v>BP</v>
          </cell>
          <cell r="D1347" t="str">
            <v>BALEARES PORTUGAL</v>
          </cell>
          <cell r="E1347" t="str">
            <v>62</v>
          </cell>
          <cell r="F1347" t="str">
            <v>PAQ22a24</v>
          </cell>
          <cell r="G1347" t="str">
            <v>B</v>
          </cell>
          <cell r="H1347">
            <v>135.84</v>
          </cell>
        </row>
        <row r="1348">
          <cell r="A1348" t="str">
            <v>1;62;BP;B;PAQ24a26</v>
          </cell>
          <cell r="B1348">
            <v>730069</v>
          </cell>
          <cell r="C1348" t="str">
            <v>BP</v>
          </cell>
          <cell r="D1348" t="str">
            <v>BALEARES PORTUGAL</v>
          </cell>
          <cell r="E1348" t="str">
            <v>62</v>
          </cell>
          <cell r="F1348" t="str">
            <v>PAQ24a26</v>
          </cell>
          <cell r="G1348" t="str">
            <v>B</v>
          </cell>
          <cell r="H1348">
            <v>146.54</v>
          </cell>
        </row>
        <row r="1349">
          <cell r="A1349" t="str">
            <v>1;62;BP;B;PAQ26a28</v>
          </cell>
          <cell r="B1349">
            <v>730069</v>
          </cell>
          <cell r="C1349" t="str">
            <v>BP</v>
          </cell>
          <cell r="D1349" t="str">
            <v>BALEARES PORTUGAL</v>
          </cell>
          <cell r="E1349" t="str">
            <v>62</v>
          </cell>
          <cell r="F1349" t="str">
            <v>PAQ26a28</v>
          </cell>
          <cell r="G1349" t="str">
            <v>B</v>
          </cell>
          <cell r="H1349">
            <v>157.22999999999999</v>
          </cell>
        </row>
        <row r="1350">
          <cell r="A1350" t="str">
            <v>1;62;BP;B;PAQ28a30</v>
          </cell>
          <cell r="B1350">
            <v>730069</v>
          </cell>
          <cell r="C1350" t="str">
            <v>BP</v>
          </cell>
          <cell r="D1350" t="str">
            <v>BALEARES PORTUGAL</v>
          </cell>
          <cell r="E1350" t="str">
            <v>62</v>
          </cell>
          <cell r="F1350" t="str">
            <v>PAQ28a30</v>
          </cell>
          <cell r="G1350" t="str">
            <v>B</v>
          </cell>
          <cell r="H1350">
            <v>167.93</v>
          </cell>
        </row>
        <row r="1351">
          <cell r="A1351" t="str">
            <v>1;62;BP;B;PAQ30a32</v>
          </cell>
          <cell r="B1351">
            <v>730069</v>
          </cell>
          <cell r="C1351" t="str">
            <v>BP</v>
          </cell>
          <cell r="D1351" t="str">
            <v>BALEARES PORTUGAL</v>
          </cell>
          <cell r="E1351" t="str">
            <v>62</v>
          </cell>
          <cell r="F1351" t="str">
            <v>PAQ30a32</v>
          </cell>
          <cell r="G1351" t="str">
            <v>B</v>
          </cell>
          <cell r="H1351">
            <v>178.62</v>
          </cell>
        </row>
        <row r="1352">
          <cell r="A1352" t="str">
            <v>1;62;BP;B;PAQ32a34</v>
          </cell>
          <cell r="B1352">
            <v>730069</v>
          </cell>
          <cell r="C1352" t="str">
            <v>BP</v>
          </cell>
          <cell r="D1352" t="str">
            <v>BALEARES PORTUGAL</v>
          </cell>
          <cell r="E1352" t="str">
            <v>62</v>
          </cell>
          <cell r="F1352" t="str">
            <v>PAQ32a34</v>
          </cell>
          <cell r="G1352" t="str">
            <v>B</v>
          </cell>
          <cell r="H1352">
            <v>189.32</v>
          </cell>
        </row>
        <row r="1353">
          <cell r="A1353" t="str">
            <v>1;62;BP;B;PAQ34a36</v>
          </cell>
          <cell r="B1353">
            <v>730069</v>
          </cell>
          <cell r="C1353" t="str">
            <v>BP</v>
          </cell>
          <cell r="D1353" t="str">
            <v>BALEARES PORTUGAL</v>
          </cell>
          <cell r="E1353" t="str">
            <v>62</v>
          </cell>
          <cell r="F1353" t="str">
            <v>PAQ34a36</v>
          </cell>
          <cell r="G1353" t="str">
            <v>B</v>
          </cell>
          <cell r="H1353">
            <v>200</v>
          </cell>
        </row>
        <row r="1354">
          <cell r="A1354" t="str">
            <v>1;62;BP;B;PAQ36a38</v>
          </cell>
          <cell r="B1354">
            <v>730069</v>
          </cell>
          <cell r="C1354" t="str">
            <v>BP</v>
          </cell>
          <cell r="D1354" t="str">
            <v>BALEARES PORTUGAL</v>
          </cell>
          <cell r="E1354" t="str">
            <v>62</v>
          </cell>
          <cell r="F1354" t="str">
            <v>PAQ36a38</v>
          </cell>
          <cell r="G1354" t="str">
            <v>B</v>
          </cell>
          <cell r="H1354">
            <v>210.7</v>
          </cell>
        </row>
        <row r="1355">
          <cell r="A1355" t="str">
            <v>1;62;BP;B;PAQ38a40</v>
          </cell>
          <cell r="B1355">
            <v>730069</v>
          </cell>
          <cell r="C1355" t="str">
            <v>BP</v>
          </cell>
          <cell r="D1355" t="str">
            <v>BALEARES PORTUGAL</v>
          </cell>
          <cell r="E1355" t="str">
            <v>62</v>
          </cell>
          <cell r="F1355" t="str">
            <v>PAQ38a40</v>
          </cell>
          <cell r="G1355" t="str">
            <v>B</v>
          </cell>
          <cell r="H1355">
            <v>221.39</v>
          </cell>
        </row>
        <row r="1356">
          <cell r="A1356" t="str">
            <v>1;62;BP;F;</v>
          </cell>
          <cell r="B1356">
            <v>730069</v>
          </cell>
          <cell r="C1356" t="str">
            <v>BP</v>
          </cell>
          <cell r="D1356" t="str">
            <v>BALEARES PORTUGAL</v>
          </cell>
          <cell r="E1356" t="str">
            <v>62</v>
          </cell>
          <cell r="F1356" t="str">
            <v/>
          </cell>
          <cell r="G1356" t="str">
            <v>F</v>
          </cell>
          <cell r="H1356">
            <v>10.7</v>
          </cell>
        </row>
        <row r="1357">
          <cell r="A1357" t="str">
            <v>1;62;BP;E;</v>
          </cell>
          <cell r="B1357">
            <v>730069</v>
          </cell>
          <cell r="C1357" t="str">
            <v>BP</v>
          </cell>
          <cell r="D1357" t="str">
            <v>BALEARES PORTUGAL</v>
          </cell>
          <cell r="E1357" t="str">
            <v>62</v>
          </cell>
          <cell r="F1357" t="str">
            <v/>
          </cell>
          <cell r="G1357" t="str">
            <v>E</v>
          </cell>
          <cell r="H1357">
            <v>0</v>
          </cell>
        </row>
        <row r="1358">
          <cell r="A1358" t="str">
            <v>1;62;BP;P;</v>
          </cell>
          <cell r="B1358">
            <v>730069</v>
          </cell>
          <cell r="C1358" t="str">
            <v>BP</v>
          </cell>
          <cell r="D1358" t="str">
            <v>BALEARES PORTUGAL</v>
          </cell>
          <cell r="E1358" t="str">
            <v>62</v>
          </cell>
          <cell r="F1358" t="str">
            <v/>
          </cell>
          <cell r="G1358" t="str">
            <v>P</v>
          </cell>
          <cell r="H1358">
            <v>0</v>
          </cell>
        </row>
        <row r="1359">
          <cell r="A1359" t="str">
            <v>1;63;BP;B;BAG</v>
          </cell>
          <cell r="B1359">
            <v>730069</v>
          </cell>
          <cell r="C1359" t="str">
            <v>BP</v>
          </cell>
          <cell r="D1359" t="str">
            <v>BALEARES PORTUGAL</v>
          </cell>
          <cell r="E1359" t="str">
            <v>63</v>
          </cell>
          <cell r="F1359" t="str">
            <v>BAG</v>
          </cell>
          <cell r="G1359" t="str">
            <v>B</v>
          </cell>
          <cell r="H1359">
            <v>23.16</v>
          </cell>
        </row>
        <row r="1360">
          <cell r="A1360" t="str">
            <v>1;63;BP;B;PAQ00a02</v>
          </cell>
          <cell r="B1360">
            <v>730069</v>
          </cell>
          <cell r="C1360" t="str">
            <v>BP</v>
          </cell>
          <cell r="D1360" t="str">
            <v>BALEARES PORTUGAL</v>
          </cell>
          <cell r="E1360" t="str">
            <v>63</v>
          </cell>
          <cell r="F1360" t="str">
            <v>PAQ00a02</v>
          </cell>
          <cell r="G1360" t="str">
            <v>B</v>
          </cell>
          <cell r="H1360">
            <v>25.91</v>
          </cell>
        </row>
        <row r="1361">
          <cell r="A1361" t="str">
            <v>1;63;BP;B;PAQ02a04</v>
          </cell>
          <cell r="B1361">
            <v>730069</v>
          </cell>
          <cell r="C1361" t="str">
            <v>BP</v>
          </cell>
          <cell r="D1361" t="str">
            <v>BALEARES PORTUGAL</v>
          </cell>
          <cell r="E1361" t="str">
            <v>63</v>
          </cell>
          <cell r="F1361" t="str">
            <v>PAQ02a04</v>
          </cell>
          <cell r="G1361" t="str">
            <v>B</v>
          </cell>
          <cell r="H1361">
            <v>36.32</v>
          </cell>
        </row>
        <row r="1362">
          <cell r="A1362" t="str">
            <v>1;63;BP;B;PAQ04a06</v>
          </cell>
          <cell r="B1362">
            <v>730069</v>
          </cell>
          <cell r="C1362" t="str">
            <v>BP</v>
          </cell>
          <cell r="D1362" t="str">
            <v>BALEARES PORTUGAL</v>
          </cell>
          <cell r="E1362" t="str">
            <v>63</v>
          </cell>
          <cell r="F1362" t="str">
            <v>PAQ04a06</v>
          </cell>
          <cell r="G1362" t="str">
            <v>B</v>
          </cell>
          <cell r="H1362">
            <v>47.01</v>
          </cell>
        </row>
        <row r="1363">
          <cell r="A1363" t="str">
            <v>1;63;BP;B;PAQ06a08</v>
          </cell>
          <cell r="B1363">
            <v>730069</v>
          </cell>
          <cell r="C1363" t="str">
            <v>BP</v>
          </cell>
          <cell r="D1363" t="str">
            <v>BALEARES PORTUGAL</v>
          </cell>
          <cell r="E1363" t="str">
            <v>63</v>
          </cell>
          <cell r="F1363" t="str">
            <v>PAQ06a08</v>
          </cell>
          <cell r="G1363" t="str">
            <v>B</v>
          </cell>
          <cell r="H1363">
            <v>57.71</v>
          </cell>
        </row>
        <row r="1364">
          <cell r="A1364" t="str">
            <v>1;63;BP;B;PAQ08a10</v>
          </cell>
          <cell r="B1364">
            <v>730069</v>
          </cell>
          <cell r="C1364" t="str">
            <v>BP</v>
          </cell>
          <cell r="D1364" t="str">
            <v>BALEARES PORTUGAL</v>
          </cell>
          <cell r="E1364" t="str">
            <v>63</v>
          </cell>
          <cell r="F1364" t="str">
            <v>PAQ08a10</v>
          </cell>
          <cell r="G1364" t="str">
            <v>B</v>
          </cell>
          <cell r="H1364">
            <v>68.400000000000006</v>
          </cell>
        </row>
        <row r="1365">
          <cell r="A1365" t="str">
            <v>1;63;BP;B;PAQ10a12</v>
          </cell>
          <cell r="B1365">
            <v>730069</v>
          </cell>
          <cell r="C1365" t="str">
            <v>BP</v>
          </cell>
          <cell r="D1365" t="str">
            <v>BALEARES PORTUGAL</v>
          </cell>
          <cell r="E1365" t="str">
            <v>63</v>
          </cell>
          <cell r="F1365" t="str">
            <v>PAQ10a12</v>
          </cell>
          <cell r="G1365" t="str">
            <v>B</v>
          </cell>
          <cell r="H1365">
            <v>79.099999999999994</v>
          </cell>
        </row>
        <row r="1366">
          <cell r="A1366" t="str">
            <v>1;63;BP;B;PAQ12a14</v>
          </cell>
          <cell r="B1366">
            <v>730069</v>
          </cell>
          <cell r="C1366" t="str">
            <v>BP</v>
          </cell>
          <cell r="D1366" t="str">
            <v>BALEARES PORTUGAL</v>
          </cell>
          <cell r="E1366" t="str">
            <v>63</v>
          </cell>
          <cell r="F1366" t="str">
            <v>PAQ12a14</v>
          </cell>
          <cell r="G1366" t="str">
            <v>B</v>
          </cell>
          <cell r="H1366">
            <v>89.79</v>
          </cell>
        </row>
        <row r="1367">
          <cell r="A1367" t="str">
            <v>1;63;BP;B;PAQ14a16</v>
          </cell>
          <cell r="B1367">
            <v>730069</v>
          </cell>
          <cell r="C1367" t="str">
            <v>BP</v>
          </cell>
          <cell r="D1367" t="str">
            <v>BALEARES PORTUGAL</v>
          </cell>
          <cell r="E1367" t="str">
            <v>63</v>
          </cell>
          <cell r="F1367" t="str">
            <v>PAQ14a16</v>
          </cell>
          <cell r="G1367" t="str">
            <v>B</v>
          </cell>
          <cell r="H1367">
            <v>100.49</v>
          </cell>
        </row>
        <row r="1368">
          <cell r="A1368" t="str">
            <v>1;63;BP;B;PAQ16a18</v>
          </cell>
          <cell r="B1368">
            <v>730069</v>
          </cell>
          <cell r="C1368" t="str">
            <v>BP</v>
          </cell>
          <cell r="D1368" t="str">
            <v>BALEARES PORTUGAL</v>
          </cell>
          <cell r="E1368" t="str">
            <v>63</v>
          </cell>
          <cell r="F1368" t="str">
            <v>PAQ16a18</v>
          </cell>
          <cell r="G1368" t="str">
            <v>B</v>
          </cell>
          <cell r="H1368">
            <v>111.17</v>
          </cell>
        </row>
        <row r="1369">
          <cell r="A1369" t="str">
            <v>1;63;BP;B;PAQ18a20</v>
          </cell>
          <cell r="B1369">
            <v>730069</v>
          </cell>
          <cell r="C1369" t="str">
            <v>BP</v>
          </cell>
          <cell r="D1369" t="str">
            <v>BALEARES PORTUGAL</v>
          </cell>
          <cell r="E1369" t="str">
            <v>63</v>
          </cell>
          <cell r="F1369" t="str">
            <v>PAQ18a20</v>
          </cell>
          <cell r="G1369" t="str">
            <v>B</v>
          </cell>
          <cell r="H1369">
            <v>121.87</v>
          </cell>
        </row>
        <row r="1370">
          <cell r="A1370" t="str">
            <v>1;63;BP;B;PAQ20a22</v>
          </cell>
          <cell r="B1370">
            <v>730069</v>
          </cell>
          <cell r="C1370" t="str">
            <v>BP</v>
          </cell>
          <cell r="D1370" t="str">
            <v>BALEARES PORTUGAL</v>
          </cell>
          <cell r="E1370" t="str">
            <v>63</v>
          </cell>
          <cell r="F1370" t="str">
            <v>PAQ20a22</v>
          </cell>
          <cell r="G1370" t="str">
            <v>B</v>
          </cell>
          <cell r="H1370">
            <v>132.56</v>
          </cell>
        </row>
        <row r="1371">
          <cell r="A1371" t="str">
            <v>1;63;BP;B;PAQ22a24</v>
          </cell>
          <cell r="B1371">
            <v>730069</v>
          </cell>
          <cell r="C1371" t="str">
            <v>BP</v>
          </cell>
          <cell r="D1371" t="str">
            <v>BALEARES PORTUGAL</v>
          </cell>
          <cell r="E1371" t="str">
            <v>63</v>
          </cell>
          <cell r="F1371" t="str">
            <v>PAQ22a24</v>
          </cell>
          <cell r="G1371" t="str">
            <v>B</v>
          </cell>
          <cell r="H1371">
            <v>143.26</v>
          </cell>
        </row>
        <row r="1372">
          <cell r="A1372" t="str">
            <v>1;63;BP;B;PAQ24a26</v>
          </cell>
          <cell r="B1372">
            <v>730069</v>
          </cell>
          <cell r="C1372" t="str">
            <v>BP</v>
          </cell>
          <cell r="D1372" t="str">
            <v>BALEARES PORTUGAL</v>
          </cell>
          <cell r="E1372" t="str">
            <v>63</v>
          </cell>
          <cell r="F1372" t="str">
            <v>PAQ24a26</v>
          </cell>
          <cell r="G1372" t="str">
            <v>B</v>
          </cell>
          <cell r="H1372">
            <v>153.94999999999999</v>
          </cell>
        </row>
        <row r="1373">
          <cell r="A1373" t="str">
            <v>1;63;BP;B;PAQ26a28</v>
          </cell>
          <cell r="B1373">
            <v>730069</v>
          </cell>
          <cell r="C1373" t="str">
            <v>BP</v>
          </cell>
          <cell r="D1373" t="str">
            <v>BALEARES PORTUGAL</v>
          </cell>
          <cell r="E1373" t="str">
            <v>63</v>
          </cell>
          <cell r="F1373" t="str">
            <v>PAQ26a28</v>
          </cell>
          <cell r="G1373" t="str">
            <v>B</v>
          </cell>
          <cell r="H1373">
            <v>164.65</v>
          </cell>
        </row>
        <row r="1374">
          <cell r="A1374" t="str">
            <v>1;63;BP;B;PAQ28a30</v>
          </cell>
          <cell r="B1374">
            <v>730069</v>
          </cell>
          <cell r="C1374" t="str">
            <v>BP</v>
          </cell>
          <cell r="D1374" t="str">
            <v>BALEARES PORTUGAL</v>
          </cell>
          <cell r="E1374" t="str">
            <v>63</v>
          </cell>
          <cell r="F1374" t="str">
            <v>PAQ28a30</v>
          </cell>
          <cell r="G1374" t="str">
            <v>B</v>
          </cell>
          <cell r="H1374">
            <v>175.34</v>
          </cell>
        </row>
        <row r="1375">
          <cell r="A1375" t="str">
            <v>1;63;BP;B;PAQ30a32</v>
          </cell>
          <cell r="B1375">
            <v>730069</v>
          </cell>
          <cell r="C1375" t="str">
            <v>BP</v>
          </cell>
          <cell r="D1375" t="str">
            <v>BALEARES PORTUGAL</v>
          </cell>
          <cell r="E1375" t="str">
            <v>63</v>
          </cell>
          <cell r="F1375" t="str">
            <v>PAQ30a32</v>
          </cell>
          <cell r="G1375" t="str">
            <v>B</v>
          </cell>
          <cell r="H1375">
            <v>186.04</v>
          </cell>
        </row>
        <row r="1376">
          <cell r="A1376" t="str">
            <v>1;63;BP;B;PAQ32a34</v>
          </cell>
          <cell r="B1376">
            <v>730069</v>
          </cell>
          <cell r="C1376" t="str">
            <v>BP</v>
          </cell>
          <cell r="D1376" t="str">
            <v>BALEARES PORTUGAL</v>
          </cell>
          <cell r="E1376" t="str">
            <v>63</v>
          </cell>
          <cell r="F1376" t="str">
            <v>PAQ32a34</v>
          </cell>
          <cell r="G1376" t="str">
            <v>B</v>
          </cell>
          <cell r="H1376">
            <v>196.73</v>
          </cell>
        </row>
        <row r="1377">
          <cell r="A1377" t="str">
            <v>1;63;BP;B;PAQ34a36</v>
          </cell>
          <cell r="B1377">
            <v>730069</v>
          </cell>
          <cell r="C1377" t="str">
            <v>BP</v>
          </cell>
          <cell r="D1377" t="str">
            <v>BALEARES PORTUGAL</v>
          </cell>
          <cell r="E1377" t="str">
            <v>63</v>
          </cell>
          <cell r="F1377" t="str">
            <v>PAQ34a36</v>
          </cell>
          <cell r="G1377" t="str">
            <v>B</v>
          </cell>
          <cell r="H1377">
            <v>207.43</v>
          </cell>
        </row>
        <row r="1378">
          <cell r="A1378" t="str">
            <v>1;63;BP;B;PAQ36a38</v>
          </cell>
          <cell r="B1378">
            <v>730069</v>
          </cell>
          <cell r="C1378" t="str">
            <v>BP</v>
          </cell>
          <cell r="D1378" t="str">
            <v>BALEARES PORTUGAL</v>
          </cell>
          <cell r="E1378" t="str">
            <v>63</v>
          </cell>
          <cell r="F1378" t="str">
            <v>PAQ36a38</v>
          </cell>
          <cell r="G1378" t="str">
            <v>B</v>
          </cell>
          <cell r="H1378">
            <v>218.12</v>
          </cell>
        </row>
        <row r="1379">
          <cell r="A1379" t="str">
            <v>1;63;BP;F;</v>
          </cell>
          <cell r="B1379">
            <v>730069</v>
          </cell>
          <cell r="C1379" t="str">
            <v>BP</v>
          </cell>
          <cell r="D1379" t="str">
            <v>BALEARES PORTUGAL</v>
          </cell>
          <cell r="E1379" t="str">
            <v>63</v>
          </cell>
          <cell r="F1379" t="str">
            <v/>
          </cell>
          <cell r="G1379" t="str">
            <v>F</v>
          </cell>
          <cell r="H1379">
            <v>10.7</v>
          </cell>
        </row>
        <row r="1380">
          <cell r="A1380" t="str">
            <v>1;63;BP;B;PAQ38a40</v>
          </cell>
          <cell r="B1380">
            <v>730069</v>
          </cell>
          <cell r="C1380" t="str">
            <v>BP</v>
          </cell>
          <cell r="D1380" t="str">
            <v>BALEARES PORTUGAL</v>
          </cell>
          <cell r="E1380" t="str">
            <v>63</v>
          </cell>
          <cell r="F1380" t="str">
            <v>PAQ38a40</v>
          </cell>
          <cell r="G1380" t="str">
            <v>B</v>
          </cell>
          <cell r="H1380">
            <v>228.82</v>
          </cell>
        </row>
        <row r="1381">
          <cell r="A1381" t="str">
            <v>1;63;BP;P;</v>
          </cell>
          <cell r="B1381">
            <v>730069</v>
          </cell>
          <cell r="C1381" t="str">
            <v>BP</v>
          </cell>
          <cell r="D1381" t="str">
            <v>BALEARES PORTUGAL</v>
          </cell>
          <cell r="E1381" t="str">
            <v>63</v>
          </cell>
          <cell r="F1381" t="str">
            <v/>
          </cell>
          <cell r="G1381" t="str">
            <v>P</v>
          </cell>
          <cell r="H1381">
            <v>0</v>
          </cell>
        </row>
        <row r="1382">
          <cell r="A1382" t="str">
            <v>1;63;BP;E;</v>
          </cell>
          <cell r="B1382">
            <v>730069</v>
          </cell>
          <cell r="C1382" t="str">
            <v>BP</v>
          </cell>
          <cell r="D1382" t="str">
            <v>BALEARES PORTUGAL</v>
          </cell>
          <cell r="E1382" t="str">
            <v>63</v>
          </cell>
          <cell r="F1382" t="str">
            <v/>
          </cell>
          <cell r="G1382" t="str">
            <v>E</v>
          </cell>
          <cell r="H1382">
            <v>0</v>
          </cell>
        </row>
        <row r="1383">
          <cell r="A1383" t="str">
            <v>1;01;B1;B;BAG</v>
          </cell>
          <cell r="B1383">
            <v>730069</v>
          </cell>
          <cell r="C1383" t="str">
            <v>B1</v>
          </cell>
          <cell r="D1383" t="str">
            <v>BALEARES AÉREO 1</v>
          </cell>
          <cell r="E1383" t="str">
            <v>01</v>
          </cell>
          <cell r="F1383" t="str">
            <v>BAG</v>
          </cell>
          <cell r="G1383" t="str">
            <v>B</v>
          </cell>
          <cell r="H1383">
            <v>19.96</v>
          </cell>
        </row>
        <row r="1384">
          <cell r="A1384" t="str">
            <v>1;01;B1;B;DOCS</v>
          </cell>
          <cell r="B1384">
            <v>730069</v>
          </cell>
          <cell r="C1384" t="str">
            <v>B1</v>
          </cell>
          <cell r="D1384" t="str">
            <v>BALEARES AÉREO 1</v>
          </cell>
          <cell r="E1384" t="str">
            <v>01</v>
          </cell>
          <cell r="F1384" t="str">
            <v>DOCS</v>
          </cell>
          <cell r="G1384" t="str">
            <v>B</v>
          </cell>
          <cell r="H1384">
            <v>14.63</v>
          </cell>
        </row>
        <row r="1385">
          <cell r="A1385" t="str">
            <v>1;01;B1;B;PAQ00a02</v>
          </cell>
          <cell r="B1385">
            <v>730069</v>
          </cell>
          <cell r="C1385" t="str">
            <v>B1</v>
          </cell>
          <cell r="D1385" t="str">
            <v>BALEARES AÉREO 1</v>
          </cell>
          <cell r="E1385" t="str">
            <v>01</v>
          </cell>
          <cell r="F1385" t="str">
            <v>PAQ00a02</v>
          </cell>
          <cell r="G1385" t="str">
            <v>B</v>
          </cell>
          <cell r="H1385">
            <v>24.81</v>
          </cell>
        </row>
        <row r="1386">
          <cell r="A1386" t="str">
            <v>1;01;B1;B;PAQ02a04</v>
          </cell>
          <cell r="B1386">
            <v>730069</v>
          </cell>
          <cell r="C1386" t="str">
            <v>B1</v>
          </cell>
          <cell r="D1386" t="str">
            <v>BALEARES AÉREO 1</v>
          </cell>
          <cell r="E1386" t="str">
            <v>01</v>
          </cell>
          <cell r="F1386" t="str">
            <v>PAQ02a04</v>
          </cell>
          <cell r="G1386" t="str">
            <v>B</v>
          </cell>
          <cell r="H1386">
            <v>43.3</v>
          </cell>
        </row>
        <row r="1387">
          <cell r="A1387" t="str">
            <v>1;01;B1;B;PAQ04a06</v>
          </cell>
          <cell r="B1387">
            <v>730069</v>
          </cell>
          <cell r="C1387" t="str">
            <v>B1</v>
          </cell>
          <cell r="D1387" t="str">
            <v>BALEARES AÉREO 1</v>
          </cell>
          <cell r="E1387" t="str">
            <v>01</v>
          </cell>
          <cell r="F1387" t="str">
            <v>PAQ04a06</v>
          </cell>
          <cell r="G1387" t="str">
            <v>B</v>
          </cell>
          <cell r="H1387">
            <v>63.9</v>
          </cell>
        </row>
        <row r="1388">
          <cell r="A1388" t="str">
            <v>1;01;B1;B;PAQ06a08</v>
          </cell>
          <cell r="B1388">
            <v>730069</v>
          </cell>
          <cell r="C1388" t="str">
            <v>B1</v>
          </cell>
          <cell r="D1388" t="str">
            <v>BALEARES AÉREO 1</v>
          </cell>
          <cell r="E1388" t="str">
            <v>01</v>
          </cell>
          <cell r="F1388" t="str">
            <v>PAQ06a08</v>
          </cell>
          <cell r="G1388" t="str">
            <v>B</v>
          </cell>
          <cell r="H1388">
            <v>84.52</v>
          </cell>
        </row>
        <row r="1389">
          <cell r="A1389" t="str">
            <v>1;01;B1;B;PAQ08a10</v>
          </cell>
          <cell r="B1389">
            <v>730069</v>
          </cell>
          <cell r="C1389" t="str">
            <v>B1</v>
          </cell>
          <cell r="D1389" t="str">
            <v>BALEARES AÉREO 1</v>
          </cell>
          <cell r="E1389" t="str">
            <v>01</v>
          </cell>
          <cell r="F1389" t="str">
            <v>PAQ08a10</v>
          </cell>
          <cell r="G1389" t="str">
            <v>B</v>
          </cell>
          <cell r="H1389">
            <v>105.13</v>
          </cell>
        </row>
        <row r="1390">
          <cell r="A1390" t="str">
            <v>1;01;B1;B;PAQ10a12</v>
          </cell>
          <cell r="B1390">
            <v>730069</v>
          </cell>
          <cell r="C1390" t="str">
            <v>B1</v>
          </cell>
          <cell r="D1390" t="str">
            <v>BALEARES AÉREO 1</v>
          </cell>
          <cell r="E1390" t="str">
            <v>01</v>
          </cell>
          <cell r="F1390" t="str">
            <v>PAQ10a12</v>
          </cell>
          <cell r="G1390" t="str">
            <v>B</v>
          </cell>
          <cell r="H1390">
            <v>125.74</v>
          </cell>
        </row>
        <row r="1391">
          <cell r="A1391" t="str">
            <v>1;01;B1;B;PAQ12a14</v>
          </cell>
          <cell r="B1391">
            <v>730069</v>
          </cell>
          <cell r="C1391" t="str">
            <v>B1</v>
          </cell>
          <cell r="D1391" t="str">
            <v>BALEARES AÉREO 1</v>
          </cell>
          <cell r="E1391" t="str">
            <v>01</v>
          </cell>
          <cell r="F1391" t="str">
            <v>PAQ12a14</v>
          </cell>
          <cell r="G1391" t="str">
            <v>B</v>
          </cell>
          <cell r="H1391">
            <v>146.35</v>
          </cell>
        </row>
        <row r="1392">
          <cell r="A1392" t="str">
            <v>1;01;B1;B;PAQ14a16</v>
          </cell>
          <cell r="B1392">
            <v>730069</v>
          </cell>
          <cell r="C1392" t="str">
            <v>B1</v>
          </cell>
          <cell r="D1392" t="str">
            <v>BALEARES AÉREO 1</v>
          </cell>
          <cell r="E1392" t="str">
            <v>01</v>
          </cell>
          <cell r="F1392" t="str">
            <v>PAQ14a16</v>
          </cell>
          <cell r="G1392" t="str">
            <v>B</v>
          </cell>
          <cell r="H1392">
            <v>166.96</v>
          </cell>
        </row>
        <row r="1393">
          <cell r="A1393" t="str">
            <v>1;01;B1;B;PAQ16a18</v>
          </cell>
          <cell r="B1393">
            <v>730069</v>
          </cell>
          <cell r="C1393" t="str">
            <v>B1</v>
          </cell>
          <cell r="D1393" t="str">
            <v>BALEARES AÉREO 1</v>
          </cell>
          <cell r="E1393" t="str">
            <v>01</v>
          </cell>
          <cell r="F1393" t="str">
            <v>PAQ16a18</v>
          </cell>
          <cell r="G1393" t="str">
            <v>B</v>
          </cell>
          <cell r="H1393">
            <v>187.57</v>
          </cell>
        </row>
        <row r="1394">
          <cell r="A1394" t="str">
            <v>1;01;B1;B;PAQ18a20</v>
          </cell>
          <cell r="B1394">
            <v>730069</v>
          </cell>
          <cell r="C1394" t="str">
            <v>B1</v>
          </cell>
          <cell r="D1394" t="str">
            <v>BALEARES AÉREO 1</v>
          </cell>
          <cell r="E1394" t="str">
            <v>01</v>
          </cell>
          <cell r="F1394" t="str">
            <v>PAQ18a20</v>
          </cell>
          <cell r="G1394" t="str">
            <v>B</v>
          </cell>
          <cell r="H1394">
            <v>208.19</v>
          </cell>
        </row>
        <row r="1395">
          <cell r="A1395" t="str">
            <v>1;01;B1;B;PAQ20a22</v>
          </cell>
          <cell r="B1395">
            <v>730069</v>
          </cell>
          <cell r="C1395" t="str">
            <v>B1</v>
          </cell>
          <cell r="D1395" t="str">
            <v>BALEARES AÉREO 1</v>
          </cell>
          <cell r="E1395" t="str">
            <v>01</v>
          </cell>
          <cell r="F1395" t="str">
            <v>PAQ20a22</v>
          </cell>
          <cell r="G1395" t="str">
            <v>B</v>
          </cell>
          <cell r="H1395">
            <v>228.79</v>
          </cell>
        </row>
        <row r="1396">
          <cell r="A1396" t="str">
            <v>1;01;B1;B;PAQ22a24</v>
          </cell>
          <cell r="B1396">
            <v>730069</v>
          </cell>
          <cell r="C1396" t="str">
            <v>B1</v>
          </cell>
          <cell r="D1396" t="str">
            <v>BALEARES AÉREO 1</v>
          </cell>
          <cell r="E1396" t="str">
            <v>01</v>
          </cell>
          <cell r="F1396" t="str">
            <v>PAQ22a24</v>
          </cell>
          <cell r="G1396" t="str">
            <v>B</v>
          </cell>
          <cell r="H1396">
            <v>249.4</v>
          </cell>
        </row>
        <row r="1397">
          <cell r="A1397" t="str">
            <v>1;01;B1;B;PAQ24a26</v>
          </cell>
          <cell r="B1397">
            <v>730069</v>
          </cell>
          <cell r="C1397" t="str">
            <v>B1</v>
          </cell>
          <cell r="D1397" t="str">
            <v>BALEARES AÉREO 1</v>
          </cell>
          <cell r="E1397" t="str">
            <v>01</v>
          </cell>
          <cell r="F1397" t="str">
            <v>PAQ24a26</v>
          </cell>
          <cell r="G1397" t="str">
            <v>B</v>
          </cell>
          <cell r="H1397">
            <v>270.01</v>
          </cell>
        </row>
        <row r="1398">
          <cell r="A1398" t="str">
            <v>1;01;B1;B;PAQ26a28</v>
          </cell>
          <cell r="B1398">
            <v>730069</v>
          </cell>
          <cell r="C1398" t="str">
            <v>B1</v>
          </cell>
          <cell r="D1398" t="str">
            <v>BALEARES AÉREO 1</v>
          </cell>
          <cell r="E1398" t="str">
            <v>01</v>
          </cell>
          <cell r="F1398" t="str">
            <v>PAQ26a28</v>
          </cell>
          <cell r="G1398" t="str">
            <v>B</v>
          </cell>
          <cell r="H1398">
            <v>290.64</v>
          </cell>
        </row>
        <row r="1399">
          <cell r="A1399" t="str">
            <v>1;01;B1;B;PAQ28a30</v>
          </cell>
          <cell r="B1399">
            <v>730069</v>
          </cell>
          <cell r="C1399" t="str">
            <v>B1</v>
          </cell>
          <cell r="D1399" t="str">
            <v>BALEARES AÉREO 1</v>
          </cell>
          <cell r="E1399" t="str">
            <v>01</v>
          </cell>
          <cell r="F1399" t="str">
            <v>PAQ28a30</v>
          </cell>
          <cell r="G1399" t="str">
            <v>B</v>
          </cell>
          <cell r="H1399">
            <v>311.24</v>
          </cell>
        </row>
        <row r="1400">
          <cell r="A1400" t="str">
            <v>1;01;B1;B;PAQ30a32</v>
          </cell>
          <cell r="B1400">
            <v>730069</v>
          </cell>
          <cell r="C1400" t="str">
            <v>B1</v>
          </cell>
          <cell r="D1400" t="str">
            <v>BALEARES AÉREO 1</v>
          </cell>
          <cell r="E1400" t="str">
            <v>01</v>
          </cell>
          <cell r="F1400" t="str">
            <v>PAQ30a32</v>
          </cell>
          <cell r="G1400" t="str">
            <v>B</v>
          </cell>
          <cell r="H1400">
            <v>331.85</v>
          </cell>
        </row>
        <row r="1401">
          <cell r="A1401" t="str">
            <v>1;01;B1;B;PAQ32a34</v>
          </cell>
          <cell r="B1401">
            <v>730069</v>
          </cell>
          <cell r="C1401" t="str">
            <v>B1</v>
          </cell>
          <cell r="D1401" t="str">
            <v>BALEARES AÉREO 1</v>
          </cell>
          <cell r="E1401" t="str">
            <v>01</v>
          </cell>
          <cell r="F1401" t="str">
            <v>PAQ32a34</v>
          </cell>
          <cell r="G1401" t="str">
            <v>B</v>
          </cell>
          <cell r="H1401">
            <v>352.47</v>
          </cell>
        </row>
        <row r="1402">
          <cell r="A1402" t="str">
            <v>1;01;B1;B;PAQ34a36</v>
          </cell>
          <cell r="B1402">
            <v>730069</v>
          </cell>
          <cell r="C1402" t="str">
            <v>B1</v>
          </cell>
          <cell r="D1402" t="str">
            <v>BALEARES AÉREO 1</v>
          </cell>
          <cell r="E1402" t="str">
            <v>01</v>
          </cell>
          <cell r="F1402" t="str">
            <v>PAQ34a36</v>
          </cell>
          <cell r="G1402" t="str">
            <v>B</v>
          </cell>
          <cell r="H1402">
            <v>373.08</v>
          </cell>
        </row>
        <row r="1403">
          <cell r="A1403" t="str">
            <v>1;01;B1;B;PAQ36a38</v>
          </cell>
          <cell r="B1403">
            <v>730069</v>
          </cell>
          <cell r="C1403" t="str">
            <v>B1</v>
          </cell>
          <cell r="D1403" t="str">
            <v>BALEARES AÉREO 1</v>
          </cell>
          <cell r="E1403" t="str">
            <v>01</v>
          </cell>
          <cell r="F1403" t="str">
            <v>PAQ36a38</v>
          </cell>
          <cell r="G1403" t="str">
            <v>B</v>
          </cell>
          <cell r="H1403">
            <v>393.68</v>
          </cell>
        </row>
        <row r="1404">
          <cell r="A1404" t="str">
            <v>1;01;B1;B;PAQ38a40</v>
          </cell>
          <cell r="B1404">
            <v>730069</v>
          </cell>
          <cell r="C1404" t="str">
            <v>B1</v>
          </cell>
          <cell r="D1404" t="str">
            <v>BALEARES AÉREO 1</v>
          </cell>
          <cell r="E1404" t="str">
            <v>01</v>
          </cell>
          <cell r="F1404" t="str">
            <v>PAQ38a40</v>
          </cell>
          <cell r="G1404" t="str">
            <v>B</v>
          </cell>
          <cell r="H1404">
            <v>414.29</v>
          </cell>
        </row>
        <row r="1405">
          <cell r="A1405" t="str">
            <v>1;01;B1;F;</v>
          </cell>
          <cell r="B1405">
            <v>730069</v>
          </cell>
          <cell r="C1405" t="str">
            <v>B1</v>
          </cell>
          <cell r="D1405" t="str">
            <v>BALEARES AÉREO 1</v>
          </cell>
          <cell r="E1405" t="str">
            <v>01</v>
          </cell>
          <cell r="F1405" t="str">
            <v/>
          </cell>
          <cell r="G1405" t="str">
            <v>F</v>
          </cell>
          <cell r="H1405">
            <v>20.61</v>
          </cell>
        </row>
        <row r="1406">
          <cell r="A1406" t="str">
            <v>1;01;B1;E;</v>
          </cell>
          <cell r="B1406">
            <v>730069</v>
          </cell>
          <cell r="C1406" t="str">
            <v>B1</v>
          </cell>
          <cell r="D1406" t="str">
            <v>BALEARES AÉREO 1</v>
          </cell>
          <cell r="E1406" t="str">
            <v>01</v>
          </cell>
          <cell r="F1406" t="str">
            <v/>
          </cell>
          <cell r="G1406" t="str">
            <v>E</v>
          </cell>
          <cell r="H1406">
            <v>0</v>
          </cell>
        </row>
        <row r="1407">
          <cell r="A1407" t="str">
            <v>1;01;B1;P;</v>
          </cell>
          <cell r="B1407">
            <v>730069</v>
          </cell>
          <cell r="C1407" t="str">
            <v>B1</v>
          </cell>
          <cell r="D1407" t="str">
            <v>BALEARES AÉREO 1</v>
          </cell>
          <cell r="E1407" t="str">
            <v>01</v>
          </cell>
          <cell r="F1407" t="str">
            <v/>
          </cell>
          <cell r="G1407" t="str">
            <v>P</v>
          </cell>
          <cell r="H1407">
            <v>0</v>
          </cell>
        </row>
        <row r="1408">
          <cell r="A1408" t="str">
            <v>1;02;B1;B;BAG</v>
          </cell>
          <cell r="B1408">
            <v>730069</v>
          </cell>
          <cell r="C1408" t="str">
            <v>B1</v>
          </cell>
          <cell r="D1408" t="str">
            <v>BALEARES AÉREO 1</v>
          </cell>
          <cell r="E1408" t="str">
            <v>02</v>
          </cell>
          <cell r="F1408" t="str">
            <v>BAG</v>
          </cell>
          <cell r="G1408" t="str">
            <v>B</v>
          </cell>
          <cell r="H1408">
            <v>15.67</v>
          </cell>
        </row>
        <row r="1409">
          <cell r="A1409" t="str">
            <v>1;02;B1;B;DOCS</v>
          </cell>
          <cell r="B1409">
            <v>730069</v>
          </cell>
          <cell r="C1409" t="str">
            <v>B1</v>
          </cell>
          <cell r="D1409" t="str">
            <v>BALEARES AÉREO 1</v>
          </cell>
          <cell r="E1409" t="str">
            <v>02</v>
          </cell>
          <cell r="F1409" t="str">
            <v>DOCS</v>
          </cell>
          <cell r="G1409" t="str">
            <v>B</v>
          </cell>
          <cell r="H1409">
            <v>11.19</v>
          </cell>
        </row>
        <row r="1410">
          <cell r="A1410" t="str">
            <v>1;02;B1;B;PAQ00a02</v>
          </cell>
          <cell r="B1410">
            <v>730069</v>
          </cell>
          <cell r="C1410" t="str">
            <v>B1</v>
          </cell>
          <cell r="D1410" t="str">
            <v>BALEARES AÉREO 1</v>
          </cell>
          <cell r="E1410" t="str">
            <v>02</v>
          </cell>
          <cell r="F1410" t="str">
            <v>PAQ00a02</v>
          </cell>
          <cell r="G1410" t="str">
            <v>B</v>
          </cell>
          <cell r="H1410">
            <v>18.66</v>
          </cell>
        </row>
        <row r="1411">
          <cell r="A1411" t="str">
            <v>1;02;B1;B;PAQ02a04</v>
          </cell>
          <cell r="B1411">
            <v>730069</v>
          </cell>
          <cell r="C1411" t="str">
            <v>B1</v>
          </cell>
          <cell r="D1411" t="str">
            <v>BALEARES AÉREO 1</v>
          </cell>
          <cell r="E1411" t="str">
            <v>02</v>
          </cell>
          <cell r="F1411" t="str">
            <v>PAQ02a04</v>
          </cell>
          <cell r="G1411" t="str">
            <v>B</v>
          </cell>
          <cell r="H1411">
            <v>30.11</v>
          </cell>
        </row>
        <row r="1412">
          <cell r="A1412" t="str">
            <v>1;02;B1;B;PAQ04a06</v>
          </cell>
          <cell r="B1412">
            <v>730069</v>
          </cell>
          <cell r="C1412" t="str">
            <v>B1</v>
          </cell>
          <cell r="D1412" t="str">
            <v>BALEARES AÉREO 1</v>
          </cell>
          <cell r="E1412" t="str">
            <v>02</v>
          </cell>
          <cell r="F1412" t="str">
            <v>PAQ04a06</v>
          </cell>
          <cell r="G1412" t="str">
            <v>B</v>
          </cell>
          <cell r="H1412">
            <v>41.86</v>
          </cell>
        </row>
        <row r="1413">
          <cell r="A1413" t="str">
            <v>1;02;B1;B;PAQ06a08</v>
          </cell>
          <cell r="B1413">
            <v>730069</v>
          </cell>
          <cell r="C1413" t="str">
            <v>B1</v>
          </cell>
          <cell r="D1413" t="str">
            <v>BALEARES AÉREO 1</v>
          </cell>
          <cell r="E1413" t="str">
            <v>02</v>
          </cell>
          <cell r="F1413" t="str">
            <v>PAQ06a08</v>
          </cell>
          <cell r="G1413" t="str">
            <v>B</v>
          </cell>
          <cell r="H1413">
            <v>53.93</v>
          </cell>
        </row>
        <row r="1414">
          <cell r="A1414" t="str">
            <v>1;02;B1;B;PAQ08a10</v>
          </cell>
          <cell r="B1414">
            <v>730069</v>
          </cell>
          <cell r="C1414" t="str">
            <v>B1</v>
          </cell>
          <cell r="D1414" t="str">
            <v>BALEARES AÉREO 1</v>
          </cell>
          <cell r="E1414" t="str">
            <v>02</v>
          </cell>
          <cell r="F1414" t="str">
            <v>PAQ08a10</v>
          </cell>
          <cell r="G1414" t="str">
            <v>B</v>
          </cell>
          <cell r="H1414">
            <v>66</v>
          </cell>
        </row>
        <row r="1415">
          <cell r="A1415" t="str">
            <v>1;02;B1;B;PAQ10a12</v>
          </cell>
          <cell r="B1415">
            <v>730069</v>
          </cell>
          <cell r="C1415" t="str">
            <v>B1</v>
          </cell>
          <cell r="D1415" t="str">
            <v>BALEARES AÉREO 1</v>
          </cell>
          <cell r="E1415" t="str">
            <v>02</v>
          </cell>
          <cell r="F1415" t="str">
            <v>PAQ10a12</v>
          </cell>
          <cell r="G1415" t="str">
            <v>B</v>
          </cell>
          <cell r="H1415">
            <v>78.069999999999993</v>
          </cell>
        </row>
        <row r="1416">
          <cell r="A1416" t="str">
            <v>1;02;B1;B;PAQ12a14</v>
          </cell>
          <cell r="B1416">
            <v>730069</v>
          </cell>
          <cell r="C1416" t="str">
            <v>B1</v>
          </cell>
          <cell r="D1416" t="str">
            <v>BALEARES AÉREO 1</v>
          </cell>
          <cell r="E1416" t="str">
            <v>02</v>
          </cell>
          <cell r="F1416" t="str">
            <v>PAQ12a14</v>
          </cell>
          <cell r="G1416" t="str">
            <v>B</v>
          </cell>
          <cell r="H1416">
            <v>90.15</v>
          </cell>
        </row>
        <row r="1417">
          <cell r="A1417" t="str">
            <v>1;02;B1;B;PAQ14a16</v>
          </cell>
          <cell r="B1417">
            <v>730069</v>
          </cell>
          <cell r="C1417" t="str">
            <v>B1</v>
          </cell>
          <cell r="D1417" t="str">
            <v>BALEARES AÉREO 1</v>
          </cell>
          <cell r="E1417" t="str">
            <v>02</v>
          </cell>
          <cell r="F1417" t="str">
            <v>PAQ14a16</v>
          </cell>
          <cell r="G1417" t="str">
            <v>B</v>
          </cell>
          <cell r="H1417">
            <v>102.22</v>
          </cell>
        </row>
        <row r="1418">
          <cell r="A1418" t="str">
            <v>1;02;B1;B;PAQ16a18</v>
          </cell>
          <cell r="B1418">
            <v>730069</v>
          </cell>
          <cell r="C1418" t="str">
            <v>B1</v>
          </cell>
          <cell r="D1418" t="str">
            <v>BALEARES AÉREO 1</v>
          </cell>
          <cell r="E1418" t="str">
            <v>02</v>
          </cell>
          <cell r="F1418" t="str">
            <v>PAQ16a18</v>
          </cell>
          <cell r="G1418" t="str">
            <v>B</v>
          </cell>
          <cell r="H1418">
            <v>114.29</v>
          </cell>
        </row>
        <row r="1419">
          <cell r="A1419" t="str">
            <v>1;02;B1;B;PAQ18a20</v>
          </cell>
          <cell r="B1419">
            <v>730069</v>
          </cell>
          <cell r="C1419" t="str">
            <v>B1</v>
          </cell>
          <cell r="D1419" t="str">
            <v>BALEARES AÉREO 1</v>
          </cell>
          <cell r="E1419" t="str">
            <v>02</v>
          </cell>
          <cell r="F1419" t="str">
            <v>PAQ18a20</v>
          </cell>
          <cell r="G1419" t="str">
            <v>B</v>
          </cell>
          <cell r="H1419">
            <v>126.35</v>
          </cell>
        </row>
        <row r="1420">
          <cell r="A1420" t="str">
            <v>1;02;B1;B;PAQ20a22</v>
          </cell>
          <cell r="B1420">
            <v>730069</v>
          </cell>
          <cell r="C1420" t="str">
            <v>B1</v>
          </cell>
          <cell r="D1420" t="str">
            <v>BALEARES AÉREO 1</v>
          </cell>
          <cell r="E1420" t="str">
            <v>02</v>
          </cell>
          <cell r="F1420" t="str">
            <v>PAQ20a22</v>
          </cell>
          <cell r="G1420" t="str">
            <v>B</v>
          </cell>
          <cell r="H1420">
            <v>138.41999999999999</v>
          </cell>
        </row>
        <row r="1421">
          <cell r="A1421" t="str">
            <v>1;02;B1;B;PAQ22a24</v>
          </cell>
          <cell r="B1421">
            <v>730069</v>
          </cell>
          <cell r="C1421" t="str">
            <v>B1</v>
          </cell>
          <cell r="D1421" t="str">
            <v>BALEARES AÉREO 1</v>
          </cell>
          <cell r="E1421" t="str">
            <v>02</v>
          </cell>
          <cell r="F1421" t="str">
            <v>PAQ22a24</v>
          </cell>
          <cell r="G1421" t="str">
            <v>B</v>
          </cell>
          <cell r="H1421">
            <v>150.49</v>
          </cell>
        </row>
        <row r="1422">
          <cell r="A1422" t="str">
            <v>1;02;B1;B;PAQ24a26</v>
          </cell>
          <cell r="B1422">
            <v>730069</v>
          </cell>
          <cell r="C1422" t="str">
            <v>B1</v>
          </cell>
          <cell r="D1422" t="str">
            <v>BALEARES AÉREO 1</v>
          </cell>
          <cell r="E1422" t="str">
            <v>02</v>
          </cell>
          <cell r="F1422" t="str">
            <v>PAQ24a26</v>
          </cell>
          <cell r="G1422" t="str">
            <v>B</v>
          </cell>
          <cell r="H1422">
            <v>162.56</v>
          </cell>
        </row>
        <row r="1423">
          <cell r="A1423" t="str">
            <v>1;02;B1;B;PAQ26a28</v>
          </cell>
          <cell r="B1423">
            <v>730069</v>
          </cell>
          <cell r="C1423" t="str">
            <v>B1</v>
          </cell>
          <cell r="D1423" t="str">
            <v>BALEARES AÉREO 1</v>
          </cell>
          <cell r="E1423" t="str">
            <v>02</v>
          </cell>
          <cell r="F1423" t="str">
            <v>PAQ26a28</v>
          </cell>
          <cell r="G1423" t="str">
            <v>B</v>
          </cell>
          <cell r="H1423">
            <v>174.64</v>
          </cell>
        </row>
        <row r="1424">
          <cell r="A1424" t="str">
            <v>1;02;B1;B;PAQ28a30</v>
          </cell>
          <cell r="B1424">
            <v>730069</v>
          </cell>
          <cell r="C1424" t="str">
            <v>B1</v>
          </cell>
          <cell r="D1424" t="str">
            <v>BALEARES AÉREO 1</v>
          </cell>
          <cell r="E1424" t="str">
            <v>02</v>
          </cell>
          <cell r="F1424" t="str">
            <v>PAQ28a30</v>
          </cell>
          <cell r="G1424" t="str">
            <v>B</v>
          </cell>
          <cell r="H1424">
            <v>186.71</v>
          </cell>
        </row>
        <row r="1425">
          <cell r="A1425" t="str">
            <v>1;02;B1;B;PAQ30a32</v>
          </cell>
          <cell r="B1425">
            <v>730069</v>
          </cell>
          <cell r="C1425" t="str">
            <v>B1</v>
          </cell>
          <cell r="D1425" t="str">
            <v>BALEARES AÉREO 1</v>
          </cell>
          <cell r="E1425" t="str">
            <v>02</v>
          </cell>
          <cell r="F1425" t="str">
            <v>PAQ30a32</v>
          </cell>
          <cell r="G1425" t="str">
            <v>B</v>
          </cell>
          <cell r="H1425">
            <v>198.78</v>
          </cell>
        </row>
        <row r="1426">
          <cell r="A1426" t="str">
            <v>1;02;B1;B;PAQ32a34</v>
          </cell>
          <cell r="B1426">
            <v>730069</v>
          </cell>
          <cell r="C1426" t="str">
            <v>B1</v>
          </cell>
          <cell r="D1426" t="str">
            <v>BALEARES AÉREO 1</v>
          </cell>
          <cell r="E1426" t="str">
            <v>02</v>
          </cell>
          <cell r="F1426" t="str">
            <v>PAQ32a34</v>
          </cell>
          <cell r="G1426" t="str">
            <v>B</v>
          </cell>
          <cell r="H1426">
            <v>210.84</v>
          </cell>
        </row>
        <row r="1427">
          <cell r="A1427" t="str">
            <v>1;02;B1;B;PAQ34a36</v>
          </cell>
          <cell r="B1427">
            <v>730069</v>
          </cell>
          <cell r="C1427" t="str">
            <v>B1</v>
          </cell>
          <cell r="D1427" t="str">
            <v>BALEARES AÉREO 1</v>
          </cell>
          <cell r="E1427" t="str">
            <v>02</v>
          </cell>
          <cell r="F1427" t="str">
            <v>PAQ34a36</v>
          </cell>
          <cell r="G1427" t="str">
            <v>B</v>
          </cell>
          <cell r="H1427">
            <v>222.91</v>
          </cell>
        </row>
        <row r="1428">
          <cell r="A1428" t="str">
            <v>1;02;B1;B;PAQ36a38</v>
          </cell>
          <cell r="B1428">
            <v>730069</v>
          </cell>
          <cell r="C1428" t="str">
            <v>B1</v>
          </cell>
          <cell r="D1428" t="str">
            <v>BALEARES AÉREO 1</v>
          </cell>
          <cell r="E1428" t="str">
            <v>02</v>
          </cell>
          <cell r="F1428" t="str">
            <v>PAQ36a38</v>
          </cell>
          <cell r="G1428" t="str">
            <v>B</v>
          </cell>
          <cell r="H1428">
            <v>234.98</v>
          </cell>
        </row>
        <row r="1429">
          <cell r="A1429" t="str">
            <v>1;02;B1;B;PAQ38a40</v>
          </cell>
          <cell r="B1429">
            <v>730069</v>
          </cell>
          <cell r="C1429" t="str">
            <v>B1</v>
          </cell>
          <cell r="D1429" t="str">
            <v>BALEARES AÉREO 1</v>
          </cell>
          <cell r="E1429" t="str">
            <v>02</v>
          </cell>
          <cell r="F1429" t="str">
            <v>PAQ38a40</v>
          </cell>
          <cell r="G1429" t="str">
            <v>B</v>
          </cell>
          <cell r="H1429">
            <v>247.06</v>
          </cell>
        </row>
        <row r="1430">
          <cell r="A1430" t="str">
            <v>1;02;B1;F;</v>
          </cell>
          <cell r="B1430">
            <v>730069</v>
          </cell>
          <cell r="C1430" t="str">
            <v>B1</v>
          </cell>
          <cell r="D1430" t="str">
            <v>BALEARES AÉREO 1</v>
          </cell>
          <cell r="E1430" t="str">
            <v>02</v>
          </cell>
          <cell r="F1430" t="str">
            <v/>
          </cell>
          <cell r="G1430" t="str">
            <v>F</v>
          </cell>
          <cell r="H1430">
            <v>12.07</v>
          </cell>
        </row>
        <row r="1431">
          <cell r="A1431" t="str">
            <v>1;02;B1;P;</v>
          </cell>
          <cell r="B1431">
            <v>730069</v>
          </cell>
          <cell r="C1431" t="str">
            <v>B1</v>
          </cell>
          <cell r="D1431" t="str">
            <v>BALEARES AÉREO 1</v>
          </cell>
          <cell r="E1431" t="str">
            <v>02</v>
          </cell>
          <cell r="F1431" t="str">
            <v/>
          </cell>
          <cell r="G1431" t="str">
            <v>P</v>
          </cell>
          <cell r="H1431">
            <v>0</v>
          </cell>
        </row>
        <row r="1432">
          <cell r="A1432" t="str">
            <v>1;02;B1;E;</v>
          </cell>
          <cell r="B1432">
            <v>730069</v>
          </cell>
          <cell r="C1432" t="str">
            <v>B1</v>
          </cell>
          <cell r="D1432" t="str">
            <v>BALEARES AÉREO 1</v>
          </cell>
          <cell r="E1432" t="str">
            <v>02</v>
          </cell>
          <cell r="F1432" t="str">
            <v/>
          </cell>
          <cell r="G1432" t="str">
            <v>E</v>
          </cell>
          <cell r="H1432">
            <v>0</v>
          </cell>
        </row>
        <row r="1433">
          <cell r="A1433" t="str">
            <v>1;08;B1;B;BAG</v>
          </cell>
          <cell r="B1433">
            <v>730069</v>
          </cell>
          <cell r="C1433" t="str">
            <v>B1</v>
          </cell>
          <cell r="D1433" t="str">
            <v>BALEARES AÉREO 1</v>
          </cell>
          <cell r="E1433" t="str">
            <v>08</v>
          </cell>
          <cell r="F1433" t="str">
            <v>BAG</v>
          </cell>
          <cell r="G1433" t="str">
            <v>B</v>
          </cell>
          <cell r="H1433">
            <v>14.34</v>
          </cell>
        </row>
        <row r="1434">
          <cell r="A1434" t="str">
            <v>1;08;B1;B;DOCS</v>
          </cell>
          <cell r="B1434">
            <v>730069</v>
          </cell>
          <cell r="C1434" t="str">
            <v>B1</v>
          </cell>
          <cell r="D1434" t="str">
            <v>BALEARES AÉREO 1</v>
          </cell>
          <cell r="E1434" t="str">
            <v>08</v>
          </cell>
          <cell r="F1434" t="str">
            <v>DOCS</v>
          </cell>
          <cell r="G1434" t="str">
            <v>B</v>
          </cell>
          <cell r="H1434">
            <v>8.7200000000000006</v>
          </cell>
        </row>
        <row r="1435">
          <cell r="A1435" t="str">
            <v>1;08;B1;B;PAQ00a02</v>
          </cell>
          <cell r="B1435">
            <v>730069</v>
          </cell>
          <cell r="C1435" t="str">
            <v>B1</v>
          </cell>
          <cell r="D1435" t="str">
            <v>BALEARES AÉREO 1</v>
          </cell>
          <cell r="E1435" t="str">
            <v>08</v>
          </cell>
          <cell r="F1435" t="str">
            <v>PAQ00a02</v>
          </cell>
          <cell r="G1435" t="str">
            <v>B</v>
          </cell>
          <cell r="H1435">
            <v>16.96</v>
          </cell>
        </row>
        <row r="1436">
          <cell r="A1436" t="str">
            <v>1;08;B1;B;PAQ02a04</v>
          </cell>
          <cell r="B1436">
            <v>730069</v>
          </cell>
          <cell r="C1436" t="str">
            <v>B1</v>
          </cell>
          <cell r="D1436" t="str">
            <v>BALEARES AÉREO 1</v>
          </cell>
          <cell r="E1436" t="str">
            <v>08</v>
          </cell>
          <cell r="F1436" t="str">
            <v>PAQ02a04</v>
          </cell>
          <cell r="G1436" t="str">
            <v>B</v>
          </cell>
          <cell r="H1436">
            <v>23.88</v>
          </cell>
        </row>
        <row r="1437">
          <cell r="A1437" t="str">
            <v>1;08;B1;B;PAQ04a06</v>
          </cell>
          <cell r="B1437">
            <v>730069</v>
          </cell>
          <cell r="C1437" t="str">
            <v>B1</v>
          </cell>
          <cell r="D1437" t="str">
            <v>BALEARES AÉREO 1</v>
          </cell>
          <cell r="E1437" t="str">
            <v>08</v>
          </cell>
          <cell r="F1437" t="str">
            <v>PAQ04a06</v>
          </cell>
          <cell r="G1437" t="str">
            <v>B</v>
          </cell>
          <cell r="H1437">
            <v>30.98</v>
          </cell>
        </row>
        <row r="1438">
          <cell r="A1438" t="str">
            <v>1;08;B1;B;PAQ06a08</v>
          </cell>
          <cell r="B1438">
            <v>730069</v>
          </cell>
          <cell r="C1438" t="str">
            <v>B1</v>
          </cell>
          <cell r="D1438" t="str">
            <v>BALEARES AÉREO 1</v>
          </cell>
          <cell r="E1438" t="str">
            <v>08</v>
          </cell>
          <cell r="F1438" t="str">
            <v>PAQ06a08</v>
          </cell>
          <cell r="G1438" t="str">
            <v>B</v>
          </cell>
          <cell r="H1438">
            <v>37.35</v>
          </cell>
        </row>
        <row r="1439">
          <cell r="A1439" t="str">
            <v>1;08;B1;B;PAQ08a10</v>
          </cell>
          <cell r="B1439">
            <v>730069</v>
          </cell>
          <cell r="C1439" t="str">
            <v>B1</v>
          </cell>
          <cell r="D1439" t="str">
            <v>BALEARES AÉREO 1</v>
          </cell>
          <cell r="E1439" t="str">
            <v>08</v>
          </cell>
          <cell r="F1439" t="str">
            <v>PAQ08a10</v>
          </cell>
          <cell r="G1439" t="str">
            <v>B</v>
          </cell>
          <cell r="H1439">
            <v>44.56</v>
          </cell>
        </row>
        <row r="1440">
          <cell r="A1440" t="str">
            <v>1;08;B1;B;PAQ10a12</v>
          </cell>
          <cell r="B1440">
            <v>730069</v>
          </cell>
          <cell r="C1440" t="str">
            <v>B1</v>
          </cell>
          <cell r="D1440" t="str">
            <v>BALEARES AÉREO 1</v>
          </cell>
          <cell r="E1440" t="str">
            <v>08</v>
          </cell>
          <cell r="F1440" t="str">
            <v>PAQ10a12</v>
          </cell>
          <cell r="G1440" t="str">
            <v>B</v>
          </cell>
          <cell r="H1440">
            <v>52.58</v>
          </cell>
        </row>
        <row r="1441">
          <cell r="A1441" t="str">
            <v>1;08;B1;B;PAQ12a14</v>
          </cell>
          <cell r="B1441">
            <v>730069</v>
          </cell>
          <cell r="C1441" t="str">
            <v>B1</v>
          </cell>
          <cell r="D1441" t="str">
            <v>BALEARES AÉREO 1</v>
          </cell>
          <cell r="E1441" t="str">
            <v>08</v>
          </cell>
          <cell r="F1441" t="str">
            <v>PAQ12a14</v>
          </cell>
          <cell r="G1441" t="str">
            <v>B</v>
          </cell>
          <cell r="H1441">
            <v>60.61</v>
          </cell>
        </row>
        <row r="1442">
          <cell r="A1442" t="str">
            <v>1;08;B1;B;PAQ14a16</v>
          </cell>
          <cell r="B1442">
            <v>730069</v>
          </cell>
          <cell r="C1442" t="str">
            <v>B1</v>
          </cell>
          <cell r="D1442" t="str">
            <v>BALEARES AÉREO 1</v>
          </cell>
          <cell r="E1442" t="str">
            <v>08</v>
          </cell>
          <cell r="F1442" t="str">
            <v>PAQ14a16</v>
          </cell>
          <cell r="G1442" t="str">
            <v>B</v>
          </cell>
          <cell r="H1442">
            <v>68.63</v>
          </cell>
        </row>
        <row r="1443">
          <cell r="A1443" t="str">
            <v>1;08;B1;B;PAQ16a18</v>
          </cell>
          <cell r="B1443">
            <v>730069</v>
          </cell>
          <cell r="C1443" t="str">
            <v>B1</v>
          </cell>
          <cell r="D1443" t="str">
            <v>BALEARES AÉREO 1</v>
          </cell>
          <cell r="E1443" t="str">
            <v>08</v>
          </cell>
          <cell r="F1443" t="str">
            <v>PAQ16a18</v>
          </cell>
          <cell r="G1443" t="str">
            <v>B</v>
          </cell>
          <cell r="H1443">
            <v>76.650000000000006</v>
          </cell>
        </row>
        <row r="1444">
          <cell r="A1444" t="str">
            <v>1;08;B1;B;PAQ18a20</v>
          </cell>
          <cell r="B1444">
            <v>730069</v>
          </cell>
          <cell r="C1444" t="str">
            <v>B1</v>
          </cell>
          <cell r="D1444" t="str">
            <v>BALEARES AÉREO 1</v>
          </cell>
          <cell r="E1444" t="str">
            <v>08</v>
          </cell>
          <cell r="F1444" t="str">
            <v>PAQ18a20</v>
          </cell>
          <cell r="G1444" t="str">
            <v>B</v>
          </cell>
          <cell r="H1444">
            <v>84.68</v>
          </cell>
        </row>
        <row r="1445">
          <cell r="A1445" t="str">
            <v>1;08;B1;B;PAQ20a22</v>
          </cell>
          <cell r="B1445">
            <v>730069</v>
          </cell>
          <cell r="C1445" t="str">
            <v>B1</v>
          </cell>
          <cell r="D1445" t="str">
            <v>BALEARES AÉREO 1</v>
          </cell>
          <cell r="E1445" t="str">
            <v>08</v>
          </cell>
          <cell r="F1445" t="str">
            <v>PAQ20a22</v>
          </cell>
          <cell r="G1445" t="str">
            <v>B</v>
          </cell>
          <cell r="H1445">
            <v>92.7</v>
          </cell>
        </row>
        <row r="1446">
          <cell r="A1446" t="str">
            <v>1;08;B1;B;PAQ22a24</v>
          </cell>
          <cell r="B1446">
            <v>730069</v>
          </cell>
          <cell r="C1446" t="str">
            <v>B1</v>
          </cell>
          <cell r="D1446" t="str">
            <v>BALEARES AÉREO 1</v>
          </cell>
          <cell r="E1446" t="str">
            <v>08</v>
          </cell>
          <cell r="F1446" t="str">
            <v>PAQ22a24</v>
          </cell>
          <cell r="G1446" t="str">
            <v>B</v>
          </cell>
          <cell r="H1446">
            <v>100.72</v>
          </cell>
        </row>
        <row r="1447">
          <cell r="A1447" t="str">
            <v>1;08;B1;B;PAQ24a26</v>
          </cell>
          <cell r="B1447">
            <v>730069</v>
          </cell>
          <cell r="C1447" t="str">
            <v>B1</v>
          </cell>
          <cell r="D1447" t="str">
            <v>BALEARES AÉREO 1</v>
          </cell>
          <cell r="E1447" t="str">
            <v>08</v>
          </cell>
          <cell r="F1447" t="str">
            <v>PAQ24a26</v>
          </cell>
          <cell r="G1447" t="str">
            <v>B</v>
          </cell>
          <cell r="H1447">
            <v>108.75</v>
          </cell>
        </row>
        <row r="1448">
          <cell r="A1448" t="str">
            <v>1;08;B1;B;PAQ26a28</v>
          </cell>
          <cell r="B1448">
            <v>730069</v>
          </cell>
          <cell r="C1448" t="str">
            <v>B1</v>
          </cell>
          <cell r="D1448" t="str">
            <v>BALEARES AÉREO 1</v>
          </cell>
          <cell r="E1448" t="str">
            <v>08</v>
          </cell>
          <cell r="F1448" t="str">
            <v>PAQ26a28</v>
          </cell>
          <cell r="G1448" t="str">
            <v>B</v>
          </cell>
          <cell r="H1448">
            <v>116.77</v>
          </cell>
        </row>
        <row r="1449">
          <cell r="A1449" t="str">
            <v>1;08;B1;B;PAQ28a30</v>
          </cell>
          <cell r="B1449">
            <v>730069</v>
          </cell>
          <cell r="C1449" t="str">
            <v>B1</v>
          </cell>
          <cell r="D1449" t="str">
            <v>BALEARES AÉREO 1</v>
          </cell>
          <cell r="E1449" t="str">
            <v>08</v>
          </cell>
          <cell r="F1449" t="str">
            <v>PAQ28a30</v>
          </cell>
          <cell r="G1449" t="str">
            <v>B</v>
          </cell>
          <cell r="H1449">
            <v>124.79</v>
          </cell>
        </row>
        <row r="1450">
          <cell r="A1450" t="str">
            <v>1;08;B1;B;PAQ30a32</v>
          </cell>
          <cell r="B1450">
            <v>730069</v>
          </cell>
          <cell r="C1450" t="str">
            <v>B1</v>
          </cell>
          <cell r="D1450" t="str">
            <v>BALEARES AÉREO 1</v>
          </cell>
          <cell r="E1450" t="str">
            <v>08</v>
          </cell>
          <cell r="F1450" t="str">
            <v>PAQ30a32</v>
          </cell>
          <cell r="G1450" t="str">
            <v>B</v>
          </cell>
          <cell r="H1450">
            <v>132.82</v>
          </cell>
        </row>
        <row r="1451">
          <cell r="A1451" t="str">
            <v>1;08;B1;B;PAQ32a34</v>
          </cell>
          <cell r="B1451">
            <v>730069</v>
          </cell>
          <cell r="C1451" t="str">
            <v>B1</v>
          </cell>
          <cell r="D1451" t="str">
            <v>BALEARES AÉREO 1</v>
          </cell>
          <cell r="E1451" t="str">
            <v>08</v>
          </cell>
          <cell r="F1451" t="str">
            <v>PAQ32a34</v>
          </cell>
          <cell r="G1451" t="str">
            <v>B</v>
          </cell>
          <cell r="H1451">
            <v>140.84</v>
          </cell>
        </row>
        <row r="1452">
          <cell r="A1452" t="str">
            <v>1;08;B1;B;PAQ34a36</v>
          </cell>
          <cell r="B1452">
            <v>730069</v>
          </cell>
          <cell r="C1452" t="str">
            <v>B1</v>
          </cell>
          <cell r="D1452" t="str">
            <v>BALEARES AÉREO 1</v>
          </cell>
          <cell r="E1452" t="str">
            <v>08</v>
          </cell>
          <cell r="F1452" t="str">
            <v>PAQ34a36</v>
          </cell>
          <cell r="G1452" t="str">
            <v>B</v>
          </cell>
          <cell r="H1452">
            <v>148.87</v>
          </cell>
        </row>
        <row r="1453">
          <cell r="A1453" t="str">
            <v>1;08;B1;B;PAQ36a38</v>
          </cell>
          <cell r="B1453">
            <v>730069</v>
          </cell>
          <cell r="C1453" t="str">
            <v>B1</v>
          </cell>
          <cell r="D1453" t="str">
            <v>BALEARES AÉREO 1</v>
          </cell>
          <cell r="E1453" t="str">
            <v>08</v>
          </cell>
          <cell r="F1453" t="str">
            <v>PAQ36a38</v>
          </cell>
          <cell r="G1453" t="str">
            <v>B</v>
          </cell>
          <cell r="H1453">
            <v>156.88999999999999</v>
          </cell>
        </row>
        <row r="1454">
          <cell r="A1454" t="str">
            <v>1;08;B1;F;</v>
          </cell>
          <cell r="B1454">
            <v>730069</v>
          </cell>
          <cell r="C1454" t="str">
            <v>B1</v>
          </cell>
          <cell r="D1454" t="str">
            <v>BALEARES AÉREO 1</v>
          </cell>
          <cell r="E1454" t="str">
            <v>08</v>
          </cell>
          <cell r="F1454" t="str">
            <v/>
          </cell>
          <cell r="G1454" t="str">
            <v>F</v>
          </cell>
          <cell r="H1454">
            <v>8.02</v>
          </cell>
        </row>
        <row r="1455">
          <cell r="A1455" t="str">
            <v>1;08;B1;B;PAQ38a40</v>
          </cell>
          <cell r="B1455">
            <v>730069</v>
          </cell>
          <cell r="C1455" t="str">
            <v>B1</v>
          </cell>
          <cell r="D1455" t="str">
            <v>BALEARES AÉREO 1</v>
          </cell>
          <cell r="E1455" t="str">
            <v>08</v>
          </cell>
          <cell r="F1455" t="str">
            <v>PAQ38a40</v>
          </cell>
          <cell r="G1455" t="str">
            <v>B</v>
          </cell>
          <cell r="H1455">
            <v>164.91</v>
          </cell>
        </row>
        <row r="1456">
          <cell r="A1456" t="str">
            <v>1;08;B1;P;</v>
          </cell>
          <cell r="B1456">
            <v>730069</v>
          </cell>
          <cell r="C1456" t="str">
            <v>B1</v>
          </cell>
          <cell r="D1456" t="str">
            <v>BALEARES AÉREO 1</v>
          </cell>
          <cell r="E1456" t="str">
            <v>08</v>
          </cell>
          <cell r="F1456" t="str">
            <v/>
          </cell>
          <cell r="G1456" t="str">
            <v>P</v>
          </cell>
          <cell r="H1456">
            <v>0</v>
          </cell>
        </row>
        <row r="1457">
          <cell r="A1457" t="str">
            <v>1;08;B1;E;</v>
          </cell>
          <cell r="B1457">
            <v>730069</v>
          </cell>
          <cell r="C1457" t="str">
            <v>B1</v>
          </cell>
          <cell r="D1457" t="str">
            <v>BALEARES AÉREO 1</v>
          </cell>
          <cell r="E1457" t="str">
            <v>08</v>
          </cell>
          <cell r="F1457" t="str">
            <v/>
          </cell>
          <cell r="G1457" t="str">
            <v>E</v>
          </cell>
          <cell r="H1457">
            <v>0</v>
          </cell>
        </row>
        <row r="1458">
          <cell r="A1458" t="str">
            <v>1;11;B1;B;BAG</v>
          </cell>
          <cell r="B1458">
            <v>730069</v>
          </cell>
          <cell r="C1458" t="str">
            <v>B1</v>
          </cell>
          <cell r="D1458" t="str">
            <v>BALEARES AÉREO 1</v>
          </cell>
          <cell r="E1458" t="str">
            <v>11</v>
          </cell>
          <cell r="F1458" t="str">
            <v>BAG</v>
          </cell>
          <cell r="G1458" t="str">
            <v>B</v>
          </cell>
          <cell r="H1458">
            <v>32.520000000000003</v>
          </cell>
        </row>
        <row r="1459">
          <cell r="A1459" t="str">
            <v>1;11;B1;B;PAQ00a02</v>
          </cell>
          <cell r="B1459">
            <v>730069</v>
          </cell>
          <cell r="C1459" t="str">
            <v>B1</v>
          </cell>
          <cell r="D1459" t="str">
            <v>BALEARES AÉREO 1</v>
          </cell>
          <cell r="E1459" t="str">
            <v>11</v>
          </cell>
          <cell r="F1459" t="str">
            <v>PAQ00a02</v>
          </cell>
          <cell r="G1459" t="str">
            <v>B</v>
          </cell>
          <cell r="H1459">
            <v>37.49</v>
          </cell>
        </row>
        <row r="1460">
          <cell r="A1460" t="str">
            <v>1;11;B1;B;PAQ02a04</v>
          </cell>
          <cell r="B1460">
            <v>730069</v>
          </cell>
          <cell r="C1460" t="str">
            <v>B1</v>
          </cell>
          <cell r="D1460" t="str">
            <v>BALEARES AÉREO 1</v>
          </cell>
          <cell r="E1460" t="str">
            <v>11</v>
          </cell>
          <cell r="F1460" t="str">
            <v>PAQ02a04</v>
          </cell>
          <cell r="G1460" t="str">
            <v>B</v>
          </cell>
          <cell r="H1460">
            <v>56.41</v>
          </cell>
        </row>
        <row r="1461">
          <cell r="A1461" t="str">
            <v>1;11;B1;B;PAQ04a06</v>
          </cell>
          <cell r="B1461">
            <v>730069</v>
          </cell>
          <cell r="C1461" t="str">
            <v>B1</v>
          </cell>
          <cell r="D1461" t="str">
            <v>BALEARES AÉREO 1</v>
          </cell>
          <cell r="E1461" t="str">
            <v>11</v>
          </cell>
          <cell r="F1461" t="str">
            <v>PAQ04a06</v>
          </cell>
          <cell r="G1461" t="str">
            <v>B</v>
          </cell>
          <cell r="H1461">
            <v>77.510000000000005</v>
          </cell>
        </row>
        <row r="1462">
          <cell r="A1462" t="str">
            <v>1;11;B1;B;PAQ06a08</v>
          </cell>
          <cell r="B1462">
            <v>730069</v>
          </cell>
          <cell r="C1462" t="str">
            <v>B1</v>
          </cell>
          <cell r="D1462" t="str">
            <v>BALEARES AÉREO 1</v>
          </cell>
          <cell r="E1462" t="str">
            <v>11</v>
          </cell>
          <cell r="F1462" t="str">
            <v>PAQ06a08</v>
          </cell>
          <cell r="G1462" t="str">
            <v>B</v>
          </cell>
          <cell r="H1462">
            <v>98.61</v>
          </cell>
        </row>
        <row r="1463">
          <cell r="A1463" t="str">
            <v>1;11;B1;B;PAQ08a10</v>
          </cell>
          <cell r="B1463">
            <v>730069</v>
          </cell>
          <cell r="C1463" t="str">
            <v>B1</v>
          </cell>
          <cell r="D1463" t="str">
            <v>BALEARES AÉREO 1</v>
          </cell>
          <cell r="E1463" t="str">
            <v>11</v>
          </cell>
          <cell r="F1463" t="str">
            <v>PAQ08a10</v>
          </cell>
          <cell r="G1463" t="str">
            <v>B</v>
          </cell>
          <cell r="H1463">
            <v>119.72</v>
          </cell>
        </row>
        <row r="1464">
          <cell r="A1464" t="str">
            <v>1;11;B1;B;PAQ10a12</v>
          </cell>
          <cell r="B1464">
            <v>730069</v>
          </cell>
          <cell r="C1464" t="str">
            <v>B1</v>
          </cell>
          <cell r="D1464" t="str">
            <v>BALEARES AÉREO 1</v>
          </cell>
          <cell r="E1464" t="str">
            <v>11</v>
          </cell>
          <cell r="F1464" t="str">
            <v>PAQ10a12</v>
          </cell>
          <cell r="G1464" t="str">
            <v>B</v>
          </cell>
          <cell r="H1464">
            <v>140.82</v>
          </cell>
        </row>
        <row r="1465">
          <cell r="A1465" t="str">
            <v>1;11;B1;B;PAQ12a14</v>
          </cell>
          <cell r="B1465">
            <v>730069</v>
          </cell>
          <cell r="C1465" t="str">
            <v>B1</v>
          </cell>
          <cell r="D1465" t="str">
            <v>BALEARES AÉREO 1</v>
          </cell>
          <cell r="E1465" t="str">
            <v>11</v>
          </cell>
          <cell r="F1465" t="str">
            <v>PAQ12a14</v>
          </cell>
          <cell r="G1465" t="str">
            <v>B</v>
          </cell>
          <cell r="H1465">
            <v>161.91999999999999</v>
          </cell>
        </row>
        <row r="1466">
          <cell r="A1466" t="str">
            <v>1;11;B1;B;PAQ14a16</v>
          </cell>
          <cell r="B1466">
            <v>730069</v>
          </cell>
          <cell r="C1466" t="str">
            <v>B1</v>
          </cell>
          <cell r="D1466" t="str">
            <v>BALEARES AÉREO 1</v>
          </cell>
          <cell r="E1466" t="str">
            <v>11</v>
          </cell>
          <cell r="F1466" t="str">
            <v>PAQ14a16</v>
          </cell>
          <cell r="G1466" t="str">
            <v>B</v>
          </cell>
          <cell r="H1466">
            <v>183.02</v>
          </cell>
        </row>
        <row r="1467">
          <cell r="A1467" t="str">
            <v>1;11;B1;B;PAQ16a18</v>
          </cell>
          <cell r="B1467">
            <v>730069</v>
          </cell>
          <cell r="C1467" t="str">
            <v>B1</v>
          </cell>
          <cell r="D1467" t="str">
            <v>BALEARES AÉREO 1</v>
          </cell>
          <cell r="E1467" t="str">
            <v>11</v>
          </cell>
          <cell r="F1467" t="str">
            <v>PAQ16a18</v>
          </cell>
          <cell r="G1467" t="str">
            <v>B</v>
          </cell>
          <cell r="H1467">
            <v>204.13</v>
          </cell>
        </row>
        <row r="1468">
          <cell r="A1468" t="str">
            <v>1;11;B1;B;PAQ18a20</v>
          </cell>
          <cell r="B1468">
            <v>730069</v>
          </cell>
          <cell r="C1468" t="str">
            <v>B1</v>
          </cell>
          <cell r="D1468" t="str">
            <v>BALEARES AÉREO 1</v>
          </cell>
          <cell r="E1468" t="str">
            <v>11</v>
          </cell>
          <cell r="F1468" t="str">
            <v>PAQ18a20</v>
          </cell>
          <cell r="G1468" t="str">
            <v>B</v>
          </cell>
          <cell r="H1468">
            <v>225.23</v>
          </cell>
        </row>
        <row r="1469">
          <cell r="A1469" t="str">
            <v>1;11;B1;B;PAQ20a22</v>
          </cell>
          <cell r="B1469">
            <v>730069</v>
          </cell>
          <cell r="C1469" t="str">
            <v>B1</v>
          </cell>
          <cell r="D1469" t="str">
            <v>BALEARES AÉREO 1</v>
          </cell>
          <cell r="E1469" t="str">
            <v>11</v>
          </cell>
          <cell r="F1469" t="str">
            <v>PAQ20a22</v>
          </cell>
          <cell r="G1469" t="str">
            <v>B</v>
          </cell>
          <cell r="H1469">
            <v>246.31</v>
          </cell>
        </row>
        <row r="1470">
          <cell r="A1470" t="str">
            <v>1;11;B1;B;PAQ22a24</v>
          </cell>
          <cell r="B1470">
            <v>730069</v>
          </cell>
          <cell r="C1470" t="str">
            <v>B1</v>
          </cell>
          <cell r="D1470" t="str">
            <v>BALEARES AÉREO 1</v>
          </cell>
          <cell r="E1470" t="str">
            <v>11</v>
          </cell>
          <cell r="F1470" t="str">
            <v>PAQ22a24</v>
          </cell>
          <cell r="G1470" t="str">
            <v>B</v>
          </cell>
          <cell r="H1470">
            <v>267.42</v>
          </cell>
        </row>
        <row r="1471">
          <cell r="A1471" t="str">
            <v>1;11;B1;B;PAQ24a26</v>
          </cell>
          <cell r="B1471">
            <v>730069</v>
          </cell>
          <cell r="C1471" t="str">
            <v>B1</v>
          </cell>
          <cell r="D1471" t="str">
            <v>BALEARES AÉREO 1</v>
          </cell>
          <cell r="E1471" t="str">
            <v>11</v>
          </cell>
          <cell r="F1471" t="str">
            <v>PAQ24a26</v>
          </cell>
          <cell r="G1471" t="str">
            <v>B</v>
          </cell>
          <cell r="H1471">
            <v>288.52</v>
          </cell>
        </row>
        <row r="1472">
          <cell r="A1472" t="str">
            <v>1;11;B1;B;PAQ26a28</v>
          </cell>
          <cell r="B1472">
            <v>730069</v>
          </cell>
          <cell r="C1472" t="str">
            <v>B1</v>
          </cell>
          <cell r="D1472" t="str">
            <v>BALEARES AÉREO 1</v>
          </cell>
          <cell r="E1472" t="str">
            <v>11</v>
          </cell>
          <cell r="F1472" t="str">
            <v>PAQ26a28</v>
          </cell>
          <cell r="G1472" t="str">
            <v>B</v>
          </cell>
          <cell r="H1472">
            <v>309.63</v>
          </cell>
        </row>
        <row r="1473">
          <cell r="A1473" t="str">
            <v>1;11;B1;B;PAQ28a30</v>
          </cell>
          <cell r="B1473">
            <v>730069</v>
          </cell>
          <cell r="C1473" t="str">
            <v>B1</v>
          </cell>
          <cell r="D1473" t="str">
            <v>BALEARES AÉREO 1</v>
          </cell>
          <cell r="E1473" t="str">
            <v>11</v>
          </cell>
          <cell r="F1473" t="str">
            <v>PAQ28a30</v>
          </cell>
          <cell r="G1473" t="str">
            <v>B</v>
          </cell>
          <cell r="H1473">
            <v>330.72</v>
          </cell>
        </row>
        <row r="1474">
          <cell r="A1474" t="str">
            <v>1;11;B1;B;PAQ30a32</v>
          </cell>
          <cell r="B1474">
            <v>730069</v>
          </cell>
          <cell r="C1474" t="str">
            <v>B1</v>
          </cell>
          <cell r="D1474" t="str">
            <v>BALEARES AÉREO 1</v>
          </cell>
          <cell r="E1474" t="str">
            <v>11</v>
          </cell>
          <cell r="F1474" t="str">
            <v>PAQ30a32</v>
          </cell>
          <cell r="G1474" t="str">
            <v>B</v>
          </cell>
          <cell r="H1474">
            <v>351.83</v>
          </cell>
        </row>
        <row r="1475">
          <cell r="A1475" t="str">
            <v>1;11;B1;B;PAQ32a34</v>
          </cell>
          <cell r="B1475">
            <v>730069</v>
          </cell>
          <cell r="C1475" t="str">
            <v>B1</v>
          </cell>
          <cell r="D1475" t="str">
            <v>BALEARES AÉREO 1</v>
          </cell>
          <cell r="E1475" t="str">
            <v>11</v>
          </cell>
          <cell r="F1475" t="str">
            <v>PAQ32a34</v>
          </cell>
          <cell r="G1475" t="str">
            <v>B</v>
          </cell>
          <cell r="H1475">
            <v>372.93</v>
          </cell>
        </row>
        <row r="1476">
          <cell r="A1476" t="str">
            <v>1;11;B1;B;PAQ34a36</v>
          </cell>
          <cell r="B1476">
            <v>730069</v>
          </cell>
          <cell r="C1476" t="str">
            <v>B1</v>
          </cell>
          <cell r="D1476" t="str">
            <v>BALEARES AÉREO 1</v>
          </cell>
          <cell r="E1476" t="str">
            <v>11</v>
          </cell>
          <cell r="F1476" t="str">
            <v>PAQ34a36</v>
          </cell>
          <cell r="G1476" t="str">
            <v>B</v>
          </cell>
          <cell r="H1476">
            <v>394.04</v>
          </cell>
        </row>
        <row r="1477">
          <cell r="A1477" t="str">
            <v>1;11;B1;B;PAQ36a38</v>
          </cell>
          <cell r="B1477">
            <v>730069</v>
          </cell>
          <cell r="C1477" t="str">
            <v>B1</v>
          </cell>
          <cell r="D1477" t="str">
            <v>BALEARES AÉREO 1</v>
          </cell>
          <cell r="E1477" t="str">
            <v>11</v>
          </cell>
          <cell r="F1477" t="str">
            <v>PAQ36a38</v>
          </cell>
          <cell r="G1477" t="str">
            <v>B</v>
          </cell>
          <cell r="H1477">
            <v>415.13</v>
          </cell>
        </row>
        <row r="1478">
          <cell r="A1478" t="str">
            <v>1;11;B1;B;PAQ38a40</v>
          </cell>
          <cell r="B1478">
            <v>730069</v>
          </cell>
          <cell r="C1478" t="str">
            <v>B1</v>
          </cell>
          <cell r="D1478" t="str">
            <v>BALEARES AÉREO 1</v>
          </cell>
          <cell r="E1478" t="str">
            <v>11</v>
          </cell>
          <cell r="F1478" t="str">
            <v>PAQ38a40</v>
          </cell>
          <cell r="G1478" t="str">
            <v>B</v>
          </cell>
          <cell r="H1478">
            <v>436.24</v>
          </cell>
        </row>
        <row r="1479">
          <cell r="A1479" t="str">
            <v>1;11;B1;F;</v>
          </cell>
          <cell r="B1479">
            <v>730069</v>
          </cell>
          <cell r="C1479" t="str">
            <v>B1</v>
          </cell>
          <cell r="D1479" t="str">
            <v>BALEARES AÉREO 1</v>
          </cell>
          <cell r="E1479" t="str">
            <v>11</v>
          </cell>
          <cell r="F1479" t="str">
            <v/>
          </cell>
          <cell r="G1479" t="str">
            <v>F</v>
          </cell>
          <cell r="H1479">
            <v>21.1</v>
          </cell>
        </row>
        <row r="1480">
          <cell r="A1480" t="str">
            <v>1;11;B1;P;</v>
          </cell>
          <cell r="B1480">
            <v>730069</v>
          </cell>
          <cell r="C1480" t="str">
            <v>B1</v>
          </cell>
          <cell r="D1480" t="str">
            <v>BALEARES AÉREO 1</v>
          </cell>
          <cell r="E1480" t="str">
            <v>11</v>
          </cell>
          <cell r="F1480" t="str">
            <v/>
          </cell>
          <cell r="G1480" t="str">
            <v>P</v>
          </cell>
          <cell r="H1480">
            <v>0</v>
          </cell>
        </row>
        <row r="1481">
          <cell r="A1481" t="str">
            <v>1;11;B1;E;</v>
          </cell>
          <cell r="B1481">
            <v>730069</v>
          </cell>
          <cell r="C1481" t="str">
            <v>B1</v>
          </cell>
          <cell r="D1481" t="str">
            <v>BALEARES AÉREO 1</v>
          </cell>
          <cell r="E1481" t="str">
            <v>11</v>
          </cell>
          <cell r="F1481" t="str">
            <v/>
          </cell>
          <cell r="G1481" t="str">
            <v>E</v>
          </cell>
          <cell r="H1481">
            <v>0</v>
          </cell>
        </row>
        <row r="1482">
          <cell r="A1482" t="str">
            <v>1;13;B1;B;PAQ00a02</v>
          </cell>
          <cell r="B1482">
            <v>730069</v>
          </cell>
          <cell r="C1482" t="str">
            <v>B1</v>
          </cell>
          <cell r="D1482" t="str">
            <v>BALEARES AÉREO 1</v>
          </cell>
          <cell r="E1482" t="str">
            <v>13</v>
          </cell>
          <cell r="F1482" t="str">
            <v>PAQ00a02</v>
          </cell>
          <cell r="G1482" t="str">
            <v>B</v>
          </cell>
          <cell r="H1482">
            <v>0</v>
          </cell>
        </row>
        <row r="1483">
          <cell r="A1483" t="str">
            <v>1;13;B1;B;PAQ02a04</v>
          </cell>
          <cell r="B1483">
            <v>730069</v>
          </cell>
          <cell r="C1483" t="str">
            <v>B1</v>
          </cell>
          <cell r="D1483" t="str">
            <v>BALEARES AÉREO 1</v>
          </cell>
          <cell r="E1483" t="str">
            <v>13</v>
          </cell>
          <cell r="F1483" t="str">
            <v>PAQ02a04</v>
          </cell>
          <cell r="G1483" t="str">
            <v>B</v>
          </cell>
          <cell r="H1483">
            <v>0</v>
          </cell>
        </row>
        <row r="1484">
          <cell r="A1484" t="str">
            <v>1;13;B1;B;PAQ04a06</v>
          </cell>
          <cell r="B1484">
            <v>730069</v>
          </cell>
          <cell r="C1484" t="str">
            <v>B1</v>
          </cell>
          <cell r="D1484" t="str">
            <v>BALEARES AÉREO 1</v>
          </cell>
          <cell r="E1484" t="str">
            <v>13</v>
          </cell>
          <cell r="F1484" t="str">
            <v>PAQ04a06</v>
          </cell>
          <cell r="G1484" t="str">
            <v>B</v>
          </cell>
          <cell r="H1484">
            <v>0</v>
          </cell>
        </row>
        <row r="1485">
          <cell r="A1485" t="str">
            <v>1;13;B1;B;PAQ06a08</v>
          </cell>
          <cell r="B1485">
            <v>730069</v>
          </cell>
          <cell r="C1485" t="str">
            <v>B1</v>
          </cell>
          <cell r="D1485" t="str">
            <v>BALEARES AÉREO 1</v>
          </cell>
          <cell r="E1485" t="str">
            <v>13</v>
          </cell>
          <cell r="F1485" t="str">
            <v>PAQ06a08</v>
          </cell>
          <cell r="G1485" t="str">
            <v>B</v>
          </cell>
          <cell r="H1485">
            <v>0</v>
          </cell>
        </row>
        <row r="1486">
          <cell r="A1486" t="str">
            <v>1;13;B1;B;PAQ08a10</v>
          </cell>
          <cell r="B1486">
            <v>730069</v>
          </cell>
          <cell r="C1486" t="str">
            <v>B1</v>
          </cell>
          <cell r="D1486" t="str">
            <v>BALEARES AÉREO 1</v>
          </cell>
          <cell r="E1486" t="str">
            <v>13</v>
          </cell>
          <cell r="F1486" t="str">
            <v>PAQ08a10</v>
          </cell>
          <cell r="G1486" t="str">
            <v>B</v>
          </cell>
          <cell r="H1486">
            <v>0</v>
          </cell>
        </row>
        <row r="1487">
          <cell r="A1487" t="str">
            <v>1;13;B1;B;PAQ10a12</v>
          </cell>
          <cell r="B1487">
            <v>730069</v>
          </cell>
          <cell r="C1487" t="str">
            <v>B1</v>
          </cell>
          <cell r="D1487" t="str">
            <v>BALEARES AÉREO 1</v>
          </cell>
          <cell r="E1487" t="str">
            <v>13</v>
          </cell>
          <cell r="F1487" t="str">
            <v>PAQ10a12</v>
          </cell>
          <cell r="G1487" t="str">
            <v>B</v>
          </cell>
          <cell r="H1487">
            <v>0</v>
          </cell>
        </row>
        <row r="1488">
          <cell r="A1488" t="str">
            <v>1;13;B1;B;PAQ12a14</v>
          </cell>
          <cell r="B1488">
            <v>730069</v>
          </cell>
          <cell r="C1488" t="str">
            <v>B1</v>
          </cell>
          <cell r="D1488" t="str">
            <v>BALEARES AÉREO 1</v>
          </cell>
          <cell r="E1488" t="str">
            <v>13</v>
          </cell>
          <cell r="F1488" t="str">
            <v>PAQ12a14</v>
          </cell>
          <cell r="G1488" t="str">
            <v>B</v>
          </cell>
          <cell r="H1488">
            <v>0</v>
          </cell>
        </row>
        <row r="1489">
          <cell r="A1489" t="str">
            <v>1;13;B1;B;PAQ14a16</v>
          </cell>
          <cell r="B1489">
            <v>730069</v>
          </cell>
          <cell r="C1489" t="str">
            <v>B1</v>
          </cell>
          <cell r="D1489" t="str">
            <v>BALEARES AÉREO 1</v>
          </cell>
          <cell r="E1489" t="str">
            <v>13</v>
          </cell>
          <cell r="F1489" t="str">
            <v>PAQ14a16</v>
          </cell>
          <cell r="G1489" t="str">
            <v>B</v>
          </cell>
          <cell r="H1489">
            <v>0</v>
          </cell>
        </row>
        <row r="1490">
          <cell r="A1490" t="str">
            <v>1;13;B1;B;PAQ16a18</v>
          </cell>
          <cell r="B1490">
            <v>730069</v>
          </cell>
          <cell r="C1490" t="str">
            <v>B1</v>
          </cell>
          <cell r="D1490" t="str">
            <v>BALEARES AÉREO 1</v>
          </cell>
          <cell r="E1490" t="str">
            <v>13</v>
          </cell>
          <cell r="F1490" t="str">
            <v>PAQ16a18</v>
          </cell>
          <cell r="G1490" t="str">
            <v>B</v>
          </cell>
          <cell r="H1490">
            <v>0</v>
          </cell>
        </row>
        <row r="1491">
          <cell r="A1491" t="str">
            <v>1;13;B1;B;PAQ18a20</v>
          </cell>
          <cell r="B1491">
            <v>730069</v>
          </cell>
          <cell r="C1491" t="str">
            <v>B1</v>
          </cell>
          <cell r="D1491" t="str">
            <v>BALEARES AÉREO 1</v>
          </cell>
          <cell r="E1491" t="str">
            <v>13</v>
          </cell>
          <cell r="F1491" t="str">
            <v>PAQ18a20</v>
          </cell>
          <cell r="G1491" t="str">
            <v>B</v>
          </cell>
          <cell r="H1491">
            <v>0</v>
          </cell>
        </row>
        <row r="1492">
          <cell r="A1492" t="str">
            <v>1;13;B1;B;PAQ20a22</v>
          </cell>
          <cell r="B1492">
            <v>730069</v>
          </cell>
          <cell r="C1492" t="str">
            <v>B1</v>
          </cell>
          <cell r="D1492" t="str">
            <v>BALEARES AÉREO 1</v>
          </cell>
          <cell r="E1492" t="str">
            <v>13</v>
          </cell>
          <cell r="F1492" t="str">
            <v>PAQ20a22</v>
          </cell>
          <cell r="G1492" t="str">
            <v>B</v>
          </cell>
          <cell r="H1492">
            <v>0</v>
          </cell>
        </row>
        <row r="1493">
          <cell r="A1493" t="str">
            <v>1;13;B1;B;PAQ22a24</v>
          </cell>
          <cell r="B1493">
            <v>730069</v>
          </cell>
          <cell r="C1493" t="str">
            <v>B1</v>
          </cell>
          <cell r="D1493" t="str">
            <v>BALEARES AÉREO 1</v>
          </cell>
          <cell r="E1493" t="str">
            <v>13</v>
          </cell>
          <cell r="F1493" t="str">
            <v>PAQ22a24</v>
          </cell>
          <cell r="G1493" t="str">
            <v>B</v>
          </cell>
          <cell r="H1493">
            <v>0</v>
          </cell>
        </row>
        <row r="1494">
          <cell r="A1494" t="str">
            <v>1;13;B1;B;PAQ24a26</v>
          </cell>
          <cell r="B1494">
            <v>730069</v>
          </cell>
          <cell r="C1494" t="str">
            <v>B1</v>
          </cell>
          <cell r="D1494" t="str">
            <v>BALEARES AÉREO 1</v>
          </cell>
          <cell r="E1494" t="str">
            <v>13</v>
          </cell>
          <cell r="F1494" t="str">
            <v>PAQ24a26</v>
          </cell>
          <cell r="G1494" t="str">
            <v>B</v>
          </cell>
          <cell r="H1494">
            <v>0</v>
          </cell>
        </row>
        <row r="1495">
          <cell r="A1495" t="str">
            <v>1;13;B1;B;PAQ26a28</v>
          </cell>
          <cell r="B1495">
            <v>730069</v>
          </cell>
          <cell r="C1495" t="str">
            <v>B1</v>
          </cell>
          <cell r="D1495" t="str">
            <v>BALEARES AÉREO 1</v>
          </cell>
          <cell r="E1495" t="str">
            <v>13</v>
          </cell>
          <cell r="F1495" t="str">
            <v>PAQ26a28</v>
          </cell>
          <cell r="G1495" t="str">
            <v>B</v>
          </cell>
          <cell r="H1495">
            <v>0</v>
          </cell>
        </row>
        <row r="1496">
          <cell r="A1496" t="str">
            <v>1;13;B1;B;PAQ28a30</v>
          </cell>
          <cell r="B1496">
            <v>730069</v>
          </cell>
          <cell r="C1496" t="str">
            <v>B1</v>
          </cell>
          <cell r="D1496" t="str">
            <v>BALEARES AÉREO 1</v>
          </cell>
          <cell r="E1496" t="str">
            <v>13</v>
          </cell>
          <cell r="F1496" t="str">
            <v>PAQ28a30</v>
          </cell>
          <cell r="G1496" t="str">
            <v>B</v>
          </cell>
          <cell r="H1496">
            <v>0</v>
          </cell>
        </row>
        <row r="1497">
          <cell r="A1497" t="str">
            <v>1;13;B1;B;PAQ30a32</v>
          </cell>
          <cell r="B1497">
            <v>730069</v>
          </cell>
          <cell r="C1497" t="str">
            <v>B1</v>
          </cell>
          <cell r="D1497" t="str">
            <v>BALEARES AÉREO 1</v>
          </cell>
          <cell r="E1497" t="str">
            <v>13</v>
          </cell>
          <cell r="F1497" t="str">
            <v>PAQ30a32</v>
          </cell>
          <cell r="G1497" t="str">
            <v>B</v>
          </cell>
          <cell r="H1497">
            <v>0</v>
          </cell>
        </row>
        <row r="1498">
          <cell r="A1498" t="str">
            <v>1;13;B1;B;PAQ32a34</v>
          </cell>
          <cell r="B1498">
            <v>730069</v>
          </cell>
          <cell r="C1498" t="str">
            <v>B1</v>
          </cell>
          <cell r="D1498" t="str">
            <v>BALEARES AÉREO 1</v>
          </cell>
          <cell r="E1498" t="str">
            <v>13</v>
          </cell>
          <cell r="F1498" t="str">
            <v>PAQ32a34</v>
          </cell>
          <cell r="G1498" t="str">
            <v>B</v>
          </cell>
          <cell r="H1498">
            <v>0</v>
          </cell>
        </row>
        <row r="1499">
          <cell r="A1499" t="str">
            <v>1;13;B1;B;PAQ34a36</v>
          </cell>
          <cell r="B1499">
            <v>730069</v>
          </cell>
          <cell r="C1499" t="str">
            <v>B1</v>
          </cell>
          <cell r="D1499" t="str">
            <v>BALEARES AÉREO 1</v>
          </cell>
          <cell r="E1499" t="str">
            <v>13</v>
          </cell>
          <cell r="F1499" t="str">
            <v>PAQ34a36</v>
          </cell>
          <cell r="G1499" t="str">
            <v>B</v>
          </cell>
          <cell r="H1499">
            <v>0</v>
          </cell>
        </row>
        <row r="1500">
          <cell r="A1500" t="str">
            <v>1;13;B1;B;PAQ36a38</v>
          </cell>
          <cell r="B1500">
            <v>730069</v>
          </cell>
          <cell r="C1500" t="str">
            <v>B1</v>
          </cell>
          <cell r="D1500" t="str">
            <v>BALEARES AÉREO 1</v>
          </cell>
          <cell r="E1500" t="str">
            <v>13</v>
          </cell>
          <cell r="F1500" t="str">
            <v>PAQ36a38</v>
          </cell>
          <cell r="G1500" t="str">
            <v>B</v>
          </cell>
          <cell r="H1500">
            <v>0</v>
          </cell>
        </row>
        <row r="1501">
          <cell r="A1501" t="str">
            <v>1;13;B1;F;</v>
          </cell>
          <cell r="B1501">
            <v>730069</v>
          </cell>
          <cell r="C1501" t="str">
            <v>B1</v>
          </cell>
          <cell r="D1501" t="str">
            <v>BALEARES AÉREO 1</v>
          </cell>
          <cell r="E1501" t="str">
            <v>13</v>
          </cell>
          <cell r="F1501" t="str">
            <v/>
          </cell>
          <cell r="G1501" t="str">
            <v>F</v>
          </cell>
          <cell r="H1501">
            <v>0</v>
          </cell>
        </row>
        <row r="1502">
          <cell r="A1502" t="str">
            <v>1;13;B1;B;PAQ38a40</v>
          </cell>
          <cell r="B1502">
            <v>730069</v>
          </cell>
          <cell r="C1502" t="str">
            <v>B1</v>
          </cell>
          <cell r="D1502" t="str">
            <v>BALEARES AÉREO 1</v>
          </cell>
          <cell r="E1502" t="str">
            <v>13</v>
          </cell>
          <cell r="F1502" t="str">
            <v>PAQ38a40</v>
          </cell>
          <cell r="G1502" t="str">
            <v>B</v>
          </cell>
          <cell r="H1502">
            <v>0</v>
          </cell>
        </row>
        <row r="1503">
          <cell r="A1503" t="str">
            <v>1;13;B1;E;</v>
          </cell>
          <cell r="B1503">
            <v>730069</v>
          </cell>
          <cell r="C1503" t="str">
            <v>B1</v>
          </cell>
          <cell r="D1503" t="str">
            <v>BALEARES AÉREO 1</v>
          </cell>
          <cell r="E1503" t="str">
            <v>13</v>
          </cell>
          <cell r="F1503" t="str">
            <v/>
          </cell>
          <cell r="G1503" t="str">
            <v>E</v>
          </cell>
          <cell r="H1503">
            <v>0</v>
          </cell>
        </row>
        <row r="1504">
          <cell r="A1504" t="str">
            <v>1;13;B1;P;</v>
          </cell>
          <cell r="B1504">
            <v>730069</v>
          </cell>
          <cell r="C1504" t="str">
            <v>B1</v>
          </cell>
          <cell r="D1504" t="str">
            <v>BALEARES AÉREO 1</v>
          </cell>
          <cell r="E1504" t="str">
            <v>13</v>
          </cell>
          <cell r="F1504" t="str">
            <v/>
          </cell>
          <cell r="G1504" t="str">
            <v>P</v>
          </cell>
          <cell r="H1504">
            <v>0</v>
          </cell>
        </row>
        <row r="1505">
          <cell r="A1505" t="str">
            <v>1;17;B1;B;PAQ00a02</v>
          </cell>
          <cell r="B1505">
            <v>730069</v>
          </cell>
          <cell r="C1505" t="str">
            <v>B1</v>
          </cell>
          <cell r="D1505" t="str">
            <v>BALEARES AÉREO 1</v>
          </cell>
          <cell r="E1505" t="str">
            <v>17</v>
          </cell>
          <cell r="F1505" t="str">
            <v>PAQ00a02</v>
          </cell>
          <cell r="G1505" t="str">
            <v>B</v>
          </cell>
          <cell r="H1505">
            <v>9.61</v>
          </cell>
        </row>
        <row r="1506">
          <cell r="A1506" t="str">
            <v>1;17;B1;B;PAQ02a04</v>
          </cell>
          <cell r="B1506">
            <v>730069</v>
          </cell>
          <cell r="C1506" t="str">
            <v>B1</v>
          </cell>
          <cell r="D1506" t="str">
            <v>BALEARES AÉREO 1</v>
          </cell>
          <cell r="E1506" t="str">
            <v>17</v>
          </cell>
          <cell r="F1506" t="str">
            <v>PAQ02a04</v>
          </cell>
          <cell r="G1506" t="str">
            <v>B</v>
          </cell>
          <cell r="H1506">
            <v>16.05</v>
          </cell>
        </row>
        <row r="1507">
          <cell r="A1507" t="str">
            <v>1;17;B1;B;PAQ04a06</v>
          </cell>
          <cell r="B1507">
            <v>730069</v>
          </cell>
          <cell r="C1507" t="str">
            <v>B1</v>
          </cell>
          <cell r="D1507" t="str">
            <v>BALEARES AÉREO 1</v>
          </cell>
          <cell r="E1507" t="str">
            <v>17</v>
          </cell>
          <cell r="F1507" t="str">
            <v>PAQ04a06</v>
          </cell>
          <cell r="G1507" t="str">
            <v>B</v>
          </cell>
          <cell r="H1507">
            <v>22.81</v>
          </cell>
        </row>
        <row r="1508">
          <cell r="A1508" t="str">
            <v>1;17;B1;B;PAQ06a08</v>
          </cell>
          <cell r="B1508">
            <v>730069</v>
          </cell>
          <cell r="C1508" t="str">
            <v>B1</v>
          </cell>
          <cell r="D1508" t="str">
            <v>BALEARES AÉREO 1</v>
          </cell>
          <cell r="E1508" t="str">
            <v>17</v>
          </cell>
          <cell r="F1508" t="str">
            <v>PAQ06a08</v>
          </cell>
          <cell r="G1508" t="str">
            <v>B</v>
          </cell>
          <cell r="H1508">
            <v>29.11</v>
          </cell>
        </row>
        <row r="1509">
          <cell r="A1509" t="str">
            <v>1;17;B1;B;PAQ08a10</v>
          </cell>
          <cell r="B1509">
            <v>730069</v>
          </cell>
          <cell r="C1509" t="str">
            <v>B1</v>
          </cell>
          <cell r="D1509" t="str">
            <v>BALEARES AÉREO 1</v>
          </cell>
          <cell r="E1509" t="str">
            <v>17</v>
          </cell>
          <cell r="F1509" t="str">
            <v>PAQ08a10</v>
          </cell>
          <cell r="G1509" t="str">
            <v>B</v>
          </cell>
          <cell r="H1509">
            <v>36.1</v>
          </cell>
        </row>
        <row r="1510">
          <cell r="A1510" t="str">
            <v>1;17;B1;B;PAQ10a12</v>
          </cell>
          <cell r="B1510">
            <v>730069</v>
          </cell>
          <cell r="C1510" t="str">
            <v>B1</v>
          </cell>
          <cell r="D1510" t="str">
            <v>BALEARES AÉREO 1</v>
          </cell>
          <cell r="E1510" t="str">
            <v>17</v>
          </cell>
          <cell r="F1510" t="str">
            <v>PAQ10a12</v>
          </cell>
          <cell r="G1510" t="str">
            <v>B</v>
          </cell>
          <cell r="H1510">
            <v>43.84</v>
          </cell>
        </row>
        <row r="1511">
          <cell r="A1511" t="str">
            <v>1;17;B1;B;PAQ12a14</v>
          </cell>
          <cell r="B1511">
            <v>730069</v>
          </cell>
          <cell r="C1511" t="str">
            <v>B1</v>
          </cell>
          <cell r="D1511" t="str">
            <v>BALEARES AÉREO 1</v>
          </cell>
          <cell r="E1511" t="str">
            <v>17</v>
          </cell>
          <cell r="F1511" t="str">
            <v>PAQ12a14</v>
          </cell>
          <cell r="G1511" t="str">
            <v>B</v>
          </cell>
          <cell r="H1511">
            <v>51.63</v>
          </cell>
        </row>
        <row r="1512">
          <cell r="A1512" t="str">
            <v>1;17;B1;B;PAQ14a16</v>
          </cell>
          <cell r="B1512">
            <v>730069</v>
          </cell>
          <cell r="C1512" t="str">
            <v>B1</v>
          </cell>
          <cell r="D1512" t="str">
            <v>BALEARES AÉREO 1</v>
          </cell>
          <cell r="E1512" t="str">
            <v>17</v>
          </cell>
          <cell r="F1512" t="str">
            <v>PAQ14a16</v>
          </cell>
          <cell r="G1512" t="str">
            <v>B</v>
          </cell>
          <cell r="H1512">
            <v>59.47</v>
          </cell>
        </row>
        <row r="1513">
          <cell r="A1513" t="str">
            <v>1;17;B1;B;PAQ16a18</v>
          </cell>
          <cell r="B1513">
            <v>730069</v>
          </cell>
          <cell r="C1513" t="str">
            <v>B1</v>
          </cell>
          <cell r="D1513" t="str">
            <v>BALEARES AÉREO 1</v>
          </cell>
          <cell r="E1513" t="str">
            <v>17</v>
          </cell>
          <cell r="F1513" t="str">
            <v>PAQ16a18</v>
          </cell>
          <cell r="G1513" t="str">
            <v>B</v>
          </cell>
          <cell r="H1513">
            <v>67.34</v>
          </cell>
        </row>
        <row r="1514">
          <cell r="A1514" t="str">
            <v>1;17;B1;B;PAQ18a20</v>
          </cell>
          <cell r="B1514">
            <v>730069</v>
          </cell>
          <cell r="C1514" t="str">
            <v>B1</v>
          </cell>
          <cell r="D1514" t="str">
            <v>BALEARES AÉREO 1</v>
          </cell>
          <cell r="E1514" t="str">
            <v>17</v>
          </cell>
          <cell r="F1514" t="str">
            <v>PAQ18a20</v>
          </cell>
          <cell r="G1514" t="str">
            <v>B</v>
          </cell>
          <cell r="H1514">
            <v>75.22</v>
          </cell>
        </row>
        <row r="1515">
          <cell r="A1515" t="str">
            <v>1;17;B1;B;PAQ20a22</v>
          </cell>
          <cell r="B1515">
            <v>730069</v>
          </cell>
          <cell r="C1515" t="str">
            <v>B1</v>
          </cell>
          <cell r="D1515" t="str">
            <v>BALEARES AÉREO 1</v>
          </cell>
          <cell r="E1515" t="str">
            <v>17</v>
          </cell>
          <cell r="F1515" t="str">
            <v>PAQ20a22</v>
          </cell>
          <cell r="G1515" t="str">
            <v>B</v>
          </cell>
          <cell r="H1515">
            <v>83.14</v>
          </cell>
        </row>
        <row r="1516">
          <cell r="A1516" t="str">
            <v>1;17;B1;B;PAQ22a24</v>
          </cell>
          <cell r="B1516">
            <v>730069</v>
          </cell>
          <cell r="C1516" t="str">
            <v>B1</v>
          </cell>
          <cell r="D1516" t="str">
            <v>BALEARES AÉREO 1</v>
          </cell>
          <cell r="E1516" t="str">
            <v>17</v>
          </cell>
          <cell r="F1516" t="str">
            <v>PAQ22a24</v>
          </cell>
          <cell r="G1516" t="str">
            <v>B</v>
          </cell>
          <cell r="H1516">
            <v>91.07</v>
          </cell>
        </row>
        <row r="1517">
          <cell r="A1517" t="str">
            <v>1;17;B1;B;PAQ24a26</v>
          </cell>
          <cell r="B1517">
            <v>730069</v>
          </cell>
          <cell r="C1517" t="str">
            <v>B1</v>
          </cell>
          <cell r="D1517" t="str">
            <v>BALEARES AÉREO 1</v>
          </cell>
          <cell r="E1517" t="str">
            <v>17</v>
          </cell>
          <cell r="F1517" t="str">
            <v>PAQ24a26</v>
          </cell>
          <cell r="G1517" t="str">
            <v>B</v>
          </cell>
          <cell r="H1517">
            <v>99.03</v>
          </cell>
        </row>
        <row r="1518">
          <cell r="A1518" t="str">
            <v>1;17;B1;B;PAQ26a28</v>
          </cell>
          <cell r="B1518">
            <v>730069</v>
          </cell>
          <cell r="C1518" t="str">
            <v>B1</v>
          </cell>
          <cell r="D1518" t="str">
            <v>BALEARES AÉREO 1</v>
          </cell>
          <cell r="E1518" t="str">
            <v>17</v>
          </cell>
          <cell r="F1518" t="str">
            <v>PAQ26a28</v>
          </cell>
          <cell r="G1518" t="str">
            <v>B</v>
          </cell>
          <cell r="H1518">
            <v>106.99</v>
          </cell>
        </row>
        <row r="1519">
          <cell r="A1519" t="str">
            <v>1;17;B1;B;PAQ28a30</v>
          </cell>
          <cell r="B1519">
            <v>730069</v>
          </cell>
          <cell r="C1519" t="str">
            <v>B1</v>
          </cell>
          <cell r="D1519" t="str">
            <v>BALEARES AÉREO 1</v>
          </cell>
          <cell r="E1519" t="str">
            <v>17</v>
          </cell>
          <cell r="F1519" t="str">
            <v>PAQ28a30</v>
          </cell>
          <cell r="G1519" t="str">
            <v>B</v>
          </cell>
          <cell r="H1519">
            <v>114.95</v>
          </cell>
        </row>
        <row r="1520">
          <cell r="A1520" t="str">
            <v>1;17;B1;B;PAQ30a32</v>
          </cell>
          <cell r="B1520">
            <v>730069</v>
          </cell>
          <cell r="C1520" t="str">
            <v>B1</v>
          </cell>
          <cell r="D1520" t="str">
            <v>BALEARES AÉREO 1</v>
          </cell>
          <cell r="E1520" t="str">
            <v>17</v>
          </cell>
          <cell r="F1520" t="str">
            <v>PAQ30a32</v>
          </cell>
          <cell r="G1520" t="str">
            <v>B</v>
          </cell>
          <cell r="H1520">
            <v>122.92</v>
          </cell>
        </row>
        <row r="1521">
          <cell r="A1521" t="str">
            <v>1;17;B1;B;PAQ32a34</v>
          </cell>
          <cell r="B1521">
            <v>730069</v>
          </cell>
          <cell r="C1521" t="str">
            <v>B1</v>
          </cell>
          <cell r="D1521" t="str">
            <v>BALEARES AÉREO 1</v>
          </cell>
          <cell r="E1521" t="str">
            <v>17</v>
          </cell>
          <cell r="F1521" t="str">
            <v>PAQ32a34</v>
          </cell>
          <cell r="G1521" t="str">
            <v>B</v>
          </cell>
          <cell r="H1521">
            <v>130.88999999999999</v>
          </cell>
        </row>
        <row r="1522">
          <cell r="A1522" t="str">
            <v>1;17;B1;B;PAQ34a36</v>
          </cell>
          <cell r="B1522">
            <v>730069</v>
          </cell>
          <cell r="C1522" t="str">
            <v>B1</v>
          </cell>
          <cell r="D1522" t="str">
            <v>BALEARES AÉREO 1</v>
          </cell>
          <cell r="E1522" t="str">
            <v>17</v>
          </cell>
          <cell r="F1522" t="str">
            <v>PAQ34a36</v>
          </cell>
          <cell r="G1522" t="str">
            <v>B</v>
          </cell>
          <cell r="H1522">
            <v>138.87</v>
          </cell>
        </row>
        <row r="1523">
          <cell r="A1523" t="str">
            <v>1;17;B1;B;PAQ36a38</v>
          </cell>
          <cell r="B1523">
            <v>730069</v>
          </cell>
          <cell r="C1523" t="str">
            <v>B1</v>
          </cell>
          <cell r="D1523" t="str">
            <v>BALEARES AÉREO 1</v>
          </cell>
          <cell r="E1523" t="str">
            <v>17</v>
          </cell>
          <cell r="F1523" t="str">
            <v>PAQ36a38</v>
          </cell>
          <cell r="G1523" t="str">
            <v>B</v>
          </cell>
          <cell r="H1523">
            <v>146.86000000000001</v>
          </cell>
        </row>
        <row r="1524">
          <cell r="A1524" t="str">
            <v>1;17;B1;F;</v>
          </cell>
          <cell r="B1524">
            <v>730069</v>
          </cell>
          <cell r="C1524" t="str">
            <v>B1</v>
          </cell>
          <cell r="D1524" t="str">
            <v>BALEARES AÉREO 1</v>
          </cell>
          <cell r="E1524" t="str">
            <v>17</v>
          </cell>
          <cell r="F1524" t="str">
            <v/>
          </cell>
          <cell r="G1524" t="str">
            <v>F</v>
          </cell>
          <cell r="H1524">
            <v>8.02</v>
          </cell>
        </row>
        <row r="1525">
          <cell r="A1525" t="str">
            <v>1;17;B1;B;PAQ38a40</v>
          </cell>
          <cell r="B1525">
            <v>730069</v>
          </cell>
          <cell r="C1525" t="str">
            <v>B1</v>
          </cell>
          <cell r="D1525" t="str">
            <v>BALEARES AÉREO 1</v>
          </cell>
          <cell r="E1525" t="str">
            <v>17</v>
          </cell>
          <cell r="F1525" t="str">
            <v>PAQ38a40</v>
          </cell>
          <cell r="G1525" t="str">
            <v>B</v>
          </cell>
          <cell r="H1525">
            <v>154.83000000000001</v>
          </cell>
        </row>
        <row r="1526">
          <cell r="A1526" t="str">
            <v>1;17;B1;E;</v>
          </cell>
          <cell r="B1526">
            <v>730069</v>
          </cell>
          <cell r="C1526" t="str">
            <v>B1</v>
          </cell>
          <cell r="D1526" t="str">
            <v>BALEARES AÉREO 1</v>
          </cell>
          <cell r="E1526" t="str">
            <v>17</v>
          </cell>
          <cell r="F1526" t="str">
            <v/>
          </cell>
          <cell r="G1526" t="str">
            <v>E</v>
          </cell>
          <cell r="H1526">
            <v>0</v>
          </cell>
        </row>
        <row r="1527">
          <cell r="A1527" t="str">
            <v>1;17;B1;P;</v>
          </cell>
          <cell r="B1527">
            <v>730069</v>
          </cell>
          <cell r="C1527" t="str">
            <v>B1</v>
          </cell>
          <cell r="D1527" t="str">
            <v>BALEARES AÉREO 1</v>
          </cell>
          <cell r="E1527" t="str">
            <v>17</v>
          </cell>
          <cell r="F1527" t="str">
            <v/>
          </cell>
          <cell r="G1527" t="str">
            <v>P</v>
          </cell>
          <cell r="H1527">
            <v>0</v>
          </cell>
        </row>
        <row r="1528">
          <cell r="A1528" t="str">
            <v>1;21;B1;B;BAG</v>
          </cell>
          <cell r="B1528">
            <v>730069</v>
          </cell>
          <cell r="C1528" t="str">
            <v>B1</v>
          </cell>
          <cell r="D1528" t="str">
            <v>BALEARES AÉREO 1</v>
          </cell>
          <cell r="E1528" t="str">
            <v>21</v>
          </cell>
          <cell r="F1528" t="str">
            <v>BAG</v>
          </cell>
          <cell r="G1528" t="str">
            <v>B</v>
          </cell>
          <cell r="H1528">
            <v>23.38</v>
          </cell>
        </row>
        <row r="1529">
          <cell r="A1529" t="str">
            <v>1;21;B1;B;PAQ00a02</v>
          </cell>
          <cell r="B1529">
            <v>730069</v>
          </cell>
          <cell r="C1529" t="str">
            <v>B1</v>
          </cell>
          <cell r="D1529" t="str">
            <v>BALEARES AÉREO 1</v>
          </cell>
          <cell r="E1529" t="str">
            <v>21</v>
          </cell>
          <cell r="F1529" t="str">
            <v>PAQ00a02</v>
          </cell>
          <cell r="G1529" t="str">
            <v>B</v>
          </cell>
          <cell r="H1529">
            <v>26.33</v>
          </cell>
        </row>
        <row r="1530">
          <cell r="A1530" t="str">
            <v>1;21;B1;B;PAQ02a04</v>
          </cell>
          <cell r="B1530">
            <v>730069</v>
          </cell>
          <cell r="C1530" t="str">
            <v>B1</v>
          </cell>
          <cell r="D1530" t="str">
            <v>BALEARES AÉREO 1</v>
          </cell>
          <cell r="E1530" t="str">
            <v>21</v>
          </cell>
          <cell r="F1530" t="str">
            <v>PAQ02a04</v>
          </cell>
          <cell r="G1530" t="str">
            <v>B</v>
          </cell>
          <cell r="H1530">
            <v>37.58</v>
          </cell>
        </row>
        <row r="1531">
          <cell r="A1531" t="str">
            <v>1;21;B1;B;PAQ04a06</v>
          </cell>
          <cell r="B1531">
            <v>730069</v>
          </cell>
          <cell r="C1531" t="str">
            <v>B1</v>
          </cell>
          <cell r="D1531" t="str">
            <v>BALEARES AÉREO 1</v>
          </cell>
          <cell r="E1531" t="str">
            <v>21</v>
          </cell>
          <cell r="F1531" t="str">
            <v>PAQ04a06</v>
          </cell>
          <cell r="G1531" t="str">
            <v>B</v>
          </cell>
          <cell r="H1531">
            <v>49.12</v>
          </cell>
        </row>
        <row r="1532">
          <cell r="A1532" t="str">
            <v>1;21;B1;B;PAQ06a08</v>
          </cell>
          <cell r="B1532">
            <v>730069</v>
          </cell>
          <cell r="C1532" t="str">
            <v>B1</v>
          </cell>
          <cell r="D1532" t="str">
            <v>BALEARES AÉREO 1</v>
          </cell>
          <cell r="E1532" t="str">
            <v>21</v>
          </cell>
          <cell r="F1532" t="str">
            <v>PAQ06a08</v>
          </cell>
          <cell r="G1532" t="str">
            <v>B</v>
          </cell>
          <cell r="H1532">
            <v>60.66</v>
          </cell>
        </row>
        <row r="1533">
          <cell r="A1533" t="str">
            <v>1;21;B1;B;PAQ08a10</v>
          </cell>
          <cell r="B1533">
            <v>730069</v>
          </cell>
          <cell r="C1533" t="str">
            <v>B1</v>
          </cell>
          <cell r="D1533" t="str">
            <v>BALEARES AÉREO 1</v>
          </cell>
          <cell r="E1533" t="str">
            <v>21</v>
          </cell>
          <cell r="F1533" t="str">
            <v>PAQ08a10</v>
          </cell>
          <cell r="G1533" t="str">
            <v>B</v>
          </cell>
          <cell r="H1533">
            <v>72.19</v>
          </cell>
        </row>
        <row r="1534">
          <cell r="A1534" t="str">
            <v>1;21;B1;B;PAQ10a12</v>
          </cell>
          <cell r="B1534">
            <v>730069</v>
          </cell>
          <cell r="C1534" t="str">
            <v>B1</v>
          </cell>
          <cell r="D1534" t="str">
            <v>BALEARES AÉREO 1</v>
          </cell>
          <cell r="E1534" t="str">
            <v>21</v>
          </cell>
          <cell r="F1534" t="str">
            <v>PAQ10a12</v>
          </cell>
          <cell r="G1534" t="str">
            <v>B</v>
          </cell>
          <cell r="H1534">
            <v>83.74</v>
          </cell>
        </row>
        <row r="1535">
          <cell r="A1535" t="str">
            <v>1;21;B1;B;PAQ12a14</v>
          </cell>
          <cell r="B1535">
            <v>730069</v>
          </cell>
          <cell r="C1535" t="str">
            <v>B1</v>
          </cell>
          <cell r="D1535" t="str">
            <v>BALEARES AÉREO 1</v>
          </cell>
          <cell r="E1535" t="str">
            <v>21</v>
          </cell>
          <cell r="F1535" t="str">
            <v>PAQ12a14</v>
          </cell>
          <cell r="G1535" t="str">
            <v>B</v>
          </cell>
          <cell r="H1535">
            <v>95.28</v>
          </cell>
        </row>
        <row r="1536">
          <cell r="A1536" t="str">
            <v>1;21;B1;B;PAQ14a16</v>
          </cell>
          <cell r="B1536">
            <v>730069</v>
          </cell>
          <cell r="C1536" t="str">
            <v>B1</v>
          </cell>
          <cell r="D1536" t="str">
            <v>BALEARES AÉREO 1</v>
          </cell>
          <cell r="E1536" t="str">
            <v>21</v>
          </cell>
          <cell r="F1536" t="str">
            <v>PAQ14a16</v>
          </cell>
          <cell r="G1536" t="str">
            <v>B</v>
          </cell>
          <cell r="H1536">
            <v>106.82</v>
          </cell>
        </row>
        <row r="1537">
          <cell r="A1537" t="str">
            <v>1;21;B1;B;PAQ16a18</v>
          </cell>
          <cell r="B1537">
            <v>730069</v>
          </cell>
          <cell r="C1537" t="str">
            <v>B1</v>
          </cell>
          <cell r="D1537" t="str">
            <v>BALEARES AÉREO 1</v>
          </cell>
          <cell r="E1537" t="str">
            <v>21</v>
          </cell>
          <cell r="F1537" t="str">
            <v>PAQ16a18</v>
          </cell>
          <cell r="G1537" t="str">
            <v>B</v>
          </cell>
          <cell r="H1537">
            <v>118.36</v>
          </cell>
        </row>
        <row r="1538">
          <cell r="A1538" t="str">
            <v>1;21;B1;B;PAQ18a20</v>
          </cell>
          <cell r="B1538">
            <v>730069</v>
          </cell>
          <cell r="C1538" t="str">
            <v>B1</v>
          </cell>
          <cell r="D1538" t="str">
            <v>BALEARES AÉREO 1</v>
          </cell>
          <cell r="E1538" t="str">
            <v>21</v>
          </cell>
          <cell r="F1538" t="str">
            <v>PAQ18a20</v>
          </cell>
          <cell r="G1538" t="str">
            <v>B</v>
          </cell>
          <cell r="H1538">
            <v>129.9</v>
          </cell>
        </row>
        <row r="1539">
          <cell r="A1539" t="str">
            <v>1;21;B1;B;PAQ20a22</v>
          </cell>
          <cell r="B1539">
            <v>730069</v>
          </cell>
          <cell r="C1539" t="str">
            <v>B1</v>
          </cell>
          <cell r="D1539" t="str">
            <v>BALEARES AÉREO 1</v>
          </cell>
          <cell r="E1539" t="str">
            <v>21</v>
          </cell>
          <cell r="F1539" t="str">
            <v>PAQ20a22</v>
          </cell>
          <cell r="G1539" t="str">
            <v>B</v>
          </cell>
          <cell r="H1539">
            <v>141.43</v>
          </cell>
        </row>
        <row r="1540">
          <cell r="A1540" t="str">
            <v>1;21;B1;B;PAQ22a24</v>
          </cell>
          <cell r="B1540">
            <v>730069</v>
          </cell>
          <cell r="C1540" t="str">
            <v>B1</v>
          </cell>
          <cell r="D1540" t="str">
            <v>BALEARES AÉREO 1</v>
          </cell>
          <cell r="E1540" t="str">
            <v>21</v>
          </cell>
          <cell r="F1540" t="str">
            <v>PAQ22a24</v>
          </cell>
          <cell r="G1540" t="str">
            <v>B</v>
          </cell>
          <cell r="H1540">
            <v>152.97999999999999</v>
          </cell>
        </row>
        <row r="1541">
          <cell r="A1541" t="str">
            <v>1;21;B1;B;PAQ24a26</v>
          </cell>
          <cell r="B1541">
            <v>730069</v>
          </cell>
          <cell r="C1541" t="str">
            <v>B1</v>
          </cell>
          <cell r="D1541" t="str">
            <v>BALEARES AÉREO 1</v>
          </cell>
          <cell r="E1541" t="str">
            <v>21</v>
          </cell>
          <cell r="F1541" t="str">
            <v>PAQ24a26</v>
          </cell>
          <cell r="G1541" t="str">
            <v>B</v>
          </cell>
          <cell r="H1541">
            <v>164.51</v>
          </cell>
        </row>
        <row r="1542">
          <cell r="A1542" t="str">
            <v>1;21;B1;B;PAQ26a28</v>
          </cell>
          <cell r="B1542">
            <v>730069</v>
          </cell>
          <cell r="C1542" t="str">
            <v>B1</v>
          </cell>
          <cell r="D1542" t="str">
            <v>BALEARES AÉREO 1</v>
          </cell>
          <cell r="E1542" t="str">
            <v>21</v>
          </cell>
          <cell r="F1542" t="str">
            <v>PAQ26a28</v>
          </cell>
          <cell r="G1542" t="str">
            <v>B</v>
          </cell>
          <cell r="H1542">
            <v>176.06</v>
          </cell>
        </row>
        <row r="1543">
          <cell r="A1543" t="str">
            <v>1;21;B1;B;PAQ28a30</v>
          </cell>
          <cell r="B1543">
            <v>730069</v>
          </cell>
          <cell r="C1543" t="str">
            <v>B1</v>
          </cell>
          <cell r="D1543" t="str">
            <v>BALEARES AÉREO 1</v>
          </cell>
          <cell r="E1543" t="str">
            <v>21</v>
          </cell>
          <cell r="F1543" t="str">
            <v>PAQ28a30</v>
          </cell>
          <cell r="G1543" t="str">
            <v>B</v>
          </cell>
          <cell r="H1543">
            <v>187.59</v>
          </cell>
        </row>
        <row r="1544">
          <cell r="A1544" t="str">
            <v>1;21;B1;B;PAQ30a32</v>
          </cell>
          <cell r="B1544">
            <v>730069</v>
          </cell>
          <cell r="C1544" t="str">
            <v>B1</v>
          </cell>
          <cell r="D1544" t="str">
            <v>BALEARES AÉREO 1</v>
          </cell>
          <cell r="E1544" t="str">
            <v>21</v>
          </cell>
          <cell r="F1544" t="str">
            <v>PAQ30a32</v>
          </cell>
          <cell r="G1544" t="str">
            <v>B</v>
          </cell>
          <cell r="H1544">
            <v>199.14</v>
          </cell>
        </row>
        <row r="1545">
          <cell r="A1545" t="str">
            <v>1;21;B1;B;PAQ32a34</v>
          </cell>
          <cell r="B1545">
            <v>730069</v>
          </cell>
          <cell r="C1545" t="str">
            <v>B1</v>
          </cell>
          <cell r="D1545" t="str">
            <v>BALEARES AÉREO 1</v>
          </cell>
          <cell r="E1545" t="str">
            <v>21</v>
          </cell>
          <cell r="F1545" t="str">
            <v>PAQ32a34</v>
          </cell>
          <cell r="G1545" t="str">
            <v>B</v>
          </cell>
          <cell r="H1545">
            <v>210.67</v>
          </cell>
        </row>
        <row r="1546">
          <cell r="A1546" t="str">
            <v>1;21;B1;B;PAQ34a36</v>
          </cell>
          <cell r="B1546">
            <v>730069</v>
          </cell>
          <cell r="C1546" t="str">
            <v>B1</v>
          </cell>
          <cell r="D1546" t="str">
            <v>BALEARES AÉREO 1</v>
          </cell>
          <cell r="E1546" t="str">
            <v>21</v>
          </cell>
          <cell r="F1546" t="str">
            <v>PAQ34a36</v>
          </cell>
          <cell r="G1546" t="str">
            <v>B</v>
          </cell>
          <cell r="H1546">
            <v>222.21</v>
          </cell>
        </row>
        <row r="1547">
          <cell r="A1547" t="str">
            <v>1;21;B1;B;PAQ36a38</v>
          </cell>
          <cell r="B1547">
            <v>730069</v>
          </cell>
          <cell r="C1547" t="str">
            <v>B1</v>
          </cell>
          <cell r="D1547" t="str">
            <v>BALEARES AÉREO 1</v>
          </cell>
          <cell r="E1547" t="str">
            <v>21</v>
          </cell>
          <cell r="F1547" t="str">
            <v>PAQ36a38</v>
          </cell>
          <cell r="G1547" t="str">
            <v>B</v>
          </cell>
          <cell r="H1547">
            <v>233.75</v>
          </cell>
        </row>
        <row r="1548">
          <cell r="A1548" t="str">
            <v>1;21;B1;B;PAQ38a40</v>
          </cell>
          <cell r="B1548">
            <v>730069</v>
          </cell>
          <cell r="C1548" t="str">
            <v>B1</v>
          </cell>
          <cell r="D1548" t="str">
            <v>BALEARES AÉREO 1</v>
          </cell>
          <cell r="E1548" t="str">
            <v>21</v>
          </cell>
          <cell r="F1548" t="str">
            <v>PAQ38a40</v>
          </cell>
          <cell r="G1548" t="str">
            <v>B</v>
          </cell>
          <cell r="H1548">
            <v>245.29</v>
          </cell>
        </row>
        <row r="1549">
          <cell r="A1549" t="str">
            <v>1;21;B1;F;</v>
          </cell>
          <cell r="B1549">
            <v>730069</v>
          </cell>
          <cell r="C1549" t="str">
            <v>B1</v>
          </cell>
          <cell r="D1549" t="str">
            <v>BALEARES AÉREO 1</v>
          </cell>
          <cell r="E1549" t="str">
            <v>21</v>
          </cell>
          <cell r="F1549" t="str">
            <v/>
          </cell>
          <cell r="G1549" t="str">
            <v>F</v>
          </cell>
          <cell r="H1549">
            <v>11.55</v>
          </cell>
        </row>
        <row r="1550">
          <cell r="A1550" t="str">
            <v>1;21;B1;E;</v>
          </cell>
          <cell r="B1550">
            <v>730069</v>
          </cell>
          <cell r="C1550" t="str">
            <v>B1</v>
          </cell>
          <cell r="D1550" t="str">
            <v>BALEARES AÉREO 1</v>
          </cell>
          <cell r="E1550" t="str">
            <v>21</v>
          </cell>
          <cell r="F1550" t="str">
            <v/>
          </cell>
          <cell r="G1550" t="str">
            <v>E</v>
          </cell>
          <cell r="H1550">
            <v>0</v>
          </cell>
        </row>
        <row r="1551">
          <cell r="A1551" t="str">
            <v>1;21;B1;P;</v>
          </cell>
          <cell r="B1551">
            <v>730069</v>
          </cell>
          <cell r="C1551" t="str">
            <v>B1</v>
          </cell>
          <cell r="D1551" t="str">
            <v>BALEARES AÉREO 1</v>
          </cell>
          <cell r="E1551" t="str">
            <v>21</v>
          </cell>
          <cell r="F1551" t="str">
            <v/>
          </cell>
          <cell r="G1551" t="str">
            <v>P</v>
          </cell>
          <cell r="H1551">
            <v>0</v>
          </cell>
        </row>
        <row r="1552">
          <cell r="A1552" t="str">
            <v>1;27;B1;B;PAQ00a02</v>
          </cell>
          <cell r="B1552">
            <v>730069</v>
          </cell>
          <cell r="C1552" t="str">
            <v>B1</v>
          </cell>
          <cell r="D1552" t="str">
            <v>BALEARES AÉREO 1</v>
          </cell>
          <cell r="E1552" t="str">
            <v>27</v>
          </cell>
          <cell r="F1552" t="str">
            <v>PAQ00a02</v>
          </cell>
          <cell r="G1552" t="str">
            <v>B</v>
          </cell>
          <cell r="H1552">
            <v>16.96</v>
          </cell>
        </row>
        <row r="1553">
          <cell r="A1553" t="str">
            <v>1;27;B1;B;PAQ02a04</v>
          </cell>
          <cell r="B1553">
            <v>730069</v>
          </cell>
          <cell r="C1553" t="str">
            <v>B1</v>
          </cell>
          <cell r="D1553" t="str">
            <v>BALEARES AÉREO 1</v>
          </cell>
          <cell r="E1553" t="str">
            <v>27</v>
          </cell>
          <cell r="F1553" t="str">
            <v>PAQ02a04</v>
          </cell>
          <cell r="G1553" t="str">
            <v>B</v>
          </cell>
          <cell r="H1553">
            <v>23.88</v>
          </cell>
        </row>
        <row r="1554">
          <cell r="A1554" t="str">
            <v>1;27;B1;B;PAQ04a06</v>
          </cell>
          <cell r="B1554">
            <v>730069</v>
          </cell>
          <cell r="C1554" t="str">
            <v>B1</v>
          </cell>
          <cell r="D1554" t="str">
            <v>BALEARES AÉREO 1</v>
          </cell>
          <cell r="E1554" t="str">
            <v>27</v>
          </cell>
          <cell r="F1554" t="str">
            <v>PAQ04a06</v>
          </cell>
          <cell r="G1554" t="str">
            <v>B</v>
          </cell>
          <cell r="H1554">
            <v>30.98</v>
          </cell>
        </row>
        <row r="1555">
          <cell r="A1555" t="str">
            <v>1;27;B1;B;PAQ06a08</v>
          </cell>
          <cell r="B1555">
            <v>730069</v>
          </cell>
          <cell r="C1555" t="str">
            <v>B1</v>
          </cell>
          <cell r="D1555" t="str">
            <v>BALEARES AÉREO 1</v>
          </cell>
          <cell r="E1555" t="str">
            <v>27</v>
          </cell>
          <cell r="F1555" t="str">
            <v>PAQ06a08</v>
          </cell>
          <cell r="G1555" t="str">
            <v>B</v>
          </cell>
          <cell r="H1555">
            <v>37.35</v>
          </cell>
        </row>
        <row r="1556">
          <cell r="A1556" t="str">
            <v>1;27;B1;B;PAQ08a10</v>
          </cell>
          <cell r="B1556">
            <v>730069</v>
          </cell>
          <cell r="C1556" t="str">
            <v>B1</v>
          </cell>
          <cell r="D1556" t="str">
            <v>BALEARES AÉREO 1</v>
          </cell>
          <cell r="E1556" t="str">
            <v>27</v>
          </cell>
          <cell r="F1556" t="str">
            <v>PAQ08a10</v>
          </cell>
          <cell r="G1556" t="str">
            <v>B</v>
          </cell>
          <cell r="H1556">
            <v>44.56</v>
          </cell>
        </row>
        <row r="1557">
          <cell r="A1557" t="str">
            <v>1;27;B1;B;PAQ10a12</v>
          </cell>
          <cell r="B1557">
            <v>730069</v>
          </cell>
          <cell r="C1557" t="str">
            <v>B1</v>
          </cell>
          <cell r="D1557" t="str">
            <v>BALEARES AÉREO 1</v>
          </cell>
          <cell r="E1557" t="str">
            <v>27</v>
          </cell>
          <cell r="F1557" t="str">
            <v>PAQ10a12</v>
          </cell>
          <cell r="G1557" t="str">
            <v>B</v>
          </cell>
          <cell r="H1557">
            <v>52.58</v>
          </cell>
        </row>
        <row r="1558">
          <cell r="A1558" t="str">
            <v>1;27;B1;B;PAQ12a14</v>
          </cell>
          <cell r="B1558">
            <v>730069</v>
          </cell>
          <cell r="C1558" t="str">
            <v>B1</v>
          </cell>
          <cell r="D1558" t="str">
            <v>BALEARES AÉREO 1</v>
          </cell>
          <cell r="E1558" t="str">
            <v>27</v>
          </cell>
          <cell r="F1558" t="str">
            <v>PAQ12a14</v>
          </cell>
          <cell r="G1558" t="str">
            <v>B</v>
          </cell>
          <cell r="H1558">
            <v>60.61</v>
          </cell>
        </row>
        <row r="1559">
          <cell r="A1559" t="str">
            <v>1;27;B1;B;PAQ14a16</v>
          </cell>
          <cell r="B1559">
            <v>730069</v>
          </cell>
          <cell r="C1559" t="str">
            <v>B1</v>
          </cell>
          <cell r="D1559" t="str">
            <v>BALEARES AÉREO 1</v>
          </cell>
          <cell r="E1559" t="str">
            <v>27</v>
          </cell>
          <cell r="F1559" t="str">
            <v>PAQ14a16</v>
          </cell>
          <cell r="G1559" t="str">
            <v>B</v>
          </cell>
          <cell r="H1559">
            <v>68.63</v>
          </cell>
        </row>
        <row r="1560">
          <cell r="A1560" t="str">
            <v>1;27;B1;B;PAQ16a18</v>
          </cell>
          <cell r="B1560">
            <v>730069</v>
          </cell>
          <cell r="C1560" t="str">
            <v>B1</v>
          </cell>
          <cell r="D1560" t="str">
            <v>BALEARES AÉREO 1</v>
          </cell>
          <cell r="E1560" t="str">
            <v>27</v>
          </cell>
          <cell r="F1560" t="str">
            <v>PAQ16a18</v>
          </cell>
          <cell r="G1560" t="str">
            <v>B</v>
          </cell>
          <cell r="H1560">
            <v>76.650000000000006</v>
          </cell>
        </row>
        <row r="1561">
          <cell r="A1561" t="str">
            <v>1;27;B1;B;PAQ18a20</v>
          </cell>
          <cell r="B1561">
            <v>730069</v>
          </cell>
          <cell r="C1561" t="str">
            <v>B1</v>
          </cell>
          <cell r="D1561" t="str">
            <v>BALEARES AÉREO 1</v>
          </cell>
          <cell r="E1561" t="str">
            <v>27</v>
          </cell>
          <cell r="F1561" t="str">
            <v>PAQ18a20</v>
          </cell>
          <cell r="G1561" t="str">
            <v>B</v>
          </cell>
          <cell r="H1561">
            <v>84.68</v>
          </cell>
        </row>
        <row r="1562">
          <cell r="A1562" t="str">
            <v>1;27;B1;B;PAQ20a22</v>
          </cell>
          <cell r="B1562">
            <v>730069</v>
          </cell>
          <cell r="C1562" t="str">
            <v>B1</v>
          </cell>
          <cell r="D1562" t="str">
            <v>BALEARES AÉREO 1</v>
          </cell>
          <cell r="E1562" t="str">
            <v>27</v>
          </cell>
          <cell r="F1562" t="str">
            <v>PAQ20a22</v>
          </cell>
          <cell r="G1562" t="str">
            <v>B</v>
          </cell>
          <cell r="H1562">
            <v>92.7</v>
          </cell>
        </row>
        <row r="1563">
          <cell r="A1563" t="str">
            <v>1;27;B1;B;PAQ22a24</v>
          </cell>
          <cell r="B1563">
            <v>730069</v>
          </cell>
          <cell r="C1563" t="str">
            <v>B1</v>
          </cell>
          <cell r="D1563" t="str">
            <v>BALEARES AÉREO 1</v>
          </cell>
          <cell r="E1563" t="str">
            <v>27</v>
          </cell>
          <cell r="F1563" t="str">
            <v>PAQ22a24</v>
          </cell>
          <cell r="G1563" t="str">
            <v>B</v>
          </cell>
          <cell r="H1563">
            <v>100.72</v>
          </cell>
        </row>
        <row r="1564">
          <cell r="A1564" t="str">
            <v>1;27;B1;B;PAQ24a26</v>
          </cell>
          <cell r="B1564">
            <v>730069</v>
          </cell>
          <cell r="C1564" t="str">
            <v>B1</v>
          </cell>
          <cell r="D1564" t="str">
            <v>BALEARES AÉREO 1</v>
          </cell>
          <cell r="E1564" t="str">
            <v>27</v>
          </cell>
          <cell r="F1564" t="str">
            <v>PAQ24a26</v>
          </cell>
          <cell r="G1564" t="str">
            <v>B</v>
          </cell>
          <cell r="H1564">
            <v>108.75</v>
          </cell>
        </row>
        <row r="1565">
          <cell r="A1565" t="str">
            <v>1;27;B1;B;PAQ26a28</v>
          </cell>
          <cell r="B1565">
            <v>730069</v>
          </cell>
          <cell r="C1565" t="str">
            <v>B1</v>
          </cell>
          <cell r="D1565" t="str">
            <v>BALEARES AÉREO 1</v>
          </cell>
          <cell r="E1565" t="str">
            <v>27</v>
          </cell>
          <cell r="F1565" t="str">
            <v>PAQ26a28</v>
          </cell>
          <cell r="G1565" t="str">
            <v>B</v>
          </cell>
          <cell r="H1565">
            <v>116.77</v>
          </cell>
        </row>
        <row r="1566">
          <cell r="A1566" t="str">
            <v>1;27;B1;B;PAQ28a30</v>
          </cell>
          <cell r="B1566">
            <v>730069</v>
          </cell>
          <cell r="C1566" t="str">
            <v>B1</v>
          </cell>
          <cell r="D1566" t="str">
            <v>BALEARES AÉREO 1</v>
          </cell>
          <cell r="E1566" t="str">
            <v>27</v>
          </cell>
          <cell r="F1566" t="str">
            <v>PAQ28a30</v>
          </cell>
          <cell r="G1566" t="str">
            <v>B</v>
          </cell>
          <cell r="H1566">
            <v>124.79</v>
          </cell>
        </row>
        <row r="1567">
          <cell r="A1567" t="str">
            <v>1;27;B1;B;PAQ30a32</v>
          </cell>
          <cell r="B1567">
            <v>730069</v>
          </cell>
          <cell r="C1567" t="str">
            <v>B1</v>
          </cell>
          <cell r="D1567" t="str">
            <v>BALEARES AÉREO 1</v>
          </cell>
          <cell r="E1567" t="str">
            <v>27</v>
          </cell>
          <cell r="F1567" t="str">
            <v>PAQ30a32</v>
          </cell>
          <cell r="G1567" t="str">
            <v>B</v>
          </cell>
          <cell r="H1567">
            <v>132.82</v>
          </cell>
        </row>
        <row r="1568">
          <cell r="A1568" t="str">
            <v>1;27;B1;B;PAQ32a34</v>
          </cell>
          <cell r="B1568">
            <v>730069</v>
          </cell>
          <cell r="C1568" t="str">
            <v>B1</v>
          </cell>
          <cell r="D1568" t="str">
            <v>BALEARES AÉREO 1</v>
          </cell>
          <cell r="E1568" t="str">
            <v>27</v>
          </cell>
          <cell r="F1568" t="str">
            <v>PAQ32a34</v>
          </cell>
          <cell r="G1568" t="str">
            <v>B</v>
          </cell>
          <cell r="H1568">
            <v>140.84</v>
          </cell>
        </row>
        <row r="1569">
          <cell r="A1569" t="str">
            <v>1;27;B1;B;PAQ34a36</v>
          </cell>
          <cell r="B1569">
            <v>730069</v>
          </cell>
          <cell r="C1569" t="str">
            <v>B1</v>
          </cell>
          <cell r="D1569" t="str">
            <v>BALEARES AÉREO 1</v>
          </cell>
          <cell r="E1569" t="str">
            <v>27</v>
          </cell>
          <cell r="F1569" t="str">
            <v>PAQ34a36</v>
          </cell>
          <cell r="G1569" t="str">
            <v>B</v>
          </cell>
          <cell r="H1569">
            <v>148.87</v>
          </cell>
        </row>
        <row r="1570">
          <cell r="A1570" t="str">
            <v>1;27;B1;B;PAQ36a38</v>
          </cell>
          <cell r="B1570">
            <v>730069</v>
          </cell>
          <cell r="C1570" t="str">
            <v>B1</v>
          </cell>
          <cell r="D1570" t="str">
            <v>BALEARES AÉREO 1</v>
          </cell>
          <cell r="E1570" t="str">
            <v>27</v>
          </cell>
          <cell r="F1570" t="str">
            <v>PAQ36a38</v>
          </cell>
          <cell r="G1570" t="str">
            <v>B</v>
          </cell>
          <cell r="H1570">
            <v>156.88999999999999</v>
          </cell>
        </row>
        <row r="1571">
          <cell r="A1571" t="str">
            <v>1;27;B1;B;PAQ38a40</v>
          </cell>
          <cell r="B1571">
            <v>730069</v>
          </cell>
          <cell r="C1571" t="str">
            <v>B1</v>
          </cell>
          <cell r="D1571" t="str">
            <v>BALEARES AÉREO 1</v>
          </cell>
          <cell r="E1571" t="str">
            <v>27</v>
          </cell>
          <cell r="F1571" t="str">
            <v>PAQ38a40</v>
          </cell>
          <cell r="G1571" t="str">
            <v>B</v>
          </cell>
          <cell r="H1571">
            <v>164.91</v>
          </cell>
        </row>
        <row r="1572">
          <cell r="A1572" t="str">
            <v>1;27;B1;F;</v>
          </cell>
          <cell r="B1572">
            <v>730069</v>
          </cell>
          <cell r="C1572" t="str">
            <v>B1</v>
          </cell>
          <cell r="D1572" t="str">
            <v>BALEARES AÉREO 1</v>
          </cell>
          <cell r="E1572" t="str">
            <v>27</v>
          </cell>
          <cell r="F1572" t="str">
            <v/>
          </cell>
          <cell r="G1572" t="str">
            <v>F</v>
          </cell>
          <cell r="H1572">
            <v>8.02</v>
          </cell>
        </row>
        <row r="1573">
          <cell r="A1573" t="str">
            <v>1;27;B1;E;</v>
          </cell>
          <cell r="B1573">
            <v>730069</v>
          </cell>
          <cell r="C1573" t="str">
            <v>B1</v>
          </cell>
          <cell r="D1573" t="str">
            <v>BALEARES AÉREO 1</v>
          </cell>
          <cell r="E1573" t="str">
            <v>27</v>
          </cell>
          <cell r="F1573" t="str">
            <v/>
          </cell>
          <cell r="G1573" t="str">
            <v>E</v>
          </cell>
          <cell r="H1573">
            <v>0</v>
          </cell>
        </row>
        <row r="1574">
          <cell r="A1574" t="str">
            <v>1;27;B1;P;</v>
          </cell>
          <cell r="B1574">
            <v>730069</v>
          </cell>
          <cell r="C1574" t="str">
            <v>B1</v>
          </cell>
          <cell r="D1574" t="str">
            <v>BALEARES AÉREO 1</v>
          </cell>
          <cell r="E1574" t="str">
            <v>27</v>
          </cell>
          <cell r="F1574" t="str">
            <v/>
          </cell>
          <cell r="G1574" t="str">
            <v>P</v>
          </cell>
          <cell r="H1574">
            <v>0</v>
          </cell>
        </row>
        <row r="1575">
          <cell r="A1575" t="str">
            <v>1;33;B1;B;PAQ00a02</v>
          </cell>
          <cell r="B1575">
            <v>730069</v>
          </cell>
          <cell r="C1575" t="str">
            <v>B1</v>
          </cell>
          <cell r="D1575" t="str">
            <v>BALEARES AÉREO 1</v>
          </cell>
          <cell r="E1575" t="str">
            <v>33</v>
          </cell>
          <cell r="F1575" t="str">
            <v>PAQ00a02</v>
          </cell>
          <cell r="G1575" t="str">
            <v>B</v>
          </cell>
          <cell r="H1575">
            <v>25.45</v>
          </cell>
        </row>
        <row r="1576">
          <cell r="A1576" t="str">
            <v>1;33;B1;B;PAQ02a04</v>
          </cell>
          <cell r="B1576">
            <v>730069</v>
          </cell>
          <cell r="C1576" t="str">
            <v>B1</v>
          </cell>
          <cell r="D1576" t="str">
            <v>BALEARES AÉREO 1</v>
          </cell>
          <cell r="E1576" t="str">
            <v>33</v>
          </cell>
          <cell r="F1576" t="str">
            <v>PAQ02a04</v>
          </cell>
          <cell r="G1576" t="str">
            <v>B</v>
          </cell>
          <cell r="H1576">
            <v>35.82</v>
          </cell>
        </row>
        <row r="1577">
          <cell r="A1577" t="str">
            <v>1;33;B1;B;PAQ04a06</v>
          </cell>
          <cell r="B1577">
            <v>730069</v>
          </cell>
          <cell r="C1577" t="str">
            <v>B1</v>
          </cell>
          <cell r="D1577" t="str">
            <v>BALEARES AÉREO 1</v>
          </cell>
          <cell r="E1577" t="str">
            <v>33</v>
          </cell>
          <cell r="F1577" t="str">
            <v>PAQ04a06</v>
          </cell>
          <cell r="G1577" t="str">
            <v>B</v>
          </cell>
          <cell r="H1577">
            <v>46.47</v>
          </cell>
        </row>
        <row r="1578">
          <cell r="A1578" t="str">
            <v>1;33;B1;B;PAQ06a08</v>
          </cell>
          <cell r="B1578">
            <v>730069</v>
          </cell>
          <cell r="C1578" t="str">
            <v>B1</v>
          </cell>
          <cell r="D1578" t="str">
            <v>BALEARES AÉREO 1</v>
          </cell>
          <cell r="E1578" t="str">
            <v>33</v>
          </cell>
          <cell r="F1578" t="str">
            <v>PAQ06a08</v>
          </cell>
          <cell r="G1578" t="str">
            <v>B</v>
          </cell>
          <cell r="H1578">
            <v>56.02</v>
          </cell>
        </row>
        <row r="1579">
          <cell r="A1579" t="str">
            <v>1;33;B1;B;PAQ08a10</v>
          </cell>
          <cell r="B1579">
            <v>730069</v>
          </cell>
          <cell r="C1579" t="str">
            <v>B1</v>
          </cell>
          <cell r="D1579" t="str">
            <v>BALEARES AÉREO 1</v>
          </cell>
          <cell r="E1579" t="str">
            <v>33</v>
          </cell>
          <cell r="F1579" t="str">
            <v>PAQ08a10</v>
          </cell>
          <cell r="G1579" t="str">
            <v>B</v>
          </cell>
          <cell r="H1579">
            <v>66.84</v>
          </cell>
        </row>
        <row r="1580">
          <cell r="A1580" t="str">
            <v>1;33;B1;B;PAQ10a12</v>
          </cell>
          <cell r="B1580">
            <v>730069</v>
          </cell>
          <cell r="C1580" t="str">
            <v>B1</v>
          </cell>
          <cell r="D1580" t="str">
            <v>BALEARES AÉREO 1</v>
          </cell>
          <cell r="E1580" t="str">
            <v>33</v>
          </cell>
          <cell r="F1580" t="str">
            <v>PAQ10a12</v>
          </cell>
          <cell r="G1580" t="str">
            <v>B</v>
          </cell>
          <cell r="H1580">
            <v>78.87</v>
          </cell>
        </row>
        <row r="1581">
          <cell r="A1581" t="str">
            <v>1;33;B1;B;PAQ12a14</v>
          </cell>
          <cell r="B1581">
            <v>730069</v>
          </cell>
          <cell r="C1581" t="str">
            <v>B1</v>
          </cell>
          <cell r="D1581" t="str">
            <v>BALEARES AÉREO 1</v>
          </cell>
          <cell r="E1581" t="str">
            <v>33</v>
          </cell>
          <cell r="F1581" t="str">
            <v>PAQ12a14</v>
          </cell>
          <cell r="G1581" t="str">
            <v>B</v>
          </cell>
          <cell r="H1581">
            <v>90.91</v>
          </cell>
        </row>
        <row r="1582">
          <cell r="A1582" t="str">
            <v>1;33;B1;B;PAQ14a16</v>
          </cell>
          <cell r="B1582">
            <v>730069</v>
          </cell>
          <cell r="C1582" t="str">
            <v>B1</v>
          </cell>
          <cell r="D1582" t="str">
            <v>BALEARES AÉREO 1</v>
          </cell>
          <cell r="E1582" t="str">
            <v>33</v>
          </cell>
          <cell r="F1582" t="str">
            <v>PAQ14a16</v>
          </cell>
          <cell r="G1582" t="str">
            <v>B</v>
          </cell>
          <cell r="H1582">
            <v>102.94</v>
          </cell>
        </row>
        <row r="1583">
          <cell r="A1583" t="str">
            <v>1;33;B1;B;PAQ16a18</v>
          </cell>
          <cell r="B1583">
            <v>730069</v>
          </cell>
          <cell r="C1583" t="str">
            <v>B1</v>
          </cell>
          <cell r="D1583" t="str">
            <v>BALEARES AÉREO 1</v>
          </cell>
          <cell r="E1583" t="str">
            <v>33</v>
          </cell>
          <cell r="F1583" t="str">
            <v>PAQ16a18</v>
          </cell>
          <cell r="G1583" t="str">
            <v>B</v>
          </cell>
          <cell r="H1583">
            <v>114.98</v>
          </cell>
        </row>
        <row r="1584">
          <cell r="A1584" t="str">
            <v>1;33;B1;B;PAQ18a20</v>
          </cell>
          <cell r="B1584">
            <v>730069</v>
          </cell>
          <cell r="C1584" t="str">
            <v>B1</v>
          </cell>
          <cell r="D1584" t="str">
            <v>BALEARES AÉREO 1</v>
          </cell>
          <cell r="E1584" t="str">
            <v>33</v>
          </cell>
          <cell r="F1584" t="str">
            <v>PAQ18a20</v>
          </cell>
          <cell r="G1584" t="str">
            <v>B</v>
          </cell>
          <cell r="H1584">
            <v>127.01</v>
          </cell>
        </row>
        <row r="1585">
          <cell r="A1585" t="str">
            <v>1;33;B1;B;PAQ20a22</v>
          </cell>
          <cell r="B1585">
            <v>730069</v>
          </cell>
          <cell r="C1585" t="str">
            <v>B1</v>
          </cell>
          <cell r="D1585" t="str">
            <v>BALEARES AÉREO 1</v>
          </cell>
          <cell r="E1585" t="str">
            <v>33</v>
          </cell>
          <cell r="F1585" t="str">
            <v>PAQ20a22</v>
          </cell>
          <cell r="G1585" t="str">
            <v>B</v>
          </cell>
          <cell r="H1585">
            <v>139.05000000000001</v>
          </cell>
        </row>
        <row r="1586">
          <cell r="A1586" t="str">
            <v>1;33;B1;B;PAQ22a24</v>
          </cell>
          <cell r="B1586">
            <v>730069</v>
          </cell>
          <cell r="C1586" t="str">
            <v>B1</v>
          </cell>
          <cell r="D1586" t="str">
            <v>BALEARES AÉREO 1</v>
          </cell>
          <cell r="E1586" t="str">
            <v>33</v>
          </cell>
          <cell r="F1586" t="str">
            <v>PAQ22a24</v>
          </cell>
          <cell r="G1586" t="str">
            <v>B</v>
          </cell>
          <cell r="H1586">
            <v>151.08000000000001</v>
          </cell>
        </row>
        <row r="1587">
          <cell r="A1587" t="str">
            <v>1;33;B1;B;PAQ24a26</v>
          </cell>
          <cell r="B1587">
            <v>730069</v>
          </cell>
          <cell r="C1587" t="str">
            <v>B1</v>
          </cell>
          <cell r="D1587" t="str">
            <v>BALEARES AÉREO 1</v>
          </cell>
          <cell r="E1587" t="str">
            <v>33</v>
          </cell>
          <cell r="F1587" t="str">
            <v>PAQ24a26</v>
          </cell>
          <cell r="G1587" t="str">
            <v>B</v>
          </cell>
          <cell r="H1587">
            <v>163.12</v>
          </cell>
        </row>
        <row r="1588">
          <cell r="A1588" t="str">
            <v>1;33;B1;B;PAQ26a28</v>
          </cell>
          <cell r="B1588">
            <v>730069</v>
          </cell>
          <cell r="C1588" t="str">
            <v>B1</v>
          </cell>
          <cell r="D1588" t="str">
            <v>BALEARES AÉREO 1</v>
          </cell>
          <cell r="E1588" t="str">
            <v>33</v>
          </cell>
          <cell r="F1588" t="str">
            <v>PAQ26a28</v>
          </cell>
          <cell r="G1588" t="str">
            <v>B</v>
          </cell>
          <cell r="H1588">
            <v>175.15</v>
          </cell>
        </row>
        <row r="1589">
          <cell r="A1589" t="str">
            <v>1;33;B1;B;PAQ28a30</v>
          </cell>
          <cell r="B1589">
            <v>730069</v>
          </cell>
          <cell r="C1589" t="str">
            <v>B1</v>
          </cell>
          <cell r="D1589" t="str">
            <v>BALEARES AÉREO 1</v>
          </cell>
          <cell r="E1589" t="str">
            <v>33</v>
          </cell>
          <cell r="F1589" t="str">
            <v>PAQ28a30</v>
          </cell>
          <cell r="G1589" t="str">
            <v>B</v>
          </cell>
          <cell r="H1589">
            <v>187.19</v>
          </cell>
        </row>
        <row r="1590">
          <cell r="A1590" t="str">
            <v>1;33;B1;B;PAQ30a32</v>
          </cell>
          <cell r="B1590">
            <v>730069</v>
          </cell>
          <cell r="C1590" t="str">
            <v>B1</v>
          </cell>
          <cell r="D1590" t="str">
            <v>BALEARES AÉREO 1</v>
          </cell>
          <cell r="E1590" t="str">
            <v>33</v>
          </cell>
          <cell r="F1590" t="str">
            <v>PAQ30a32</v>
          </cell>
          <cell r="G1590" t="str">
            <v>B</v>
          </cell>
          <cell r="H1590">
            <v>199.22</v>
          </cell>
        </row>
        <row r="1591">
          <cell r="A1591" t="str">
            <v>1;33;B1;B;PAQ32a34</v>
          </cell>
          <cell r="B1591">
            <v>730069</v>
          </cell>
          <cell r="C1591" t="str">
            <v>B1</v>
          </cell>
          <cell r="D1591" t="str">
            <v>BALEARES AÉREO 1</v>
          </cell>
          <cell r="E1591" t="str">
            <v>33</v>
          </cell>
          <cell r="F1591" t="str">
            <v>PAQ32a34</v>
          </cell>
          <cell r="G1591" t="str">
            <v>B</v>
          </cell>
          <cell r="H1591">
            <v>211.26</v>
          </cell>
        </row>
        <row r="1592">
          <cell r="A1592" t="str">
            <v>1;33;B1;B;PAQ34a36</v>
          </cell>
          <cell r="B1592">
            <v>730069</v>
          </cell>
          <cell r="C1592" t="str">
            <v>B1</v>
          </cell>
          <cell r="D1592" t="str">
            <v>BALEARES AÉREO 1</v>
          </cell>
          <cell r="E1592" t="str">
            <v>33</v>
          </cell>
          <cell r="F1592" t="str">
            <v>PAQ34a36</v>
          </cell>
          <cell r="G1592" t="str">
            <v>B</v>
          </cell>
          <cell r="H1592">
            <v>223.29</v>
          </cell>
        </row>
        <row r="1593">
          <cell r="A1593" t="str">
            <v>1;33;B1;B;PAQ36a38</v>
          </cell>
          <cell r="B1593">
            <v>730069</v>
          </cell>
          <cell r="C1593" t="str">
            <v>B1</v>
          </cell>
          <cell r="D1593" t="str">
            <v>BALEARES AÉREO 1</v>
          </cell>
          <cell r="E1593" t="str">
            <v>33</v>
          </cell>
          <cell r="F1593" t="str">
            <v>PAQ36a38</v>
          </cell>
          <cell r="G1593" t="str">
            <v>B</v>
          </cell>
          <cell r="H1593">
            <v>235.33</v>
          </cell>
        </row>
        <row r="1594">
          <cell r="A1594" t="str">
            <v>1;33;B1;B;PAQ38a40</v>
          </cell>
          <cell r="B1594">
            <v>730069</v>
          </cell>
          <cell r="C1594" t="str">
            <v>B1</v>
          </cell>
          <cell r="D1594" t="str">
            <v>BALEARES AÉREO 1</v>
          </cell>
          <cell r="E1594" t="str">
            <v>33</v>
          </cell>
          <cell r="F1594" t="str">
            <v>PAQ38a40</v>
          </cell>
          <cell r="G1594" t="str">
            <v>B</v>
          </cell>
          <cell r="H1594">
            <v>247.36</v>
          </cell>
        </row>
        <row r="1595">
          <cell r="A1595" t="str">
            <v>1;33;B1;F;</v>
          </cell>
          <cell r="B1595">
            <v>730069</v>
          </cell>
          <cell r="C1595" t="str">
            <v>B1</v>
          </cell>
          <cell r="D1595" t="str">
            <v>BALEARES AÉREO 1</v>
          </cell>
          <cell r="E1595" t="str">
            <v>33</v>
          </cell>
          <cell r="F1595" t="str">
            <v/>
          </cell>
          <cell r="G1595" t="str">
            <v>F</v>
          </cell>
          <cell r="H1595">
            <v>12.43</v>
          </cell>
        </row>
        <row r="1596">
          <cell r="A1596" t="str">
            <v>1;33;B1;P;</v>
          </cell>
          <cell r="B1596">
            <v>730069</v>
          </cell>
          <cell r="C1596" t="str">
            <v>B1</v>
          </cell>
          <cell r="D1596" t="str">
            <v>BALEARES AÉREO 1</v>
          </cell>
          <cell r="E1596" t="str">
            <v>33</v>
          </cell>
          <cell r="F1596" t="str">
            <v/>
          </cell>
          <cell r="G1596" t="str">
            <v>P</v>
          </cell>
          <cell r="H1596">
            <v>0</v>
          </cell>
        </row>
        <row r="1597">
          <cell r="A1597" t="str">
            <v>1;33;B1;E;</v>
          </cell>
          <cell r="B1597">
            <v>730069</v>
          </cell>
          <cell r="C1597" t="str">
            <v>B1</v>
          </cell>
          <cell r="D1597" t="str">
            <v>BALEARES AÉREO 1</v>
          </cell>
          <cell r="E1597" t="str">
            <v>33</v>
          </cell>
          <cell r="F1597" t="str">
            <v/>
          </cell>
          <cell r="G1597" t="str">
            <v>E</v>
          </cell>
          <cell r="H1597">
            <v>0</v>
          </cell>
        </row>
        <row r="1598">
          <cell r="A1598" t="str">
            <v>1;70;B1;B;48L 15-25</v>
          </cell>
          <cell r="B1598">
            <v>730069</v>
          </cell>
          <cell r="C1598" t="str">
            <v>B1</v>
          </cell>
          <cell r="D1598" t="str">
            <v>BALEARES AÉREO 1</v>
          </cell>
          <cell r="E1598" t="str">
            <v>70</v>
          </cell>
          <cell r="F1598" t="str">
            <v>48L 15-25</v>
          </cell>
          <cell r="G1598" t="str">
            <v>B</v>
          </cell>
          <cell r="H1598">
            <v>155.63</v>
          </cell>
        </row>
        <row r="1599">
          <cell r="A1599" t="str">
            <v>1;70;B1;B;48LAR</v>
          </cell>
          <cell r="B1599">
            <v>730069</v>
          </cell>
          <cell r="C1599" t="str">
            <v>B1</v>
          </cell>
          <cell r="D1599" t="str">
            <v>BALEARES AÉREO 1</v>
          </cell>
          <cell r="E1599" t="str">
            <v>70</v>
          </cell>
          <cell r="F1599" t="str">
            <v>48LAR</v>
          </cell>
          <cell r="G1599" t="str">
            <v>B</v>
          </cell>
          <cell r="H1599">
            <v>215.92</v>
          </cell>
        </row>
        <row r="1600">
          <cell r="A1600" t="str">
            <v>1;70;B1;B;48M 15-25</v>
          </cell>
          <cell r="B1600">
            <v>730069</v>
          </cell>
          <cell r="C1600" t="str">
            <v>B1</v>
          </cell>
          <cell r="D1600" t="str">
            <v>BALEARES AÉREO 1</v>
          </cell>
          <cell r="E1600" t="str">
            <v>70</v>
          </cell>
          <cell r="F1600" t="str">
            <v>48M 15-25</v>
          </cell>
          <cell r="G1600" t="str">
            <v>B</v>
          </cell>
          <cell r="H1600">
            <v>138.02000000000001</v>
          </cell>
        </row>
        <row r="1601">
          <cell r="A1601" t="str">
            <v>1;70;B1;B;48MED</v>
          </cell>
          <cell r="B1601">
            <v>730069</v>
          </cell>
          <cell r="C1601" t="str">
            <v>B1</v>
          </cell>
          <cell r="D1601" t="str">
            <v>BALEARES AÉREO 1</v>
          </cell>
          <cell r="E1601" t="str">
            <v>70</v>
          </cell>
          <cell r="F1601" t="str">
            <v>48MED</v>
          </cell>
          <cell r="G1601" t="str">
            <v>B</v>
          </cell>
          <cell r="H1601">
            <v>176.09</v>
          </cell>
        </row>
        <row r="1602">
          <cell r="A1602" t="str">
            <v>1;70;B1;B;48S 15-25</v>
          </cell>
          <cell r="B1602">
            <v>730069</v>
          </cell>
          <cell r="C1602" t="str">
            <v>B1</v>
          </cell>
          <cell r="D1602" t="str">
            <v>BALEARES AÉREO 1</v>
          </cell>
          <cell r="E1602" t="str">
            <v>70</v>
          </cell>
          <cell r="F1602" t="str">
            <v>48S 15-25</v>
          </cell>
          <cell r="G1602" t="str">
            <v>B</v>
          </cell>
          <cell r="H1602">
            <v>118.63</v>
          </cell>
        </row>
        <row r="1603">
          <cell r="A1603" t="str">
            <v>1;70;B1;B;48SMA</v>
          </cell>
          <cell r="B1603">
            <v>730069</v>
          </cell>
          <cell r="C1603" t="str">
            <v>B1</v>
          </cell>
          <cell r="D1603" t="str">
            <v>BALEARES AÉREO 1</v>
          </cell>
          <cell r="E1603" t="str">
            <v>70</v>
          </cell>
          <cell r="F1603" t="str">
            <v>48SMA</v>
          </cell>
          <cell r="G1603" t="str">
            <v>B</v>
          </cell>
          <cell r="H1603">
            <v>154.07</v>
          </cell>
        </row>
        <row r="1604">
          <cell r="A1604" t="str">
            <v>1;70;B1;B;96M 15-25</v>
          </cell>
          <cell r="B1604">
            <v>730069</v>
          </cell>
          <cell r="C1604" t="str">
            <v>B1</v>
          </cell>
          <cell r="D1604" t="str">
            <v>BALEARES AÉREO 1</v>
          </cell>
          <cell r="E1604" t="str">
            <v>70</v>
          </cell>
          <cell r="F1604" t="str">
            <v>96M 15-25</v>
          </cell>
          <cell r="G1604" t="str">
            <v>B</v>
          </cell>
          <cell r="H1604">
            <v>220.13</v>
          </cell>
        </row>
        <row r="1605">
          <cell r="A1605" t="str">
            <v>1;70;B1;B;96MED</v>
          </cell>
          <cell r="B1605">
            <v>730069</v>
          </cell>
          <cell r="C1605" t="str">
            <v>B1</v>
          </cell>
          <cell r="D1605" t="str">
            <v>BALEARES AÉREO 1</v>
          </cell>
          <cell r="E1605" t="str">
            <v>70</v>
          </cell>
          <cell r="F1605" t="str">
            <v>96MED</v>
          </cell>
          <cell r="G1605" t="str">
            <v>B</v>
          </cell>
          <cell r="H1605">
            <v>257.08</v>
          </cell>
        </row>
        <row r="1606">
          <cell r="A1606" t="str">
            <v>1;70;B1;B;96S 15-25</v>
          </cell>
          <cell r="B1606">
            <v>730069</v>
          </cell>
          <cell r="C1606" t="str">
            <v>B1</v>
          </cell>
          <cell r="D1606" t="str">
            <v>BALEARES AÉREO 1</v>
          </cell>
          <cell r="E1606" t="str">
            <v>70</v>
          </cell>
          <cell r="F1606" t="str">
            <v>96S 15-25</v>
          </cell>
          <cell r="G1606" t="str">
            <v>B</v>
          </cell>
          <cell r="H1606">
            <v>158.99</v>
          </cell>
        </row>
        <row r="1607">
          <cell r="A1607" t="str">
            <v>1;70;B1;B;96SMA</v>
          </cell>
          <cell r="B1607">
            <v>730069</v>
          </cell>
          <cell r="C1607" t="str">
            <v>B1</v>
          </cell>
          <cell r="D1607" t="str">
            <v>BALEARES AÉREO 1</v>
          </cell>
          <cell r="E1607" t="str">
            <v>70</v>
          </cell>
          <cell r="F1607" t="str">
            <v>96SMA</v>
          </cell>
          <cell r="G1607" t="str">
            <v>B</v>
          </cell>
          <cell r="H1607">
            <v>176.6</v>
          </cell>
        </row>
        <row r="1608">
          <cell r="A1608" t="str">
            <v>1;72;B1;B;48L 15-25</v>
          </cell>
          <cell r="B1608">
            <v>730069</v>
          </cell>
          <cell r="C1608" t="str">
            <v>B1</v>
          </cell>
          <cell r="D1608" t="str">
            <v>BALEARES AÉREO 1</v>
          </cell>
          <cell r="E1608" t="str">
            <v>72</v>
          </cell>
          <cell r="F1608" t="str">
            <v>48L 15-25</v>
          </cell>
          <cell r="G1608" t="str">
            <v>B</v>
          </cell>
          <cell r="H1608">
            <v>118.41</v>
          </cell>
        </row>
        <row r="1609">
          <cell r="A1609" t="str">
            <v>1;72;B1;B;48LAR</v>
          </cell>
          <cell r="B1609">
            <v>730069</v>
          </cell>
          <cell r="C1609" t="str">
            <v>B1</v>
          </cell>
          <cell r="D1609" t="str">
            <v>BALEARES AÉREO 1</v>
          </cell>
          <cell r="E1609" t="str">
            <v>72</v>
          </cell>
          <cell r="F1609" t="str">
            <v>48LAR</v>
          </cell>
          <cell r="G1609" t="str">
            <v>B</v>
          </cell>
          <cell r="H1609">
            <v>128.28</v>
          </cell>
        </row>
        <row r="1610">
          <cell r="A1610" t="str">
            <v>1;72;B1;B;48M 15-25</v>
          </cell>
          <cell r="B1610">
            <v>730069</v>
          </cell>
          <cell r="C1610" t="str">
            <v>B1</v>
          </cell>
          <cell r="D1610" t="str">
            <v>BALEARES AÉREO 1</v>
          </cell>
          <cell r="E1610" t="str">
            <v>72</v>
          </cell>
          <cell r="F1610" t="str">
            <v>48M 15-25</v>
          </cell>
          <cell r="G1610" t="str">
            <v>B</v>
          </cell>
          <cell r="H1610">
            <v>97.1</v>
          </cell>
        </row>
        <row r="1611">
          <cell r="A1611" t="str">
            <v>1;72;B1;B;48MED</v>
          </cell>
          <cell r="B1611">
            <v>730069</v>
          </cell>
          <cell r="C1611" t="str">
            <v>B1</v>
          </cell>
          <cell r="D1611" t="str">
            <v>BALEARES AÉREO 1</v>
          </cell>
          <cell r="E1611" t="str">
            <v>72</v>
          </cell>
          <cell r="F1611" t="str">
            <v>48MED</v>
          </cell>
          <cell r="G1611" t="str">
            <v>B</v>
          </cell>
          <cell r="H1611">
            <v>97.45</v>
          </cell>
        </row>
        <row r="1612">
          <cell r="A1612" t="str">
            <v>1;72;B1;B;48S 15-25</v>
          </cell>
          <cell r="B1612">
            <v>730069</v>
          </cell>
          <cell r="C1612" t="str">
            <v>B1</v>
          </cell>
          <cell r="D1612" t="str">
            <v>BALEARES AÉREO 1</v>
          </cell>
          <cell r="E1612" t="str">
            <v>72</v>
          </cell>
          <cell r="F1612" t="str">
            <v>48S 15-25</v>
          </cell>
          <cell r="G1612" t="str">
            <v>B</v>
          </cell>
          <cell r="H1612">
            <v>77.52</v>
          </cell>
        </row>
        <row r="1613">
          <cell r="A1613" t="str">
            <v>1;72;B1;B;48SMA</v>
          </cell>
          <cell r="B1613">
            <v>730069</v>
          </cell>
          <cell r="C1613" t="str">
            <v>B1</v>
          </cell>
          <cell r="D1613" t="str">
            <v>BALEARES AÉREO 1</v>
          </cell>
          <cell r="E1613" t="str">
            <v>72</v>
          </cell>
          <cell r="F1613" t="str">
            <v>48SMA</v>
          </cell>
          <cell r="G1613" t="str">
            <v>B</v>
          </cell>
          <cell r="H1613">
            <v>78.97</v>
          </cell>
        </row>
        <row r="1614">
          <cell r="A1614" t="str">
            <v>1;72;B1;B;96M 15-25</v>
          </cell>
          <cell r="B1614">
            <v>730069</v>
          </cell>
          <cell r="C1614" t="str">
            <v>B1</v>
          </cell>
          <cell r="D1614" t="str">
            <v>BALEARES AÉREO 1</v>
          </cell>
          <cell r="E1614" t="str">
            <v>72</v>
          </cell>
          <cell r="F1614" t="str">
            <v>96M 15-25</v>
          </cell>
          <cell r="G1614" t="str">
            <v>B</v>
          </cell>
          <cell r="H1614">
            <v>151.68</v>
          </cell>
        </row>
        <row r="1615">
          <cell r="A1615" t="str">
            <v>1;72;B1;B;96MED</v>
          </cell>
          <cell r="B1615">
            <v>730069</v>
          </cell>
          <cell r="C1615" t="str">
            <v>B1</v>
          </cell>
          <cell r="D1615" t="str">
            <v>BALEARES AÉREO 1</v>
          </cell>
          <cell r="E1615" t="str">
            <v>72</v>
          </cell>
          <cell r="F1615" t="str">
            <v>96MED</v>
          </cell>
          <cell r="G1615" t="str">
            <v>B</v>
          </cell>
          <cell r="H1615">
            <v>150.43</v>
          </cell>
        </row>
        <row r="1616">
          <cell r="A1616" t="str">
            <v>1;72;B1;B;96S 15-25</v>
          </cell>
          <cell r="B1616">
            <v>730069</v>
          </cell>
          <cell r="C1616" t="str">
            <v>B1</v>
          </cell>
          <cell r="D1616" t="str">
            <v>BALEARES AÉREO 1</v>
          </cell>
          <cell r="E1616" t="str">
            <v>72</v>
          </cell>
          <cell r="F1616" t="str">
            <v>96S 15-25</v>
          </cell>
          <cell r="G1616" t="str">
            <v>B</v>
          </cell>
          <cell r="H1616">
            <v>109.04</v>
          </cell>
        </row>
        <row r="1617">
          <cell r="A1617" t="str">
            <v>1;72;B1;B;96SMA</v>
          </cell>
          <cell r="B1617">
            <v>730069</v>
          </cell>
          <cell r="C1617" t="str">
            <v>B1</v>
          </cell>
          <cell r="D1617" t="str">
            <v>BALEARES AÉREO 1</v>
          </cell>
          <cell r="E1617" t="str">
            <v>72</v>
          </cell>
          <cell r="F1617" t="str">
            <v>96SMA</v>
          </cell>
          <cell r="G1617" t="str">
            <v>B</v>
          </cell>
          <cell r="H1617">
            <v>104.21</v>
          </cell>
        </row>
        <row r="1618">
          <cell r="A1618" t="str">
            <v>1;73;B1;B;48L 15-25</v>
          </cell>
          <cell r="B1618">
            <v>730069</v>
          </cell>
          <cell r="C1618" t="str">
            <v>B1</v>
          </cell>
          <cell r="D1618" t="str">
            <v>BALEARES AÉREO 1</v>
          </cell>
          <cell r="E1618" t="str">
            <v>73</v>
          </cell>
          <cell r="F1618" t="str">
            <v>48L 15-25</v>
          </cell>
          <cell r="G1618" t="str">
            <v>B</v>
          </cell>
          <cell r="H1618">
            <v>114.11</v>
          </cell>
        </row>
        <row r="1619">
          <cell r="A1619" t="str">
            <v>1;73;B1;B;48LAR</v>
          </cell>
          <cell r="B1619">
            <v>730069</v>
          </cell>
          <cell r="C1619" t="str">
            <v>B1</v>
          </cell>
          <cell r="D1619" t="str">
            <v>BALEARES AÉREO 1</v>
          </cell>
          <cell r="E1619" t="str">
            <v>73</v>
          </cell>
          <cell r="F1619" t="str">
            <v>48LAR</v>
          </cell>
          <cell r="G1619" t="str">
            <v>B</v>
          </cell>
          <cell r="H1619">
            <v>135.65</v>
          </cell>
        </row>
        <row r="1620">
          <cell r="A1620" t="str">
            <v>1;73;B1;B;48M 15-25</v>
          </cell>
          <cell r="B1620">
            <v>730069</v>
          </cell>
          <cell r="C1620" t="str">
            <v>B1</v>
          </cell>
          <cell r="D1620" t="str">
            <v>BALEARES AÉREO 1</v>
          </cell>
          <cell r="E1620" t="str">
            <v>73</v>
          </cell>
          <cell r="F1620" t="str">
            <v>48M 15-25</v>
          </cell>
          <cell r="G1620" t="str">
            <v>B</v>
          </cell>
          <cell r="H1620">
            <v>101.44</v>
          </cell>
        </row>
        <row r="1621">
          <cell r="A1621" t="str">
            <v>1;73;B1;B;48MED</v>
          </cell>
          <cell r="B1621">
            <v>730069</v>
          </cell>
          <cell r="C1621" t="str">
            <v>B1</v>
          </cell>
          <cell r="D1621" t="str">
            <v>BALEARES AÉREO 1</v>
          </cell>
          <cell r="E1621" t="str">
            <v>73</v>
          </cell>
          <cell r="F1621" t="str">
            <v>48MED</v>
          </cell>
          <cell r="G1621" t="str">
            <v>B</v>
          </cell>
          <cell r="H1621">
            <v>112.91</v>
          </cell>
        </row>
        <row r="1622">
          <cell r="A1622" t="str">
            <v>1;73;B1;B;48S 15-25</v>
          </cell>
          <cell r="B1622">
            <v>730069</v>
          </cell>
          <cell r="C1622" t="str">
            <v>B1</v>
          </cell>
          <cell r="D1622" t="str">
            <v>BALEARES AÉREO 1</v>
          </cell>
          <cell r="E1622" t="str">
            <v>73</v>
          </cell>
          <cell r="F1622" t="str">
            <v>48S 15-25</v>
          </cell>
          <cell r="G1622" t="str">
            <v>B</v>
          </cell>
          <cell r="H1622">
            <v>86.67</v>
          </cell>
        </row>
        <row r="1623">
          <cell r="A1623" t="str">
            <v>1;73;B1;B;48SMA</v>
          </cell>
          <cell r="B1623">
            <v>730069</v>
          </cell>
          <cell r="C1623" t="str">
            <v>B1</v>
          </cell>
          <cell r="D1623" t="str">
            <v>BALEARES AÉREO 1</v>
          </cell>
          <cell r="E1623" t="str">
            <v>73</v>
          </cell>
          <cell r="F1623" t="str">
            <v>48SMA</v>
          </cell>
          <cell r="G1623" t="str">
            <v>B</v>
          </cell>
          <cell r="H1623">
            <v>99.38</v>
          </cell>
        </row>
        <row r="1624">
          <cell r="A1624" t="str">
            <v>1;73;B1;B;96M 15-25</v>
          </cell>
          <cell r="B1624">
            <v>730069</v>
          </cell>
          <cell r="C1624" t="str">
            <v>B1</v>
          </cell>
          <cell r="D1624" t="str">
            <v>BALEARES AÉREO 1</v>
          </cell>
          <cell r="E1624" t="str">
            <v>73</v>
          </cell>
          <cell r="F1624" t="str">
            <v>96M 15-25</v>
          </cell>
          <cell r="G1624" t="str">
            <v>B</v>
          </cell>
          <cell r="H1624">
            <v>159.1</v>
          </cell>
        </row>
        <row r="1625">
          <cell r="A1625" t="str">
            <v>1;73;B1;B;96MED</v>
          </cell>
          <cell r="B1625">
            <v>730069</v>
          </cell>
          <cell r="C1625" t="str">
            <v>B1</v>
          </cell>
          <cell r="D1625" t="str">
            <v>BALEARES AÉREO 1</v>
          </cell>
          <cell r="E1625" t="str">
            <v>73</v>
          </cell>
          <cell r="F1625" t="str">
            <v>96MED</v>
          </cell>
          <cell r="G1625" t="str">
            <v>B</v>
          </cell>
          <cell r="H1625">
            <v>159.63999999999999</v>
          </cell>
        </row>
        <row r="1626">
          <cell r="A1626" t="str">
            <v>1;73;B1;B;96S 15-25</v>
          </cell>
          <cell r="B1626">
            <v>730069</v>
          </cell>
          <cell r="C1626" t="str">
            <v>B1</v>
          </cell>
          <cell r="D1626" t="str">
            <v>BALEARES AÉREO 1</v>
          </cell>
          <cell r="E1626" t="str">
            <v>73</v>
          </cell>
          <cell r="F1626" t="str">
            <v>96S 15-25</v>
          </cell>
          <cell r="G1626" t="str">
            <v>B</v>
          </cell>
          <cell r="H1626">
            <v>116.45</v>
          </cell>
        </row>
        <row r="1627">
          <cell r="A1627" t="str">
            <v>1;73;B1;B;96SMA</v>
          </cell>
          <cell r="B1627">
            <v>730069</v>
          </cell>
          <cell r="C1627" t="str">
            <v>B1</v>
          </cell>
          <cell r="D1627" t="str">
            <v>BALEARES AÉREO 1</v>
          </cell>
          <cell r="E1627" t="str">
            <v>73</v>
          </cell>
          <cell r="F1627" t="str">
            <v>96SMA</v>
          </cell>
          <cell r="G1627" t="str">
            <v>B</v>
          </cell>
          <cell r="H1627">
            <v>113.42</v>
          </cell>
        </row>
        <row r="1628">
          <cell r="A1628" t="str">
            <v>1;78;B1;B;48L 15-25</v>
          </cell>
          <cell r="B1628">
            <v>730069</v>
          </cell>
          <cell r="C1628" t="str">
            <v>B1</v>
          </cell>
          <cell r="D1628" t="str">
            <v>BALEARES AÉREO 1</v>
          </cell>
          <cell r="E1628" t="str">
            <v>78</v>
          </cell>
          <cell r="F1628" t="str">
            <v>48L 15-25</v>
          </cell>
          <cell r="G1628" t="str">
            <v>B</v>
          </cell>
          <cell r="H1628">
            <v>5</v>
          </cell>
        </row>
        <row r="1629">
          <cell r="A1629" t="str">
            <v>1;78;B1;B;48LAR</v>
          </cell>
          <cell r="B1629">
            <v>730069</v>
          </cell>
          <cell r="C1629" t="str">
            <v>B1</v>
          </cell>
          <cell r="D1629" t="str">
            <v>BALEARES AÉREO 1</v>
          </cell>
          <cell r="E1629" t="str">
            <v>78</v>
          </cell>
          <cell r="F1629" t="str">
            <v>48LAR</v>
          </cell>
          <cell r="G1629" t="str">
            <v>B</v>
          </cell>
          <cell r="H1629">
            <v>5</v>
          </cell>
        </row>
        <row r="1630">
          <cell r="A1630" t="str">
            <v>1;78;B1;B;48M 15-25</v>
          </cell>
          <cell r="B1630">
            <v>730069</v>
          </cell>
          <cell r="C1630" t="str">
            <v>B1</v>
          </cell>
          <cell r="D1630" t="str">
            <v>BALEARES AÉREO 1</v>
          </cell>
          <cell r="E1630" t="str">
            <v>78</v>
          </cell>
          <cell r="F1630" t="str">
            <v>48M 15-25</v>
          </cell>
          <cell r="G1630" t="str">
            <v>B</v>
          </cell>
          <cell r="H1630">
            <v>5</v>
          </cell>
        </row>
        <row r="1631">
          <cell r="A1631" t="str">
            <v>1;78;B1;B;48MED</v>
          </cell>
          <cell r="B1631">
            <v>730069</v>
          </cell>
          <cell r="C1631" t="str">
            <v>B1</v>
          </cell>
          <cell r="D1631" t="str">
            <v>BALEARES AÉREO 1</v>
          </cell>
          <cell r="E1631" t="str">
            <v>78</v>
          </cell>
          <cell r="F1631" t="str">
            <v>48MED</v>
          </cell>
          <cell r="G1631" t="str">
            <v>B</v>
          </cell>
          <cell r="H1631">
            <v>5</v>
          </cell>
        </row>
        <row r="1632">
          <cell r="A1632" t="str">
            <v>1;78;B1;B;48S 15-25</v>
          </cell>
          <cell r="B1632">
            <v>730069</v>
          </cell>
          <cell r="C1632" t="str">
            <v>B1</v>
          </cell>
          <cell r="D1632" t="str">
            <v>BALEARES AÉREO 1</v>
          </cell>
          <cell r="E1632" t="str">
            <v>78</v>
          </cell>
          <cell r="F1632" t="str">
            <v>48S 15-25</v>
          </cell>
          <cell r="G1632" t="str">
            <v>B</v>
          </cell>
          <cell r="H1632">
            <v>5</v>
          </cell>
        </row>
        <row r="1633">
          <cell r="A1633" t="str">
            <v>1;78;B1;B;48SMA</v>
          </cell>
          <cell r="B1633">
            <v>730069</v>
          </cell>
          <cell r="C1633" t="str">
            <v>B1</v>
          </cell>
          <cell r="D1633" t="str">
            <v>BALEARES AÉREO 1</v>
          </cell>
          <cell r="E1633" t="str">
            <v>78</v>
          </cell>
          <cell r="F1633" t="str">
            <v>48SMA</v>
          </cell>
          <cell r="G1633" t="str">
            <v>B</v>
          </cell>
          <cell r="H1633">
            <v>5</v>
          </cell>
        </row>
        <row r="1634">
          <cell r="A1634" t="str">
            <v>1;78;B1;B;96M 15-25</v>
          </cell>
          <cell r="B1634">
            <v>730069</v>
          </cell>
          <cell r="C1634" t="str">
            <v>B1</v>
          </cell>
          <cell r="D1634" t="str">
            <v>BALEARES AÉREO 1</v>
          </cell>
          <cell r="E1634" t="str">
            <v>78</v>
          </cell>
          <cell r="F1634" t="str">
            <v>96M 15-25</v>
          </cell>
          <cell r="G1634" t="str">
            <v>B</v>
          </cell>
          <cell r="H1634">
            <v>5</v>
          </cell>
        </row>
        <row r="1635">
          <cell r="A1635" t="str">
            <v>1;78;B1;B;96MED</v>
          </cell>
          <cell r="B1635">
            <v>730069</v>
          </cell>
          <cell r="C1635" t="str">
            <v>B1</v>
          </cell>
          <cell r="D1635" t="str">
            <v>BALEARES AÉREO 1</v>
          </cell>
          <cell r="E1635" t="str">
            <v>78</v>
          </cell>
          <cell r="F1635" t="str">
            <v>96MED</v>
          </cell>
          <cell r="G1635" t="str">
            <v>B</v>
          </cell>
          <cell r="H1635">
            <v>5</v>
          </cell>
        </row>
        <row r="1636">
          <cell r="A1636" t="str">
            <v>1;78;B1;B;96S 15-25</v>
          </cell>
          <cell r="B1636">
            <v>730069</v>
          </cell>
          <cell r="C1636" t="str">
            <v>B1</v>
          </cell>
          <cell r="D1636" t="str">
            <v>BALEARES AÉREO 1</v>
          </cell>
          <cell r="E1636" t="str">
            <v>78</v>
          </cell>
          <cell r="F1636" t="str">
            <v>96S 15-25</v>
          </cell>
          <cell r="G1636" t="str">
            <v>B</v>
          </cell>
          <cell r="H1636">
            <v>5</v>
          </cell>
        </row>
        <row r="1637">
          <cell r="A1637" t="str">
            <v>1;78;B1;B;96SMA</v>
          </cell>
          <cell r="B1637">
            <v>730069</v>
          </cell>
          <cell r="C1637" t="str">
            <v>B1</v>
          </cell>
          <cell r="D1637" t="str">
            <v>BALEARES AÉREO 1</v>
          </cell>
          <cell r="E1637" t="str">
            <v>78</v>
          </cell>
          <cell r="F1637" t="str">
            <v>96SMA</v>
          </cell>
          <cell r="G1637" t="str">
            <v>B</v>
          </cell>
          <cell r="H1637">
            <v>5</v>
          </cell>
        </row>
        <row r="1638">
          <cell r="A1638" t="str">
            <v>1;79;B1;B;48L 15-25</v>
          </cell>
          <cell r="B1638">
            <v>730069</v>
          </cell>
          <cell r="C1638" t="str">
            <v>B1</v>
          </cell>
          <cell r="D1638" t="str">
            <v>BALEARES AÉREO 1</v>
          </cell>
          <cell r="E1638" t="str">
            <v>79</v>
          </cell>
          <cell r="F1638" t="str">
            <v>48L 15-25</v>
          </cell>
          <cell r="G1638" t="str">
            <v>B</v>
          </cell>
          <cell r="H1638">
            <v>0</v>
          </cell>
        </row>
        <row r="1639">
          <cell r="A1639" t="str">
            <v>1;79;B1;B;48LAR</v>
          </cell>
          <cell r="B1639">
            <v>730069</v>
          </cell>
          <cell r="C1639" t="str">
            <v>B1</v>
          </cell>
          <cell r="D1639" t="str">
            <v>BALEARES AÉREO 1</v>
          </cell>
          <cell r="E1639" t="str">
            <v>79</v>
          </cell>
          <cell r="F1639" t="str">
            <v>48LAR</v>
          </cell>
          <cell r="G1639" t="str">
            <v>B</v>
          </cell>
          <cell r="H1639">
            <v>0</v>
          </cell>
        </row>
        <row r="1640">
          <cell r="A1640" t="str">
            <v>1;79;B1;B;48M 15-25</v>
          </cell>
          <cell r="B1640">
            <v>730069</v>
          </cell>
          <cell r="C1640" t="str">
            <v>B1</v>
          </cell>
          <cell r="D1640" t="str">
            <v>BALEARES AÉREO 1</v>
          </cell>
          <cell r="E1640" t="str">
            <v>79</v>
          </cell>
          <cell r="F1640" t="str">
            <v>48M 15-25</v>
          </cell>
          <cell r="G1640" t="str">
            <v>B</v>
          </cell>
          <cell r="H1640">
            <v>0</v>
          </cell>
        </row>
        <row r="1641">
          <cell r="A1641" t="str">
            <v>1;79;B1;B;48MED</v>
          </cell>
          <cell r="B1641">
            <v>730069</v>
          </cell>
          <cell r="C1641" t="str">
            <v>B1</v>
          </cell>
          <cell r="D1641" t="str">
            <v>BALEARES AÉREO 1</v>
          </cell>
          <cell r="E1641" t="str">
            <v>79</v>
          </cell>
          <cell r="F1641" t="str">
            <v>48MED</v>
          </cell>
          <cell r="G1641" t="str">
            <v>B</v>
          </cell>
          <cell r="H1641">
            <v>0</v>
          </cell>
        </row>
        <row r="1642">
          <cell r="A1642" t="str">
            <v>1;79;B1;B;48S 15-25</v>
          </cell>
          <cell r="B1642">
            <v>730069</v>
          </cell>
          <cell r="C1642" t="str">
            <v>B1</v>
          </cell>
          <cell r="D1642" t="str">
            <v>BALEARES AÉREO 1</v>
          </cell>
          <cell r="E1642" t="str">
            <v>79</v>
          </cell>
          <cell r="F1642" t="str">
            <v>48S 15-25</v>
          </cell>
          <cell r="G1642" t="str">
            <v>B</v>
          </cell>
          <cell r="H1642">
            <v>0</v>
          </cell>
        </row>
        <row r="1643">
          <cell r="A1643" t="str">
            <v>1;79;B1;B;48SMA</v>
          </cell>
          <cell r="B1643">
            <v>730069</v>
          </cell>
          <cell r="C1643" t="str">
            <v>B1</v>
          </cell>
          <cell r="D1643" t="str">
            <v>BALEARES AÉREO 1</v>
          </cell>
          <cell r="E1643" t="str">
            <v>79</v>
          </cell>
          <cell r="F1643" t="str">
            <v>48SMA</v>
          </cell>
          <cell r="G1643" t="str">
            <v>B</v>
          </cell>
          <cell r="H1643">
            <v>0</v>
          </cell>
        </row>
        <row r="1644">
          <cell r="A1644" t="str">
            <v>1;79;B1;B;96M 15-25</v>
          </cell>
          <cell r="B1644">
            <v>730069</v>
          </cell>
          <cell r="C1644" t="str">
            <v>B1</v>
          </cell>
          <cell r="D1644" t="str">
            <v>BALEARES AÉREO 1</v>
          </cell>
          <cell r="E1644" t="str">
            <v>79</v>
          </cell>
          <cell r="F1644" t="str">
            <v>96M 15-25</v>
          </cell>
          <cell r="G1644" t="str">
            <v>B</v>
          </cell>
          <cell r="H1644">
            <v>0</v>
          </cell>
        </row>
        <row r="1645">
          <cell r="A1645" t="str">
            <v>1;79;B1;B;96MED</v>
          </cell>
          <cell r="B1645">
            <v>730069</v>
          </cell>
          <cell r="C1645" t="str">
            <v>B1</v>
          </cell>
          <cell r="D1645" t="str">
            <v>BALEARES AÉREO 1</v>
          </cell>
          <cell r="E1645" t="str">
            <v>79</v>
          </cell>
          <cell r="F1645" t="str">
            <v>96MED</v>
          </cell>
          <cell r="G1645" t="str">
            <v>B</v>
          </cell>
          <cell r="H1645">
            <v>0</v>
          </cell>
        </row>
        <row r="1646">
          <cell r="A1646" t="str">
            <v>1;79;B1;B;96S 15-25</v>
          </cell>
          <cell r="B1646">
            <v>730069</v>
          </cell>
          <cell r="C1646" t="str">
            <v>B1</v>
          </cell>
          <cell r="D1646" t="str">
            <v>BALEARES AÉREO 1</v>
          </cell>
          <cell r="E1646" t="str">
            <v>79</v>
          </cell>
          <cell r="F1646" t="str">
            <v>96S 15-25</v>
          </cell>
          <cell r="G1646" t="str">
            <v>B</v>
          </cell>
          <cell r="H1646">
            <v>0</v>
          </cell>
        </row>
        <row r="1647">
          <cell r="A1647" t="str">
            <v>1;79;B1;B;96SMA</v>
          </cell>
          <cell r="B1647">
            <v>730069</v>
          </cell>
          <cell r="C1647" t="str">
            <v>B1</v>
          </cell>
          <cell r="D1647" t="str">
            <v>BALEARES AÉREO 1</v>
          </cell>
          <cell r="E1647" t="str">
            <v>79</v>
          </cell>
          <cell r="F1647" t="str">
            <v>96SMA</v>
          </cell>
          <cell r="G1647" t="str">
            <v>B</v>
          </cell>
          <cell r="H1647">
            <v>0</v>
          </cell>
        </row>
        <row r="1648">
          <cell r="A1648" t="str">
            <v>4;01;B2;B;BAG</v>
          </cell>
          <cell r="B1648">
            <v>730069</v>
          </cell>
          <cell r="C1648" t="str">
            <v>B2</v>
          </cell>
          <cell r="D1648" t="str">
            <v>BALEARES AÉREO 2</v>
          </cell>
          <cell r="E1648" t="str">
            <v>01</v>
          </cell>
          <cell r="F1648" t="str">
            <v>BAG</v>
          </cell>
          <cell r="G1648" t="str">
            <v>B</v>
          </cell>
          <cell r="H1648">
            <v>8</v>
          </cell>
        </row>
        <row r="1649">
          <cell r="A1649" t="str">
            <v>1;01;B2;B;BAG</v>
          </cell>
          <cell r="B1649">
            <v>730069</v>
          </cell>
          <cell r="C1649" t="str">
            <v>B2</v>
          </cell>
          <cell r="D1649" t="str">
            <v>BALEARES AÉREO 2</v>
          </cell>
          <cell r="E1649" t="str">
            <v>01</v>
          </cell>
          <cell r="F1649" t="str">
            <v>BAG</v>
          </cell>
          <cell r="G1649" t="str">
            <v>B</v>
          </cell>
          <cell r="H1649">
            <v>22.96</v>
          </cell>
        </row>
        <row r="1650">
          <cell r="A1650" t="str">
            <v>1;01;B2;B;DOCS</v>
          </cell>
          <cell r="B1650">
            <v>730069</v>
          </cell>
          <cell r="C1650" t="str">
            <v>B2</v>
          </cell>
          <cell r="D1650" t="str">
            <v>BALEARES AÉREO 2</v>
          </cell>
          <cell r="E1650" t="str">
            <v>01</v>
          </cell>
          <cell r="F1650" t="str">
            <v>DOCS</v>
          </cell>
          <cell r="G1650" t="str">
            <v>B</v>
          </cell>
          <cell r="H1650">
            <v>15.65</v>
          </cell>
        </row>
        <row r="1651">
          <cell r="A1651" t="str">
            <v>4;01;B2;B;DOCS</v>
          </cell>
          <cell r="B1651">
            <v>730069</v>
          </cell>
          <cell r="C1651" t="str">
            <v>B2</v>
          </cell>
          <cell r="D1651" t="str">
            <v>BALEARES AÉREO 2</v>
          </cell>
          <cell r="E1651" t="str">
            <v>01</v>
          </cell>
          <cell r="F1651" t="str">
            <v>DOCS</v>
          </cell>
          <cell r="G1651" t="str">
            <v>B</v>
          </cell>
          <cell r="H1651">
            <v>8</v>
          </cell>
        </row>
        <row r="1652">
          <cell r="A1652" t="str">
            <v>1;01;B2;B;PAQ00a02</v>
          </cell>
          <cell r="B1652">
            <v>730069</v>
          </cell>
          <cell r="C1652" t="str">
            <v>B2</v>
          </cell>
          <cell r="D1652" t="str">
            <v>BALEARES AÉREO 2</v>
          </cell>
          <cell r="E1652" t="str">
            <v>01</v>
          </cell>
          <cell r="F1652" t="str">
            <v>PAQ00a02</v>
          </cell>
          <cell r="G1652" t="str">
            <v>B</v>
          </cell>
          <cell r="H1652">
            <v>28.53</v>
          </cell>
        </row>
        <row r="1653">
          <cell r="A1653" t="str">
            <v>4;01;B2;B;PAQ00a02</v>
          </cell>
          <cell r="B1653">
            <v>730069</v>
          </cell>
          <cell r="C1653" t="str">
            <v>B2</v>
          </cell>
          <cell r="D1653" t="str">
            <v>BALEARES AÉREO 2</v>
          </cell>
          <cell r="E1653" t="str">
            <v>01</v>
          </cell>
          <cell r="F1653" t="str">
            <v>PAQ00a02</v>
          </cell>
          <cell r="G1653" t="str">
            <v>B</v>
          </cell>
          <cell r="H1653">
            <v>8</v>
          </cell>
        </row>
        <row r="1654">
          <cell r="A1654" t="str">
            <v>1;01;B2;B;PAQ02a04</v>
          </cell>
          <cell r="B1654">
            <v>730069</v>
          </cell>
          <cell r="C1654" t="str">
            <v>B2</v>
          </cell>
          <cell r="D1654" t="str">
            <v>BALEARES AÉREO 2</v>
          </cell>
          <cell r="E1654" t="str">
            <v>01</v>
          </cell>
          <cell r="F1654" t="str">
            <v>PAQ02a04</v>
          </cell>
          <cell r="G1654" t="str">
            <v>B</v>
          </cell>
          <cell r="H1654">
            <v>49.8</v>
          </cell>
        </row>
        <row r="1655">
          <cell r="A1655" t="str">
            <v>4;01;B2;B;PAQ02a04</v>
          </cell>
          <cell r="B1655">
            <v>730069</v>
          </cell>
          <cell r="C1655" t="str">
            <v>B2</v>
          </cell>
          <cell r="D1655" t="str">
            <v>BALEARES AÉREO 2</v>
          </cell>
          <cell r="E1655" t="str">
            <v>01</v>
          </cell>
          <cell r="F1655" t="str">
            <v>PAQ02a04</v>
          </cell>
          <cell r="G1655" t="str">
            <v>B</v>
          </cell>
          <cell r="H1655">
            <v>8</v>
          </cell>
        </row>
        <row r="1656">
          <cell r="A1656" t="str">
            <v>4;01;B2;B;PAQ04a06</v>
          </cell>
          <cell r="B1656">
            <v>730069</v>
          </cell>
          <cell r="C1656" t="str">
            <v>B2</v>
          </cell>
          <cell r="D1656" t="str">
            <v>BALEARES AÉREO 2</v>
          </cell>
          <cell r="E1656" t="str">
            <v>01</v>
          </cell>
          <cell r="F1656" t="str">
            <v>PAQ04a06</v>
          </cell>
          <cell r="G1656" t="str">
            <v>B</v>
          </cell>
          <cell r="H1656">
            <v>8</v>
          </cell>
        </row>
        <row r="1657">
          <cell r="A1657" t="str">
            <v>1;01;B2;B;PAQ04a06</v>
          </cell>
          <cell r="B1657">
            <v>730069</v>
          </cell>
          <cell r="C1657" t="str">
            <v>B2</v>
          </cell>
          <cell r="D1657" t="str">
            <v>BALEARES AÉREO 2</v>
          </cell>
          <cell r="E1657" t="str">
            <v>01</v>
          </cell>
          <cell r="F1657" t="str">
            <v>PAQ04a06</v>
          </cell>
          <cell r="G1657" t="str">
            <v>B</v>
          </cell>
          <cell r="H1657">
            <v>73.489999999999995</v>
          </cell>
        </row>
        <row r="1658">
          <cell r="A1658" t="str">
            <v>1;01;B2;B;PAQ06a08</v>
          </cell>
          <cell r="B1658">
            <v>730069</v>
          </cell>
          <cell r="C1658" t="str">
            <v>B2</v>
          </cell>
          <cell r="D1658" t="str">
            <v>BALEARES AÉREO 2</v>
          </cell>
          <cell r="E1658" t="str">
            <v>01</v>
          </cell>
          <cell r="F1658" t="str">
            <v>PAQ06a08</v>
          </cell>
          <cell r="G1658" t="str">
            <v>B</v>
          </cell>
          <cell r="H1658">
            <v>97.2</v>
          </cell>
        </row>
        <row r="1659">
          <cell r="A1659" t="str">
            <v>4;01;B2;B;PAQ06a08</v>
          </cell>
          <cell r="B1659">
            <v>730069</v>
          </cell>
          <cell r="C1659" t="str">
            <v>B2</v>
          </cell>
          <cell r="D1659" t="str">
            <v>BALEARES AÉREO 2</v>
          </cell>
          <cell r="E1659" t="str">
            <v>01</v>
          </cell>
          <cell r="F1659" t="str">
            <v>PAQ06a08</v>
          </cell>
          <cell r="G1659" t="str">
            <v>B</v>
          </cell>
          <cell r="H1659">
            <v>8</v>
          </cell>
        </row>
        <row r="1660">
          <cell r="A1660" t="str">
            <v>4;01;B2;B;PAQ08a10</v>
          </cell>
          <cell r="B1660">
            <v>730069</v>
          </cell>
          <cell r="C1660" t="str">
            <v>B2</v>
          </cell>
          <cell r="D1660" t="str">
            <v>BALEARES AÉREO 2</v>
          </cell>
          <cell r="E1660" t="str">
            <v>01</v>
          </cell>
          <cell r="F1660" t="str">
            <v>PAQ08a10</v>
          </cell>
          <cell r="G1660" t="str">
            <v>B</v>
          </cell>
          <cell r="H1660">
            <v>8</v>
          </cell>
        </row>
        <row r="1661">
          <cell r="A1661" t="str">
            <v>1;01;B2;B;PAQ08a10</v>
          </cell>
          <cell r="B1661">
            <v>730069</v>
          </cell>
          <cell r="C1661" t="str">
            <v>B2</v>
          </cell>
          <cell r="D1661" t="str">
            <v>BALEARES AÉREO 2</v>
          </cell>
          <cell r="E1661" t="str">
            <v>01</v>
          </cell>
          <cell r="F1661" t="str">
            <v>PAQ08a10</v>
          </cell>
          <cell r="G1661" t="str">
            <v>B</v>
          </cell>
          <cell r="H1661">
            <v>120.9</v>
          </cell>
        </row>
        <row r="1662">
          <cell r="A1662" t="str">
            <v>4;01;B2;B;PAQ10a12</v>
          </cell>
          <cell r="B1662">
            <v>730069</v>
          </cell>
          <cell r="C1662" t="str">
            <v>B2</v>
          </cell>
          <cell r="D1662" t="str">
            <v>BALEARES AÉREO 2</v>
          </cell>
          <cell r="E1662" t="str">
            <v>01</v>
          </cell>
          <cell r="F1662" t="str">
            <v>PAQ10a12</v>
          </cell>
          <cell r="G1662" t="str">
            <v>B</v>
          </cell>
          <cell r="H1662">
            <v>8</v>
          </cell>
        </row>
        <row r="1663">
          <cell r="A1663" t="str">
            <v>1;01;B2;B;PAQ10a12</v>
          </cell>
          <cell r="B1663">
            <v>730069</v>
          </cell>
          <cell r="C1663" t="str">
            <v>B2</v>
          </cell>
          <cell r="D1663" t="str">
            <v>BALEARES AÉREO 2</v>
          </cell>
          <cell r="E1663" t="str">
            <v>01</v>
          </cell>
          <cell r="F1663" t="str">
            <v>PAQ10a12</v>
          </cell>
          <cell r="G1663" t="str">
            <v>B</v>
          </cell>
          <cell r="H1663">
            <v>144.61000000000001</v>
          </cell>
        </row>
        <row r="1664">
          <cell r="A1664" t="str">
            <v>1;01;B2;B;PAQ12a14</v>
          </cell>
          <cell r="B1664">
            <v>730069</v>
          </cell>
          <cell r="C1664" t="str">
            <v>B2</v>
          </cell>
          <cell r="D1664" t="str">
            <v>BALEARES AÉREO 2</v>
          </cell>
          <cell r="E1664" t="str">
            <v>01</v>
          </cell>
          <cell r="F1664" t="str">
            <v>PAQ12a14</v>
          </cell>
          <cell r="G1664" t="str">
            <v>B</v>
          </cell>
          <cell r="H1664">
            <v>168.3</v>
          </cell>
        </row>
        <row r="1665">
          <cell r="A1665" t="str">
            <v>4;01;B2;B;PAQ12a14</v>
          </cell>
          <cell r="B1665">
            <v>730069</v>
          </cell>
          <cell r="C1665" t="str">
            <v>B2</v>
          </cell>
          <cell r="D1665" t="str">
            <v>BALEARES AÉREO 2</v>
          </cell>
          <cell r="E1665" t="str">
            <v>01</v>
          </cell>
          <cell r="F1665" t="str">
            <v>PAQ12a14</v>
          </cell>
          <cell r="G1665" t="str">
            <v>B</v>
          </cell>
          <cell r="H1665">
            <v>8</v>
          </cell>
        </row>
        <row r="1666">
          <cell r="A1666" t="str">
            <v>1;01;B2;B;PAQ14a16</v>
          </cell>
          <cell r="B1666">
            <v>730069</v>
          </cell>
          <cell r="C1666" t="str">
            <v>B2</v>
          </cell>
          <cell r="D1666" t="str">
            <v>BALEARES AÉREO 2</v>
          </cell>
          <cell r="E1666" t="str">
            <v>01</v>
          </cell>
          <cell r="F1666" t="str">
            <v>PAQ14a16</v>
          </cell>
          <cell r="G1666" t="str">
            <v>B</v>
          </cell>
          <cell r="H1666">
            <v>192</v>
          </cell>
        </row>
        <row r="1667">
          <cell r="A1667" t="str">
            <v>4;01;B2;B;PAQ14a16</v>
          </cell>
          <cell r="B1667">
            <v>730069</v>
          </cell>
          <cell r="C1667" t="str">
            <v>B2</v>
          </cell>
          <cell r="D1667" t="str">
            <v>BALEARES AÉREO 2</v>
          </cell>
          <cell r="E1667" t="str">
            <v>01</v>
          </cell>
          <cell r="F1667" t="str">
            <v>PAQ14a16</v>
          </cell>
          <cell r="G1667" t="str">
            <v>B</v>
          </cell>
          <cell r="H1667">
            <v>8</v>
          </cell>
        </row>
        <row r="1668">
          <cell r="A1668" t="str">
            <v>4;01;B2;B;PAQ16a18</v>
          </cell>
          <cell r="B1668">
            <v>730069</v>
          </cell>
          <cell r="C1668" t="str">
            <v>B2</v>
          </cell>
          <cell r="D1668" t="str">
            <v>BALEARES AÉREO 2</v>
          </cell>
          <cell r="E1668" t="str">
            <v>01</v>
          </cell>
          <cell r="F1668" t="str">
            <v>PAQ16a18</v>
          </cell>
          <cell r="G1668" t="str">
            <v>B</v>
          </cell>
          <cell r="H1668">
            <v>8</v>
          </cell>
        </row>
        <row r="1669">
          <cell r="A1669" t="str">
            <v>1;01;B2;B;PAQ16a18</v>
          </cell>
          <cell r="B1669">
            <v>730069</v>
          </cell>
          <cell r="C1669" t="str">
            <v>B2</v>
          </cell>
          <cell r="D1669" t="str">
            <v>BALEARES AÉREO 2</v>
          </cell>
          <cell r="E1669" t="str">
            <v>01</v>
          </cell>
          <cell r="F1669" t="str">
            <v>PAQ16a18</v>
          </cell>
          <cell r="G1669" t="str">
            <v>B</v>
          </cell>
          <cell r="H1669">
            <v>215.71</v>
          </cell>
        </row>
        <row r="1670">
          <cell r="A1670" t="str">
            <v>4;01;B2;B;PAQ18a20</v>
          </cell>
          <cell r="B1670">
            <v>730069</v>
          </cell>
          <cell r="C1670" t="str">
            <v>B2</v>
          </cell>
          <cell r="D1670" t="str">
            <v>BALEARES AÉREO 2</v>
          </cell>
          <cell r="E1670" t="str">
            <v>01</v>
          </cell>
          <cell r="F1670" t="str">
            <v>PAQ18a20</v>
          </cell>
          <cell r="G1670" t="str">
            <v>B</v>
          </cell>
          <cell r="H1670">
            <v>8</v>
          </cell>
        </row>
        <row r="1671">
          <cell r="A1671" t="str">
            <v>1;01;B2;B;PAQ18a20</v>
          </cell>
          <cell r="B1671">
            <v>730069</v>
          </cell>
          <cell r="C1671" t="str">
            <v>B2</v>
          </cell>
          <cell r="D1671" t="str">
            <v>BALEARES AÉREO 2</v>
          </cell>
          <cell r="E1671" t="str">
            <v>01</v>
          </cell>
          <cell r="F1671" t="str">
            <v>PAQ18a20</v>
          </cell>
          <cell r="G1671" t="str">
            <v>B</v>
          </cell>
          <cell r="H1671">
            <v>239.41</v>
          </cell>
        </row>
        <row r="1672">
          <cell r="A1672" t="str">
            <v>1;01;B2;B;PAQ20a22</v>
          </cell>
          <cell r="B1672">
            <v>730069</v>
          </cell>
          <cell r="C1672" t="str">
            <v>B2</v>
          </cell>
          <cell r="D1672" t="str">
            <v>BALEARES AÉREO 2</v>
          </cell>
          <cell r="E1672" t="str">
            <v>01</v>
          </cell>
          <cell r="F1672" t="str">
            <v>PAQ20a22</v>
          </cell>
          <cell r="G1672" t="str">
            <v>B</v>
          </cell>
          <cell r="H1672">
            <v>263.11</v>
          </cell>
        </row>
        <row r="1673">
          <cell r="A1673" t="str">
            <v>4;01;B2;B;PAQ20a22</v>
          </cell>
          <cell r="B1673">
            <v>730069</v>
          </cell>
          <cell r="C1673" t="str">
            <v>B2</v>
          </cell>
          <cell r="D1673" t="str">
            <v>BALEARES AÉREO 2</v>
          </cell>
          <cell r="E1673" t="str">
            <v>01</v>
          </cell>
          <cell r="F1673" t="str">
            <v>PAQ20a22</v>
          </cell>
          <cell r="G1673" t="str">
            <v>B</v>
          </cell>
          <cell r="H1673">
            <v>8</v>
          </cell>
        </row>
        <row r="1674">
          <cell r="A1674" t="str">
            <v>1;01;B2;B;PAQ22a24</v>
          </cell>
          <cell r="B1674">
            <v>730069</v>
          </cell>
          <cell r="C1674" t="str">
            <v>B2</v>
          </cell>
          <cell r="D1674" t="str">
            <v>BALEARES AÉREO 2</v>
          </cell>
          <cell r="E1674" t="str">
            <v>01</v>
          </cell>
          <cell r="F1674" t="str">
            <v>PAQ22a24</v>
          </cell>
          <cell r="G1674" t="str">
            <v>B</v>
          </cell>
          <cell r="H1674">
            <v>286.81</v>
          </cell>
        </row>
        <row r="1675">
          <cell r="A1675" t="str">
            <v>4;01;B2;B;PAQ22a24</v>
          </cell>
          <cell r="B1675">
            <v>730069</v>
          </cell>
          <cell r="C1675" t="str">
            <v>B2</v>
          </cell>
          <cell r="D1675" t="str">
            <v>BALEARES AÉREO 2</v>
          </cell>
          <cell r="E1675" t="str">
            <v>01</v>
          </cell>
          <cell r="F1675" t="str">
            <v>PAQ22a24</v>
          </cell>
          <cell r="G1675" t="str">
            <v>B</v>
          </cell>
          <cell r="H1675">
            <v>8</v>
          </cell>
        </row>
        <row r="1676">
          <cell r="A1676" t="str">
            <v>4;01;B2;B;PAQ24a26</v>
          </cell>
          <cell r="B1676">
            <v>730069</v>
          </cell>
          <cell r="C1676" t="str">
            <v>B2</v>
          </cell>
          <cell r="D1676" t="str">
            <v>BALEARES AÉREO 2</v>
          </cell>
          <cell r="E1676" t="str">
            <v>01</v>
          </cell>
          <cell r="F1676" t="str">
            <v>PAQ24a26</v>
          </cell>
          <cell r="G1676" t="str">
            <v>B</v>
          </cell>
          <cell r="H1676">
            <v>8</v>
          </cell>
        </row>
        <row r="1677">
          <cell r="A1677" t="str">
            <v>1;01;B2;B;PAQ24a26</v>
          </cell>
          <cell r="B1677">
            <v>730069</v>
          </cell>
          <cell r="C1677" t="str">
            <v>B2</v>
          </cell>
          <cell r="D1677" t="str">
            <v>BALEARES AÉREO 2</v>
          </cell>
          <cell r="E1677" t="str">
            <v>01</v>
          </cell>
          <cell r="F1677" t="str">
            <v>PAQ24a26</v>
          </cell>
          <cell r="G1677" t="str">
            <v>B</v>
          </cell>
          <cell r="H1677">
            <v>310.52</v>
          </cell>
        </row>
        <row r="1678">
          <cell r="A1678" t="str">
            <v>4;01;B2;B;PAQ26a28</v>
          </cell>
          <cell r="B1678">
            <v>730069</v>
          </cell>
          <cell r="C1678" t="str">
            <v>B2</v>
          </cell>
          <cell r="D1678" t="str">
            <v>BALEARES AÉREO 2</v>
          </cell>
          <cell r="E1678" t="str">
            <v>01</v>
          </cell>
          <cell r="F1678" t="str">
            <v>PAQ26a28</v>
          </cell>
          <cell r="G1678" t="str">
            <v>B</v>
          </cell>
          <cell r="H1678">
            <v>8</v>
          </cell>
        </row>
        <row r="1679">
          <cell r="A1679" t="str">
            <v>1;01;B2;B;PAQ26a28</v>
          </cell>
          <cell r="B1679">
            <v>730069</v>
          </cell>
          <cell r="C1679" t="str">
            <v>B2</v>
          </cell>
          <cell r="D1679" t="str">
            <v>BALEARES AÉREO 2</v>
          </cell>
          <cell r="E1679" t="str">
            <v>01</v>
          </cell>
          <cell r="F1679" t="str">
            <v>PAQ26a28</v>
          </cell>
          <cell r="G1679" t="str">
            <v>B</v>
          </cell>
          <cell r="H1679">
            <v>334.22</v>
          </cell>
        </row>
        <row r="1680">
          <cell r="A1680" t="str">
            <v>1;01;B2;B;PAQ28a30</v>
          </cell>
          <cell r="B1680">
            <v>730069</v>
          </cell>
          <cell r="C1680" t="str">
            <v>B2</v>
          </cell>
          <cell r="D1680" t="str">
            <v>BALEARES AÉREO 2</v>
          </cell>
          <cell r="E1680" t="str">
            <v>01</v>
          </cell>
          <cell r="F1680" t="str">
            <v>PAQ28a30</v>
          </cell>
          <cell r="G1680" t="str">
            <v>B</v>
          </cell>
          <cell r="H1680">
            <v>357.91</v>
          </cell>
        </row>
        <row r="1681">
          <cell r="A1681" t="str">
            <v>4;01;B2;B;PAQ28a30</v>
          </cell>
          <cell r="B1681">
            <v>730069</v>
          </cell>
          <cell r="C1681" t="str">
            <v>B2</v>
          </cell>
          <cell r="D1681" t="str">
            <v>BALEARES AÉREO 2</v>
          </cell>
          <cell r="E1681" t="str">
            <v>01</v>
          </cell>
          <cell r="F1681" t="str">
            <v>PAQ28a30</v>
          </cell>
          <cell r="G1681" t="str">
            <v>B</v>
          </cell>
          <cell r="H1681">
            <v>8</v>
          </cell>
        </row>
        <row r="1682">
          <cell r="A1682" t="str">
            <v>4;01;B2;B;PAQ30a32</v>
          </cell>
          <cell r="B1682">
            <v>730069</v>
          </cell>
          <cell r="C1682" t="str">
            <v>B2</v>
          </cell>
          <cell r="D1682" t="str">
            <v>BALEARES AÉREO 2</v>
          </cell>
          <cell r="E1682" t="str">
            <v>01</v>
          </cell>
          <cell r="F1682" t="str">
            <v>PAQ30a32</v>
          </cell>
          <cell r="G1682" t="str">
            <v>B</v>
          </cell>
          <cell r="H1682">
            <v>8</v>
          </cell>
        </row>
        <row r="1683">
          <cell r="A1683" t="str">
            <v>1;01;B2;B;PAQ30a32</v>
          </cell>
          <cell r="B1683">
            <v>730069</v>
          </cell>
          <cell r="C1683" t="str">
            <v>B2</v>
          </cell>
          <cell r="D1683" t="str">
            <v>BALEARES AÉREO 2</v>
          </cell>
          <cell r="E1683" t="str">
            <v>01</v>
          </cell>
          <cell r="F1683" t="str">
            <v>PAQ30a32</v>
          </cell>
          <cell r="G1683" t="str">
            <v>B</v>
          </cell>
          <cell r="H1683">
            <v>381.63</v>
          </cell>
        </row>
        <row r="1684">
          <cell r="A1684" t="str">
            <v>1;01;B2;B;PAQ32a34</v>
          </cell>
          <cell r="B1684">
            <v>730069</v>
          </cell>
          <cell r="C1684" t="str">
            <v>B2</v>
          </cell>
          <cell r="D1684" t="str">
            <v>BALEARES AÉREO 2</v>
          </cell>
          <cell r="E1684" t="str">
            <v>01</v>
          </cell>
          <cell r="F1684" t="str">
            <v>PAQ32a34</v>
          </cell>
          <cell r="G1684" t="str">
            <v>B</v>
          </cell>
          <cell r="H1684">
            <v>405.33</v>
          </cell>
        </row>
        <row r="1685">
          <cell r="A1685" t="str">
            <v>4;01;B2;B;PAQ32a34</v>
          </cell>
          <cell r="B1685">
            <v>730069</v>
          </cell>
          <cell r="C1685" t="str">
            <v>B2</v>
          </cell>
          <cell r="D1685" t="str">
            <v>BALEARES AÉREO 2</v>
          </cell>
          <cell r="E1685" t="str">
            <v>01</v>
          </cell>
          <cell r="F1685" t="str">
            <v>PAQ32a34</v>
          </cell>
          <cell r="G1685" t="str">
            <v>B</v>
          </cell>
          <cell r="H1685">
            <v>8</v>
          </cell>
        </row>
        <row r="1686">
          <cell r="A1686" t="str">
            <v>4;01;B2;B;PAQ34a36</v>
          </cell>
          <cell r="B1686">
            <v>730069</v>
          </cell>
          <cell r="C1686" t="str">
            <v>B2</v>
          </cell>
          <cell r="D1686" t="str">
            <v>BALEARES AÉREO 2</v>
          </cell>
          <cell r="E1686" t="str">
            <v>01</v>
          </cell>
          <cell r="F1686" t="str">
            <v>PAQ34a36</v>
          </cell>
          <cell r="G1686" t="str">
            <v>B</v>
          </cell>
          <cell r="H1686">
            <v>8</v>
          </cell>
        </row>
        <row r="1687">
          <cell r="A1687" t="str">
            <v>1;01;B2;B;PAQ34a36</v>
          </cell>
          <cell r="B1687">
            <v>730069</v>
          </cell>
          <cell r="C1687" t="str">
            <v>B2</v>
          </cell>
          <cell r="D1687" t="str">
            <v>BALEARES AÉREO 2</v>
          </cell>
          <cell r="E1687" t="str">
            <v>01</v>
          </cell>
          <cell r="F1687" t="str">
            <v>PAQ34a36</v>
          </cell>
          <cell r="G1687" t="str">
            <v>B</v>
          </cell>
          <cell r="H1687">
            <v>429.04</v>
          </cell>
        </row>
        <row r="1688">
          <cell r="A1688" t="str">
            <v>4;01;B2;B;PAQ36a38</v>
          </cell>
          <cell r="B1688">
            <v>730069</v>
          </cell>
          <cell r="C1688" t="str">
            <v>B2</v>
          </cell>
          <cell r="D1688" t="str">
            <v>BALEARES AÉREO 2</v>
          </cell>
          <cell r="E1688" t="str">
            <v>01</v>
          </cell>
          <cell r="F1688" t="str">
            <v>PAQ36a38</v>
          </cell>
          <cell r="G1688" t="str">
            <v>B</v>
          </cell>
          <cell r="H1688">
            <v>8</v>
          </cell>
        </row>
        <row r="1689">
          <cell r="A1689" t="str">
            <v>1;01;B2;B;PAQ36a38</v>
          </cell>
          <cell r="B1689">
            <v>730069</v>
          </cell>
          <cell r="C1689" t="str">
            <v>B2</v>
          </cell>
          <cell r="D1689" t="str">
            <v>BALEARES AÉREO 2</v>
          </cell>
          <cell r="E1689" t="str">
            <v>01</v>
          </cell>
          <cell r="F1689" t="str">
            <v>PAQ36a38</v>
          </cell>
          <cell r="G1689" t="str">
            <v>B</v>
          </cell>
          <cell r="H1689">
            <v>452.73</v>
          </cell>
        </row>
        <row r="1690">
          <cell r="A1690" t="str">
            <v>4;01;B2;F;</v>
          </cell>
          <cell r="B1690">
            <v>730069</v>
          </cell>
          <cell r="C1690" t="str">
            <v>B2</v>
          </cell>
          <cell r="D1690" t="str">
            <v>BALEARES AÉREO 2</v>
          </cell>
          <cell r="E1690" t="str">
            <v>01</v>
          </cell>
          <cell r="F1690" t="str">
            <v/>
          </cell>
          <cell r="G1690" t="str">
            <v>F</v>
          </cell>
          <cell r="H1690">
            <v>0</v>
          </cell>
        </row>
        <row r="1691">
          <cell r="A1691" t="str">
            <v>1;01;B2;B;PAQ38a40</v>
          </cell>
          <cell r="B1691">
            <v>730069</v>
          </cell>
          <cell r="C1691" t="str">
            <v>B2</v>
          </cell>
          <cell r="D1691" t="str">
            <v>BALEARES AÉREO 2</v>
          </cell>
          <cell r="E1691" t="str">
            <v>01</v>
          </cell>
          <cell r="F1691" t="str">
            <v>PAQ38a40</v>
          </cell>
          <cell r="G1691" t="str">
            <v>B</v>
          </cell>
          <cell r="H1691">
            <v>476.44</v>
          </cell>
        </row>
        <row r="1692">
          <cell r="A1692" t="str">
            <v>1;01;B2;F;</v>
          </cell>
          <cell r="B1692">
            <v>730069</v>
          </cell>
          <cell r="C1692" t="str">
            <v>B2</v>
          </cell>
          <cell r="D1692" t="str">
            <v>BALEARES AÉREO 2</v>
          </cell>
          <cell r="E1692" t="str">
            <v>01</v>
          </cell>
          <cell r="F1692" t="str">
            <v/>
          </cell>
          <cell r="G1692" t="str">
            <v>F</v>
          </cell>
          <cell r="H1692">
            <v>23.7</v>
          </cell>
        </row>
        <row r="1693">
          <cell r="A1693" t="str">
            <v>4;01;B2;B;PAQ38a40</v>
          </cell>
          <cell r="B1693">
            <v>730069</v>
          </cell>
          <cell r="C1693" t="str">
            <v>B2</v>
          </cell>
          <cell r="D1693" t="str">
            <v>BALEARES AÉREO 2</v>
          </cell>
          <cell r="E1693" t="str">
            <v>01</v>
          </cell>
          <cell r="F1693" t="str">
            <v>PAQ38a40</v>
          </cell>
          <cell r="G1693" t="str">
            <v>B</v>
          </cell>
          <cell r="H1693">
            <v>8</v>
          </cell>
        </row>
        <row r="1694">
          <cell r="A1694" t="str">
            <v>4;01;B2;E;</v>
          </cell>
          <cell r="B1694">
            <v>730069</v>
          </cell>
          <cell r="C1694" t="str">
            <v>B2</v>
          </cell>
          <cell r="D1694" t="str">
            <v>BALEARES AÉREO 2</v>
          </cell>
          <cell r="E1694" t="str">
            <v>01</v>
          </cell>
          <cell r="F1694" t="str">
            <v/>
          </cell>
          <cell r="G1694" t="str">
            <v>E</v>
          </cell>
          <cell r="H1694">
            <v>0</v>
          </cell>
        </row>
        <row r="1695">
          <cell r="A1695" t="str">
            <v>1;01;B2;P;</v>
          </cell>
          <cell r="B1695">
            <v>730069</v>
          </cell>
          <cell r="C1695" t="str">
            <v>B2</v>
          </cell>
          <cell r="D1695" t="str">
            <v>BALEARES AÉREO 2</v>
          </cell>
          <cell r="E1695" t="str">
            <v>01</v>
          </cell>
          <cell r="F1695" t="str">
            <v/>
          </cell>
          <cell r="G1695" t="str">
            <v>P</v>
          </cell>
          <cell r="H1695">
            <v>0</v>
          </cell>
        </row>
        <row r="1696">
          <cell r="A1696" t="str">
            <v>1;01;B2;E;</v>
          </cell>
          <cell r="B1696">
            <v>730069</v>
          </cell>
          <cell r="C1696" t="str">
            <v>B2</v>
          </cell>
          <cell r="D1696" t="str">
            <v>BALEARES AÉREO 2</v>
          </cell>
          <cell r="E1696" t="str">
            <v>01</v>
          </cell>
          <cell r="F1696" t="str">
            <v/>
          </cell>
          <cell r="G1696" t="str">
            <v>E</v>
          </cell>
          <cell r="H1696">
            <v>0</v>
          </cell>
        </row>
        <row r="1697">
          <cell r="A1697" t="str">
            <v>4;01;B2;P;</v>
          </cell>
          <cell r="B1697">
            <v>730069</v>
          </cell>
          <cell r="C1697" t="str">
            <v>B2</v>
          </cell>
          <cell r="D1697" t="str">
            <v>BALEARES AÉREO 2</v>
          </cell>
          <cell r="E1697" t="str">
            <v>01</v>
          </cell>
          <cell r="F1697" t="str">
            <v/>
          </cell>
          <cell r="G1697" t="str">
            <v>P</v>
          </cell>
          <cell r="H1697">
            <v>0</v>
          </cell>
        </row>
        <row r="1698">
          <cell r="A1698" t="str">
            <v>1;02;B2;B;BAG</v>
          </cell>
          <cell r="B1698">
            <v>730069</v>
          </cell>
          <cell r="C1698" t="str">
            <v>B2</v>
          </cell>
          <cell r="D1698" t="str">
            <v>BALEARES AÉREO 2</v>
          </cell>
          <cell r="E1698" t="str">
            <v>02</v>
          </cell>
          <cell r="F1698" t="str">
            <v>BAG</v>
          </cell>
          <cell r="G1698" t="str">
            <v>B</v>
          </cell>
          <cell r="H1698">
            <v>18.010000000000002</v>
          </cell>
        </row>
        <row r="1699">
          <cell r="A1699" t="str">
            <v>4;02;B2;B;BAG</v>
          </cell>
          <cell r="B1699">
            <v>730069</v>
          </cell>
          <cell r="C1699" t="str">
            <v>B2</v>
          </cell>
          <cell r="D1699" t="str">
            <v>BALEARES AÉREO 2</v>
          </cell>
          <cell r="E1699" t="str">
            <v>02</v>
          </cell>
          <cell r="F1699" t="str">
            <v>BAG</v>
          </cell>
          <cell r="G1699" t="str">
            <v>B</v>
          </cell>
          <cell r="H1699">
            <v>8</v>
          </cell>
        </row>
        <row r="1700">
          <cell r="A1700" t="str">
            <v>1;02;B2;B;DOCS</v>
          </cell>
          <cell r="B1700">
            <v>730069</v>
          </cell>
          <cell r="C1700" t="str">
            <v>B2</v>
          </cell>
          <cell r="D1700" t="str">
            <v>BALEARES AÉREO 2</v>
          </cell>
          <cell r="E1700" t="str">
            <v>02</v>
          </cell>
          <cell r="F1700" t="str">
            <v>DOCS</v>
          </cell>
          <cell r="G1700" t="str">
            <v>B</v>
          </cell>
          <cell r="H1700">
            <v>11.97</v>
          </cell>
        </row>
        <row r="1701">
          <cell r="A1701" t="str">
            <v>4;02;B2;B;DOCS</v>
          </cell>
          <cell r="B1701">
            <v>730069</v>
          </cell>
          <cell r="C1701" t="str">
            <v>B2</v>
          </cell>
          <cell r="D1701" t="str">
            <v>BALEARES AÉREO 2</v>
          </cell>
          <cell r="E1701" t="str">
            <v>02</v>
          </cell>
          <cell r="F1701" t="str">
            <v>DOCS</v>
          </cell>
          <cell r="G1701" t="str">
            <v>B</v>
          </cell>
          <cell r="H1701">
            <v>8</v>
          </cell>
        </row>
        <row r="1702">
          <cell r="A1702" t="str">
            <v>1;02;B2;B;PAQ00a02</v>
          </cell>
          <cell r="B1702">
            <v>730069</v>
          </cell>
          <cell r="C1702" t="str">
            <v>B2</v>
          </cell>
          <cell r="D1702" t="str">
            <v>BALEARES AÉREO 2</v>
          </cell>
          <cell r="E1702" t="str">
            <v>02</v>
          </cell>
          <cell r="F1702" t="str">
            <v>PAQ00a02</v>
          </cell>
          <cell r="G1702" t="str">
            <v>B</v>
          </cell>
          <cell r="H1702">
            <v>21.47</v>
          </cell>
        </row>
        <row r="1703">
          <cell r="A1703" t="str">
            <v>4;02;B2;B;PAQ00a02</v>
          </cell>
          <cell r="B1703">
            <v>730069</v>
          </cell>
          <cell r="C1703" t="str">
            <v>B2</v>
          </cell>
          <cell r="D1703" t="str">
            <v>BALEARES AÉREO 2</v>
          </cell>
          <cell r="E1703" t="str">
            <v>02</v>
          </cell>
          <cell r="F1703" t="str">
            <v>PAQ00a02</v>
          </cell>
          <cell r="G1703" t="str">
            <v>B</v>
          </cell>
          <cell r="H1703">
            <v>8</v>
          </cell>
        </row>
        <row r="1704">
          <cell r="A1704" t="str">
            <v>1;02;B2;B;PAQ02a04</v>
          </cell>
          <cell r="B1704">
            <v>730069</v>
          </cell>
          <cell r="C1704" t="str">
            <v>B2</v>
          </cell>
          <cell r="D1704" t="str">
            <v>BALEARES AÉREO 2</v>
          </cell>
          <cell r="E1704" t="str">
            <v>02</v>
          </cell>
          <cell r="F1704" t="str">
            <v>PAQ02a04</v>
          </cell>
          <cell r="G1704" t="str">
            <v>B</v>
          </cell>
          <cell r="H1704">
            <v>34.630000000000003</v>
          </cell>
        </row>
        <row r="1705">
          <cell r="A1705" t="str">
            <v>4;02;B2;B;PAQ02a04</v>
          </cell>
          <cell r="B1705">
            <v>730069</v>
          </cell>
          <cell r="C1705" t="str">
            <v>B2</v>
          </cell>
          <cell r="D1705" t="str">
            <v>BALEARES AÉREO 2</v>
          </cell>
          <cell r="E1705" t="str">
            <v>02</v>
          </cell>
          <cell r="F1705" t="str">
            <v>PAQ02a04</v>
          </cell>
          <cell r="G1705" t="str">
            <v>B</v>
          </cell>
          <cell r="H1705">
            <v>8</v>
          </cell>
        </row>
        <row r="1706">
          <cell r="A1706" t="str">
            <v>1;02;B2;B;PAQ04a06</v>
          </cell>
          <cell r="B1706">
            <v>730069</v>
          </cell>
          <cell r="C1706" t="str">
            <v>B2</v>
          </cell>
          <cell r="D1706" t="str">
            <v>BALEARES AÉREO 2</v>
          </cell>
          <cell r="E1706" t="str">
            <v>02</v>
          </cell>
          <cell r="F1706" t="str">
            <v>PAQ04a06</v>
          </cell>
          <cell r="G1706" t="str">
            <v>B</v>
          </cell>
          <cell r="H1706">
            <v>48.14</v>
          </cell>
        </row>
        <row r="1707">
          <cell r="A1707" t="str">
            <v>4;02;B2;B;PAQ04a06</v>
          </cell>
          <cell r="B1707">
            <v>730069</v>
          </cell>
          <cell r="C1707" t="str">
            <v>B2</v>
          </cell>
          <cell r="D1707" t="str">
            <v>BALEARES AÉREO 2</v>
          </cell>
          <cell r="E1707" t="str">
            <v>02</v>
          </cell>
          <cell r="F1707" t="str">
            <v>PAQ04a06</v>
          </cell>
          <cell r="G1707" t="str">
            <v>B</v>
          </cell>
          <cell r="H1707">
            <v>8</v>
          </cell>
        </row>
        <row r="1708">
          <cell r="A1708" t="str">
            <v>1;02;B2;B;PAQ06a08</v>
          </cell>
          <cell r="B1708">
            <v>730069</v>
          </cell>
          <cell r="C1708" t="str">
            <v>B2</v>
          </cell>
          <cell r="D1708" t="str">
            <v>BALEARES AÉREO 2</v>
          </cell>
          <cell r="E1708" t="str">
            <v>02</v>
          </cell>
          <cell r="F1708" t="str">
            <v>PAQ06a08</v>
          </cell>
          <cell r="G1708" t="str">
            <v>B</v>
          </cell>
          <cell r="H1708">
            <v>62.03</v>
          </cell>
        </row>
        <row r="1709">
          <cell r="A1709" t="str">
            <v>4;02;B2;B;PAQ06a08</v>
          </cell>
          <cell r="B1709">
            <v>730069</v>
          </cell>
          <cell r="C1709" t="str">
            <v>B2</v>
          </cell>
          <cell r="D1709" t="str">
            <v>BALEARES AÉREO 2</v>
          </cell>
          <cell r="E1709" t="str">
            <v>02</v>
          </cell>
          <cell r="F1709" t="str">
            <v>PAQ06a08</v>
          </cell>
          <cell r="G1709" t="str">
            <v>B</v>
          </cell>
          <cell r="H1709">
            <v>8</v>
          </cell>
        </row>
        <row r="1710">
          <cell r="A1710" t="str">
            <v>4;02;B2;B;PAQ08a10</v>
          </cell>
          <cell r="B1710">
            <v>730069</v>
          </cell>
          <cell r="C1710" t="str">
            <v>B2</v>
          </cell>
          <cell r="D1710" t="str">
            <v>BALEARES AÉREO 2</v>
          </cell>
          <cell r="E1710" t="str">
            <v>02</v>
          </cell>
          <cell r="F1710" t="str">
            <v>PAQ08a10</v>
          </cell>
          <cell r="G1710" t="str">
            <v>B</v>
          </cell>
          <cell r="H1710">
            <v>8</v>
          </cell>
        </row>
        <row r="1711">
          <cell r="A1711" t="str">
            <v>1;02;B2;B;PAQ08a10</v>
          </cell>
          <cell r="B1711">
            <v>730069</v>
          </cell>
          <cell r="C1711" t="str">
            <v>B2</v>
          </cell>
          <cell r="D1711" t="str">
            <v>BALEARES AÉREO 2</v>
          </cell>
          <cell r="E1711" t="str">
            <v>02</v>
          </cell>
          <cell r="F1711" t="str">
            <v>PAQ08a10</v>
          </cell>
          <cell r="G1711" t="str">
            <v>B</v>
          </cell>
          <cell r="H1711">
            <v>75.900000000000006</v>
          </cell>
        </row>
        <row r="1712">
          <cell r="A1712" t="str">
            <v>1;02;B2;B;PAQ10a12</v>
          </cell>
          <cell r="B1712">
            <v>730069</v>
          </cell>
          <cell r="C1712" t="str">
            <v>B2</v>
          </cell>
          <cell r="D1712" t="str">
            <v>BALEARES AÉREO 2</v>
          </cell>
          <cell r="E1712" t="str">
            <v>02</v>
          </cell>
          <cell r="F1712" t="str">
            <v>PAQ10a12</v>
          </cell>
          <cell r="G1712" t="str">
            <v>B</v>
          </cell>
          <cell r="H1712">
            <v>89.79</v>
          </cell>
        </row>
        <row r="1713">
          <cell r="A1713" t="str">
            <v>4;02;B2;B;PAQ10a12</v>
          </cell>
          <cell r="B1713">
            <v>730069</v>
          </cell>
          <cell r="C1713" t="str">
            <v>B2</v>
          </cell>
          <cell r="D1713" t="str">
            <v>BALEARES AÉREO 2</v>
          </cell>
          <cell r="E1713" t="str">
            <v>02</v>
          </cell>
          <cell r="F1713" t="str">
            <v>PAQ10a12</v>
          </cell>
          <cell r="G1713" t="str">
            <v>B</v>
          </cell>
          <cell r="H1713">
            <v>8</v>
          </cell>
        </row>
        <row r="1714">
          <cell r="A1714" t="str">
            <v>4;02;B2;B;PAQ12a14</v>
          </cell>
          <cell r="B1714">
            <v>730069</v>
          </cell>
          <cell r="C1714" t="str">
            <v>B2</v>
          </cell>
          <cell r="D1714" t="str">
            <v>BALEARES AÉREO 2</v>
          </cell>
          <cell r="E1714" t="str">
            <v>02</v>
          </cell>
          <cell r="F1714" t="str">
            <v>PAQ12a14</v>
          </cell>
          <cell r="G1714" t="str">
            <v>B</v>
          </cell>
          <cell r="H1714">
            <v>8</v>
          </cell>
        </row>
        <row r="1715">
          <cell r="A1715" t="str">
            <v>1;02;B2;B;PAQ12a14</v>
          </cell>
          <cell r="B1715">
            <v>730069</v>
          </cell>
          <cell r="C1715" t="str">
            <v>B2</v>
          </cell>
          <cell r="D1715" t="str">
            <v>BALEARES AÉREO 2</v>
          </cell>
          <cell r="E1715" t="str">
            <v>02</v>
          </cell>
          <cell r="F1715" t="str">
            <v>PAQ12a14</v>
          </cell>
          <cell r="G1715" t="str">
            <v>B</v>
          </cell>
          <cell r="H1715">
            <v>103.67</v>
          </cell>
        </row>
        <row r="1716">
          <cell r="A1716" t="str">
            <v>4;02;B2;B;PAQ14a16</v>
          </cell>
          <cell r="B1716">
            <v>730069</v>
          </cell>
          <cell r="C1716" t="str">
            <v>B2</v>
          </cell>
          <cell r="D1716" t="str">
            <v>BALEARES AÉREO 2</v>
          </cell>
          <cell r="E1716" t="str">
            <v>02</v>
          </cell>
          <cell r="F1716" t="str">
            <v>PAQ14a16</v>
          </cell>
          <cell r="G1716" t="str">
            <v>B</v>
          </cell>
          <cell r="H1716">
            <v>8</v>
          </cell>
        </row>
        <row r="1717">
          <cell r="A1717" t="str">
            <v>1;02;B2;B;PAQ14a16</v>
          </cell>
          <cell r="B1717">
            <v>730069</v>
          </cell>
          <cell r="C1717" t="str">
            <v>B2</v>
          </cell>
          <cell r="D1717" t="str">
            <v>BALEARES AÉREO 2</v>
          </cell>
          <cell r="E1717" t="str">
            <v>02</v>
          </cell>
          <cell r="F1717" t="str">
            <v>PAQ14a16</v>
          </cell>
          <cell r="G1717" t="str">
            <v>B</v>
          </cell>
          <cell r="H1717">
            <v>117.54</v>
          </cell>
        </row>
        <row r="1718">
          <cell r="A1718" t="str">
            <v>4;02;B2;B;PAQ16a18</v>
          </cell>
          <cell r="B1718">
            <v>730069</v>
          </cell>
          <cell r="C1718" t="str">
            <v>B2</v>
          </cell>
          <cell r="D1718" t="str">
            <v>BALEARES AÉREO 2</v>
          </cell>
          <cell r="E1718" t="str">
            <v>02</v>
          </cell>
          <cell r="F1718" t="str">
            <v>PAQ16a18</v>
          </cell>
          <cell r="G1718" t="str">
            <v>B</v>
          </cell>
          <cell r="H1718">
            <v>8</v>
          </cell>
        </row>
        <row r="1719">
          <cell r="A1719" t="str">
            <v>1;02;B2;B;PAQ16a18</v>
          </cell>
          <cell r="B1719">
            <v>730069</v>
          </cell>
          <cell r="C1719" t="str">
            <v>B2</v>
          </cell>
          <cell r="D1719" t="str">
            <v>BALEARES AÉREO 2</v>
          </cell>
          <cell r="E1719" t="str">
            <v>02</v>
          </cell>
          <cell r="F1719" t="str">
            <v>PAQ16a18</v>
          </cell>
          <cell r="G1719" t="str">
            <v>B</v>
          </cell>
          <cell r="H1719">
            <v>131.43</v>
          </cell>
        </row>
        <row r="1720">
          <cell r="A1720" t="str">
            <v>4;02;B2;B;PAQ18a20</v>
          </cell>
          <cell r="B1720">
            <v>730069</v>
          </cell>
          <cell r="C1720" t="str">
            <v>B2</v>
          </cell>
          <cell r="D1720" t="str">
            <v>BALEARES AÉREO 2</v>
          </cell>
          <cell r="E1720" t="str">
            <v>02</v>
          </cell>
          <cell r="F1720" t="str">
            <v>PAQ18a20</v>
          </cell>
          <cell r="G1720" t="str">
            <v>B</v>
          </cell>
          <cell r="H1720">
            <v>8</v>
          </cell>
        </row>
        <row r="1721">
          <cell r="A1721" t="str">
            <v>1;02;B2;B;PAQ18a20</v>
          </cell>
          <cell r="B1721">
            <v>730069</v>
          </cell>
          <cell r="C1721" t="str">
            <v>B2</v>
          </cell>
          <cell r="D1721" t="str">
            <v>BALEARES AÉREO 2</v>
          </cell>
          <cell r="E1721" t="str">
            <v>02</v>
          </cell>
          <cell r="F1721" t="str">
            <v>PAQ18a20</v>
          </cell>
          <cell r="G1721" t="str">
            <v>B</v>
          </cell>
          <cell r="H1721">
            <v>145.31</v>
          </cell>
        </row>
        <row r="1722">
          <cell r="A1722" t="str">
            <v>4;02;B2;B;PAQ20a22</v>
          </cell>
          <cell r="B1722">
            <v>730069</v>
          </cell>
          <cell r="C1722" t="str">
            <v>B2</v>
          </cell>
          <cell r="D1722" t="str">
            <v>BALEARES AÉREO 2</v>
          </cell>
          <cell r="E1722" t="str">
            <v>02</v>
          </cell>
          <cell r="F1722" t="str">
            <v>PAQ20a22</v>
          </cell>
          <cell r="G1722" t="str">
            <v>B</v>
          </cell>
          <cell r="H1722">
            <v>8</v>
          </cell>
        </row>
        <row r="1723">
          <cell r="A1723" t="str">
            <v>1;02;B2;B;PAQ20a22</v>
          </cell>
          <cell r="B1723">
            <v>730069</v>
          </cell>
          <cell r="C1723" t="str">
            <v>B2</v>
          </cell>
          <cell r="D1723" t="str">
            <v>BALEARES AÉREO 2</v>
          </cell>
          <cell r="E1723" t="str">
            <v>02</v>
          </cell>
          <cell r="F1723" t="str">
            <v>PAQ20a22</v>
          </cell>
          <cell r="G1723" t="str">
            <v>B</v>
          </cell>
          <cell r="H1723">
            <v>159.19</v>
          </cell>
        </row>
        <row r="1724">
          <cell r="A1724" t="str">
            <v>4;02;B2;B;PAQ22a24</v>
          </cell>
          <cell r="B1724">
            <v>730069</v>
          </cell>
          <cell r="C1724" t="str">
            <v>B2</v>
          </cell>
          <cell r="D1724" t="str">
            <v>BALEARES AÉREO 2</v>
          </cell>
          <cell r="E1724" t="str">
            <v>02</v>
          </cell>
          <cell r="F1724" t="str">
            <v>PAQ22a24</v>
          </cell>
          <cell r="G1724" t="str">
            <v>B</v>
          </cell>
          <cell r="H1724">
            <v>8</v>
          </cell>
        </row>
        <row r="1725">
          <cell r="A1725" t="str">
            <v>1;02;B2;B;PAQ22a24</v>
          </cell>
          <cell r="B1725">
            <v>730069</v>
          </cell>
          <cell r="C1725" t="str">
            <v>B2</v>
          </cell>
          <cell r="D1725" t="str">
            <v>BALEARES AÉREO 2</v>
          </cell>
          <cell r="E1725" t="str">
            <v>02</v>
          </cell>
          <cell r="F1725" t="str">
            <v>PAQ22a24</v>
          </cell>
          <cell r="G1725" t="str">
            <v>B</v>
          </cell>
          <cell r="H1725">
            <v>173.07</v>
          </cell>
        </row>
        <row r="1726">
          <cell r="A1726" t="str">
            <v>1;02;B2;B;PAQ24a26</v>
          </cell>
          <cell r="B1726">
            <v>730069</v>
          </cell>
          <cell r="C1726" t="str">
            <v>B2</v>
          </cell>
          <cell r="D1726" t="str">
            <v>BALEARES AÉREO 2</v>
          </cell>
          <cell r="E1726" t="str">
            <v>02</v>
          </cell>
          <cell r="F1726" t="str">
            <v>PAQ24a26</v>
          </cell>
          <cell r="G1726" t="str">
            <v>B</v>
          </cell>
          <cell r="H1726">
            <v>186.95</v>
          </cell>
        </row>
        <row r="1727">
          <cell r="A1727" t="str">
            <v>4;02;B2;B;PAQ24a26</v>
          </cell>
          <cell r="B1727">
            <v>730069</v>
          </cell>
          <cell r="C1727" t="str">
            <v>B2</v>
          </cell>
          <cell r="D1727" t="str">
            <v>BALEARES AÉREO 2</v>
          </cell>
          <cell r="E1727" t="str">
            <v>02</v>
          </cell>
          <cell r="F1727" t="str">
            <v>PAQ24a26</v>
          </cell>
          <cell r="G1727" t="str">
            <v>B</v>
          </cell>
          <cell r="H1727">
            <v>8</v>
          </cell>
        </row>
        <row r="1728">
          <cell r="A1728" t="str">
            <v>4;02;B2;B;PAQ26a28</v>
          </cell>
          <cell r="B1728">
            <v>730069</v>
          </cell>
          <cell r="C1728" t="str">
            <v>B2</v>
          </cell>
          <cell r="D1728" t="str">
            <v>BALEARES AÉREO 2</v>
          </cell>
          <cell r="E1728" t="str">
            <v>02</v>
          </cell>
          <cell r="F1728" t="str">
            <v>PAQ26a28</v>
          </cell>
          <cell r="G1728" t="str">
            <v>B</v>
          </cell>
          <cell r="H1728">
            <v>8</v>
          </cell>
        </row>
        <row r="1729">
          <cell r="A1729" t="str">
            <v>1;02;B2;B;PAQ26a28</v>
          </cell>
          <cell r="B1729">
            <v>730069</v>
          </cell>
          <cell r="C1729" t="str">
            <v>B2</v>
          </cell>
          <cell r="D1729" t="str">
            <v>BALEARES AÉREO 2</v>
          </cell>
          <cell r="E1729" t="str">
            <v>02</v>
          </cell>
          <cell r="F1729" t="str">
            <v>PAQ26a28</v>
          </cell>
          <cell r="G1729" t="str">
            <v>B</v>
          </cell>
          <cell r="H1729">
            <v>200.83</v>
          </cell>
        </row>
        <row r="1730">
          <cell r="A1730" t="str">
            <v>1;02;B2;B;PAQ28a30</v>
          </cell>
          <cell r="B1730">
            <v>730069</v>
          </cell>
          <cell r="C1730" t="str">
            <v>B2</v>
          </cell>
          <cell r="D1730" t="str">
            <v>BALEARES AÉREO 2</v>
          </cell>
          <cell r="E1730" t="str">
            <v>02</v>
          </cell>
          <cell r="F1730" t="str">
            <v>PAQ28a30</v>
          </cell>
          <cell r="G1730" t="str">
            <v>B</v>
          </cell>
          <cell r="H1730">
            <v>214.71</v>
          </cell>
        </row>
        <row r="1731">
          <cell r="A1731" t="str">
            <v>4;02;B2;B;PAQ28a30</v>
          </cell>
          <cell r="B1731">
            <v>730069</v>
          </cell>
          <cell r="C1731" t="str">
            <v>B2</v>
          </cell>
          <cell r="D1731" t="str">
            <v>BALEARES AÉREO 2</v>
          </cell>
          <cell r="E1731" t="str">
            <v>02</v>
          </cell>
          <cell r="F1731" t="str">
            <v>PAQ28a30</v>
          </cell>
          <cell r="G1731" t="str">
            <v>B</v>
          </cell>
          <cell r="H1731">
            <v>8</v>
          </cell>
        </row>
        <row r="1732">
          <cell r="A1732" t="str">
            <v>4;02;B2;B;PAQ30a32</v>
          </cell>
          <cell r="B1732">
            <v>730069</v>
          </cell>
          <cell r="C1732" t="str">
            <v>B2</v>
          </cell>
          <cell r="D1732" t="str">
            <v>BALEARES AÉREO 2</v>
          </cell>
          <cell r="E1732" t="str">
            <v>02</v>
          </cell>
          <cell r="F1732" t="str">
            <v>PAQ30a32</v>
          </cell>
          <cell r="G1732" t="str">
            <v>B</v>
          </cell>
          <cell r="H1732">
            <v>8</v>
          </cell>
        </row>
        <row r="1733">
          <cell r="A1733" t="str">
            <v>1;02;B2;B;PAQ30a32</v>
          </cell>
          <cell r="B1733">
            <v>730069</v>
          </cell>
          <cell r="C1733" t="str">
            <v>B2</v>
          </cell>
          <cell r="D1733" t="str">
            <v>BALEARES AÉREO 2</v>
          </cell>
          <cell r="E1733" t="str">
            <v>02</v>
          </cell>
          <cell r="F1733" t="str">
            <v>PAQ30a32</v>
          </cell>
          <cell r="G1733" t="str">
            <v>B</v>
          </cell>
          <cell r="H1733">
            <v>228.59</v>
          </cell>
        </row>
        <row r="1734">
          <cell r="A1734" t="str">
            <v>4;02;B2;B;PAQ32a34</v>
          </cell>
          <cell r="B1734">
            <v>730069</v>
          </cell>
          <cell r="C1734" t="str">
            <v>B2</v>
          </cell>
          <cell r="D1734" t="str">
            <v>BALEARES AÉREO 2</v>
          </cell>
          <cell r="E1734" t="str">
            <v>02</v>
          </cell>
          <cell r="F1734" t="str">
            <v>PAQ32a34</v>
          </cell>
          <cell r="G1734" t="str">
            <v>B</v>
          </cell>
          <cell r="H1734">
            <v>8</v>
          </cell>
        </row>
        <row r="1735">
          <cell r="A1735" t="str">
            <v>1;02;B2;B;PAQ32a34</v>
          </cell>
          <cell r="B1735">
            <v>730069</v>
          </cell>
          <cell r="C1735" t="str">
            <v>B2</v>
          </cell>
          <cell r="D1735" t="str">
            <v>BALEARES AÉREO 2</v>
          </cell>
          <cell r="E1735" t="str">
            <v>02</v>
          </cell>
          <cell r="F1735" t="str">
            <v>PAQ32a34</v>
          </cell>
          <cell r="G1735" t="str">
            <v>B</v>
          </cell>
          <cell r="H1735">
            <v>242.47</v>
          </cell>
        </row>
        <row r="1736">
          <cell r="A1736" t="str">
            <v>1;02;B2;B;PAQ34a36</v>
          </cell>
          <cell r="B1736">
            <v>730069</v>
          </cell>
          <cell r="C1736" t="str">
            <v>B2</v>
          </cell>
          <cell r="D1736" t="str">
            <v>BALEARES AÉREO 2</v>
          </cell>
          <cell r="E1736" t="str">
            <v>02</v>
          </cell>
          <cell r="F1736" t="str">
            <v>PAQ34a36</v>
          </cell>
          <cell r="G1736" t="str">
            <v>B</v>
          </cell>
          <cell r="H1736">
            <v>256.36</v>
          </cell>
        </row>
        <row r="1737">
          <cell r="A1737" t="str">
            <v>4;02;B2;B;PAQ34a36</v>
          </cell>
          <cell r="B1737">
            <v>730069</v>
          </cell>
          <cell r="C1737" t="str">
            <v>B2</v>
          </cell>
          <cell r="D1737" t="str">
            <v>BALEARES AÉREO 2</v>
          </cell>
          <cell r="E1737" t="str">
            <v>02</v>
          </cell>
          <cell r="F1737" t="str">
            <v>PAQ34a36</v>
          </cell>
          <cell r="G1737" t="str">
            <v>B</v>
          </cell>
          <cell r="H1737">
            <v>8</v>
          </cell>
        </row>
        <row r="1738">
          <cell r="A1738" t="str">
            <v>1;02;B2;B;PAQ36a38</v>
          </cell>
          <cell r="B1738">
            <v>730069</v>
          </cell>
          <cell r="C1738" t="str">
            <v>B2</v>
          </cell>
          <cell r="D1738" t="str">
            <v>BALEARES AÉREO 2</v>
          </cell>
          <cell r="E1738" t="str">
            <v>02</v>
          </cell>
          <cell r="F1738" t="str">
            <v>PAQ36a38</v>
          </cell>
          <cell r="G1738" t="str">
            <v>B</v>
          </cell>
          <cell r="H1738">
            <v>270.23</v>
          </cell>
        </row>
        <row r="1739">
          <cell r="A1739" t="str">
            <v>4;02;B2;B;PAQ36a38</v>
          </cell>
          <cell r="B1739">
            <v>730069</v>
          </cell>
          <cell r="C1739" t="str">
            <v>B2</v>
          </cell>
          <cell r="D1739" t="str">
            <v>BALEARES AÉREO 2</v>
          </cell>
          <cell r="E1739" t="str">
            <v>02</v>
          </cell>
          <cell r="F1739" t="str">
            <v>PAQ36a38</v>
          </cell>
          <cell r="G1739" t="str">
            <v>B</v>
          </cell>
          <cell r="H1739">
            <v>8</v>
          </cell>
        </row>
        <row r="1740">
          <cell r="A1740" t="str">
            <v>4;02;B2;F;</v>
          </cell>
          <cell r="B1740">
            <v>730069</v>
          </cell>
          <cell r="C1740" t="str">
            <v>B2</v>
          </cell>
          <cell r="D1740" t="str">
            <v>BALEARES AÉREO 2</v>
          </cell>
          <cell r="E1740" t="str">
            <v>02</v>
          </cell>
          <cell r="F1740" t="str">
            <v/>
          </cell>
          <cell r="G1740" t="str">
            <v>F</v>
          </cell>
          <cell r="H1740">
            <v>0</v>
          </cell>
        </row>
        <row r="1741">
          <cell r="A1741" t="str">
            <v>1;02;B2;F;</v>
          </cell>
          <cell r="B1741">
            <v>730069</v>
          </cell>
          <cell r="C1741" t="str">
            <v>B2</v>
          </cell>
          <cell r="D1741" t="str">
            <v>BALEARES AÉREO 2</v>
          </cell>
          <cell r="E1741" t="str">
            <v>02</v>
          </cell>
          <cell r="F1741" t="str">
            <v/>
          </cell>
          <cell r="G1741" t="str">
            <v>F</v>
          </cell>
          <cell r="H1741">
            <v>13.88</v>
          </cell>
        </row>
        <row r="1742">
          <cell r="A1742" t="str">
            <v>4;02;B2;B;PAQ38a40</v>
          </cell>
          <cell r="B1742">
            <v>730069</v>
          </cell>
          <cell r="C1742" t="str">
            <v>B2</v>
          </cell>
          <cell r="D1742" t="str">
            <v>BALEARES AÉREO 2</v>
          </cell>
          <cell r="E1742" t="str">
            <v>02</v>
          </cell>
          <cell r="F1742" t="str">
            <v>PAQ38a40</v>
          </cell>
          <cell r="G1742" t="str">
            <v>B</v>
          </cell>
          <cell r="H1742">
            <v>8</v>
          </cell>
        </row>
        <row r="1743">
          <cell r="A1743" t="str">
            <v>1;02;B2;B;PAQ38a40</v>
          </cell>
          <cell r="B1743">
            <v>730069</v>
          </cell>
          <cell r="C1743" t="str">
            <v>B2</v>
          </cell>
          <cell r="D1743" t="str">
            <v>BALEARES AÉREO 2</v>
          </cell>
          <cell r="E1743" t="str">
            <v>02</v>
          </cell>
          <cell r="F1743" t="str">
            <v>PAQ38a40</v>
          </cell>
          <cell r="G1743" t="str">
            <v>B</v>
          </cell>
          <cell r="H1743">
            <v>284.12</v>
          </cell>
        </row>
        <row r="1744">
          <cell r="A1744" t="str">
            <v>1;02;B2;E;</v>
          </cell>
          <cell r="B1744">
            <v>730069</v>
          </cell>
          <cell r="C1744" t="str">
            <v>B2</v>
          </cell>
          <cell r="D1744" t="str">
            <v>BALEARES AÉREO 2</v>
          </cell>
          <cell r="E1744" t="str">
            <v>02</v>
          </cell>
          <cell r="F1744" t="str">
            <v/>
          </cell>
          <cell r="G1744" t="str">
            <v>E</v>
          </cell>
          <cell r="H1744">
            <v>0</v>
          </cell>
        </row>
        <row r="1745">
          <cell r="A1745" t="str">
            <v>4;02;B2;E;</v>
          </cell>
          <cell r="B1745">
            <v>730069</v>
          </cell>
          <cell r="C1745" t="str">
            <v>B2</v>
          </cell>
          <cell r="D1745" t="str">
            <v>BALEARES AÉREO 2</v>
          </cell>
          <cell r="E1745" t="str">
            <v>02</v>
          </cell>
          <cell r="F1745" t="str">
            <v/>
          </cell>
          <cell r="G1745" t="str">
            <v>E</v>
          </cell>
          <cell r="H1745">
            <v>0</v>
          </cell>
        </row>
        <row r="1746">
          <cell r="A1746" t="str">
            <v>4;02;B2;P;</v>
          </cell>
          <cell r="B1746">
            <v>730069</v>
          </cell>
          <cell r="C1746" t="str">
            <v>B2</v>
          </cell>
          <cell r="D1746" t="str">
            <v>BALEARES AÉREO 2</v>
          </cell>
          <cell r="E1746" t="str">
            <v>02</v>
          </cell>
          <cell r="F1746" t="str">
            <v/>
          </cell>
          <cell r="G1746" t="str">
            <v>P</v>
          </cell>
          <cell r="H1746">
            <v>0</v>
          </cell>
        </row>
        <row r="1747">
          <cell r="A1747" t="str">
            <v>1;02;B2;P;</v>
          </cell>
          <cell r="B1747">
            <v>730069</v>
          </cell>
          <cell r="C1747" t="str">
            <v>B2</v>
          </cell>
          <cell r="D1747" t="str">
            <v>BALEARES AÉREO 2</v>
          </cell>
          <cell r="E1747" t="str">
            <v>02</v>
          </cell>
          <cell r="F1747" t="str">
            <v/>
          </cell>
          <cell r="G1747" t="str">
            <v>P</v>
          </cell>
          <cell r="H1747">
            <v>0</v>
          </cell>
        </row>
        <row r="1748">
          <cell r="A1748" t="str">
            <v>1;08;B2;B;BAG</v>
          </cell>
          <cell r="B1748">
            <v>730069</v>
          </cell>
          <cell r="C1748" t="str">
            <v>B2</v>
          </cell>
          <cell r="D1748" t="str">
            <v>BALEARES AÉREO 2</v>
          </cell>
          <cell r="E1748" t="str">
            <v>08</v>
          </cell>
          <cell r="F1748" t="str">
            <v>BAG</v>
          </cell>
          <cell r="G1748" t="str">
            <v>B</v>
          </cell>
          <cell r="H1748">
            <v>16.39</v>
          </cell>
        </row>
        <row r="1749">
          <cell r="A1749" t="str">
            <v>4;08;B2;B;BAG</v>
          </cell>
          <cell r="B1749">
            <v>730069</v>
          </cell>
          <cell r="C1749" t="str">
            <v>B2</v>
          </cell>
          <cell r="D1749" t="str">
            <v>BALEARES AÉREO 2</v>
          </cell>
          <cell r="E1749" t="str">
            <v>08</v>
          </cell>
          <cell r="F1749" t="str">
            <v>BAG</v>
          </cell>
          <cell r="G1749" t="str">
            <v>B</v>
          </cell>
          <cell r="H1749">
            <v>8</v>
          </cell>
        </row>
        <row r="1750">
          <cell r="A1750" t="str">
            <v>4;08;B2;B;DOCS</v>
          </cell>
          <cell r="B1750">
            <v>730069</v>
          </cell>
          <cell r="C1750" t="str">
            <v>B2</v>
          </cell>
          <cell r="D1750" t="str">
            <v>BALEARES AÉREO 2</v>
          </cell>
          <cell r="E1750" t="str">
            <v>08</v>
          </cell>
          <cell r="F1750" t="str">
            <v>DOCS</v>
          </cell>
          <cell r="G1750" t="str">
            <v>B</v>
          </cell>
          <cell r="H1750">
            <v>8</v>
          </cell>
        </row>
        <row r="1751">
          <cell r="A1751" t="str">
            <v>1;08;B2;B;DOCS</v>
          </cell>
          <cell r="B1751">
            <v>730069</v>
          </cell>
          <cell r="C1751" t="str">
            <v>B2</v>
          </cell>
          <cell r="D1751" t="str">
            <v>BALEARES AÉREO 2</v>
          </cell>
          <cell r="E1751" t="str">
            <v>08</v>
          </cell>
          <cell r="F1751" t="str">
            <v>DOCS</v>
          </cell>
          <cell r="G1751" t="str">
            <v>B</v>
          </cell>
          <cell r="H1751">
            <v>9.31</v>
          </cell>
        </row>
        <row r="1752">
          <cell r="A1752" t="str">
            <v>4;08;B2;B;PAQ00a02</v>
          </cell>
          <cell r="B1752">
            <v>730069</v>
          </cell>
          <cell r="C1752" t="str">
            <v>B2</v>
          </cell>
          <cell r="D1752" t="str">
            <v>BALEARES AÉREO 2</v>
          </cell>
          <cell r="E1752" t="str">
            <v>08</v>
          </cell>
          <cell r="F1752" t="str">
            <v>PAQ00a02</v>
          </cell>
          <cell r="G1752" t="str">
            <v>B</v>
          </cell>
          <cell r="H1752">
            <v>8</v>
          </cell>
        </row>
        <row r="1753">
          <cell r="A1753" t="str">
            <v>1;08;B2;B;PAQ00a02</v>
          </cell>
          <cell r="B1753">
            <v>730069</v>
          </cell>
          <cell r="C1753" t="str">
            <v>B2</v>
          </cell>
          <cell r="D1753" t="str">
            <v>BALEARES AÉREO 2</v>
          </cell>
          <cell r="E1753" t="str">
            <v>08</v>
          </cell>
          <cell r="F1753" t="str">
            <v>PAQ00a02</v>
          </cell>
          <cell r="G1753" t="str">
            <v>B</v>
          </cell>
          <cell r="H1753">
            <v>18.91</v>
          </cell>
        </row>
        <row r="1754">
          <cell r="A1754" t="str">
            <v>4;08;B2;B;PAQ02a04</v>
          </cell>
          <cell r="B1754">
            <v>730069</v>
          </cell>
          <cell r="C1754" t="str">
            <v>B2</v>
          </cell>
          <cell r="D1754" t="str">
            <v>BALEARES AÉREO 2</v>
          </cell>
          <cell r="E1754" t="str">
            <v>08</v>
          </cell>
          <cell r="F1754" t="str">
            <v>PAQ02a04</v>
          </cell>
          <cell r="G1754" t="str">
            <v>B</v>
          </cell>
          <cell r="H1754">
            <v>8</v>
          </cell>
        </row>
        <row r="1755">
          <cell r="A1755" t="str">
            <v>1;08;B2;B;PAQ02a04</v>
          </cell>
          <cell r="B1755">
            <v>730069</v>
          </cell>
          <cell r="C1755" t="str">
            <v>B2</v>
          </cell>
          <cell r="D1755" t="str">
            <v>BALEARES AÉREO 2</v>
          </cell>
          <cell r="E1755" t="str">
            <v>08</v>
          </cell>
          <cell r="F1755" t="str">
            <v>PAQ02a04</v>
          </cell>
          <cell r="G1755" t="str">
            <v>B</v>
          </cell>
          <cell r="H1755">
            <v>27.72</v>
          </cell>
        </row>
        <row r="1756">
          <cell r="A1756" t="str">
            <v>4;08;B2;B;PAQ04a06</v>
          </cell>
          <cell r="B1756">
            <v>730069</v>
          </cell>
          <cell r="C1756" t="str">
            <v>B2</v>
          </cell>
          <cell r="D1756" t="str">
            <v>BALEARES AÉREO 2</v>
          </cell>
          <cell r="E1756" t="str">
            <v>08</v>
          </cell>
          <cell r="F1756" t="str">
            <v>PAQ04a06</v>
          </cell>
          <cell r="G1756" t="str">
            <v>B</v>
          </cell>
          <cell r="H1756">
            <v>8</v>
          </cell>
        </row>
        <row r="1757">
          <cell r="A1757" t="str">
            <v>1;08;B2;B;PAQ04a06</v>
          </cell>
          <cell r="B1757">
            <v>730069</v>
          </cell>
          <cell r="C1757" t="str">
            <v>B2</v>
          </cell>
          <cell r="D1757" t="str">
            <v>BALEARES AÉREO 2</v>
          </cell>
          <cell r="E1757" t="str">
            <v>08</v>
          </cell>
          <cell r="F1757" t="str">
            <v>PAQ04a06</v>
          </cell>
          <cell r="G1757" t="str">
            <v>B</v>
          </cell>
          <cell r="H1757">
            <v>37.07</v>
          </cell>
        </row>
        <row r="1758">
          <cell r="A1758" t="str">
            <v>1;08;B2;B;PAQ06a08</v>
          </cell>
          <cell r="B1758">
            <v>730069</v>
          </cell>
          <cell r="C1758" t="str">
            <v>B2</v>
          </cell>
          <cell r="D1758" t="str">
            <v>BALEARES AÉREO 2</v>
          </cell>
          <cell r="E1758" t="str">
            <v>08</v>
          </cell>
          <cell r="F1758" t="str">
            <v>PAQ06a08</v>
          </cell>
          <cell r="G1758" t="str">
            <v>B</v>
          </cell>
          <cell r="H1758">
            <v>44.95</v>
          </cell>
        </row>
        <row r="1759">
          <cell r="A1759" t="str">
            <v>4;08;B2;B;PAQ06a08</v>
          </cell>
          <cell r="B1759">
            <v>730069</v>
          </cell>
          <cell r="C1759" t="str">
            <v>B2</v>
          </cell>
          <cell r="D1759" t="str">
            <v>BALEARES AÉREO 2</v>
          </cell>
          <cell r="E1759" t="str">
            <v>08</v>
          </cell>
          <cell r="F1759" t="str">
            <v>PAQ06a08</v>
          </cell>
          <cell r="G1759" t="str">
            <v>B</v>
          </cell>
          <cell r="H1759">
            <v>8</v>
          </cell>
        </row>
        <row r="1760">
          <cell r="A1760" t="str">
            <v>1;08;B2;B;PAQ08a10</v>
          </cell>
          <cell r="B1760">
            <v>730069</v>
          </cell>
          <cell r="C1760" t="str">
            <v>B2</v>
          </cell>
          <cell r="D1760" t="str">
            <v>BALEARES AÉREO 2</v>
          </cell>
          <cell r="E1760" t="str">
            <v>08</v>
          </cell>
          <cell r="F1760" t="str">
            <v>PAQ08a10</v>
          </cell>
          <cell r="G1760" t="str">
            <v>B</v>
          </cell>
          <cell r="H1760">
            <v>52.65</v>
          </cell>
        </row>
        <row r="1761">
          <cell r="A1761" t="str">
            <v>4;08;B2;B;PAQ08a10</v>
          </cell>
          <cell r="B1761">
            <v>730069</v>
          </cell>
          <cell r="C1761" t="str">
            <v>B2</v>
          </cell>
          <cell r="D1761" t="str">
            <v>BALEARES AÉREO 2</v>
          </cell>
          <cell r="E1761" t="str">
            <v>08</v>
          </cell>
          <cell r="F1761" t="str">
            <v>PAQ08a10</v>
          </cell>
          <cell r="G1761" t="str">
            <v>B</v>
          </cell>
          <cell r="H1761">
            <v>8</v>
          </cell>
        </row>
        <row r="1762">
          <cell r="A1762" t="str">
            <v>4;08;B2;B;PAQ10a12</v>
          </cell>
          <cell r="B1762">
            <v>730069</v>
          </cell>
          <cell r="C1762" t="str">
            <v>B2</v>
          </cell>
          <cell r="D1762" t="str">
            <v>BALEARES AÉREO 2</v>
          </cell>
          <cell r="E1762" t="str">
            <v>08</v>
          </cell>
          <cell r="F1762" t="str">
            <v>PAQ10a12</v>
          </cell>
          <cell r="G1762" t="str">
            <v>B</v>
          </cell>
          <cell r="H1762">
            <v>8</v>
          </cell>
        </row>
        <row r="1763">
          <cell r="A1763" t="str">
            <v>1;08;B2;B;PAQ10a12</v>
          </cell>
          <cell r="B1763">
            <v>730069</v>
          </cell>
          <cell r="C1763" t="str">
            <v>B2</v>
          </cell>
          <cell r="D1763" t="str">
            <v>BALEARES AÉREO 2</v>
          </cell>
          <cell r="E1763" t="str">
            <v>08</v>
          </cell>
          <cell r="F1763" t="str">
            <v>PAQ10a12</v>
          </cell>
          <cell r="G1763" t="str">
            <v>B</v>
          </cell>
          <cell r="H1763">
            <v>62.25</v>
          </cell>
        </row>
        <row r="1764">
          <cell r="A1764" t="str">
            <v>4;08;B2;B;PAQ12a14</v>
          </cell>
          <cell r="B1764">
            <v>730069</v>
          </cell>
          <cell r="C1764" t="str">
            <v>B2</v>
          </cell>
          <cell r="D1764" t="str">
            <v>BALEARES AÉREO 2</v>
          </cell>
          <cell r="E1764" t="str">
            <v>08</v>
          </cell>
          <cell r="F1764" t="str">
            <v>PAQ12a14</v>
          </cell>
          <cell r="G1764" t="str">
            <v>B</v>
          </cell>
          <cell r="H1764">
            <v>8</v>
          </cell>
        </row>
        <row r="1765">
          <cell r="A1765" t="str">
            <v>1;08;B2;B;PAQ12a14</v>
          </cell>
          <cell r="B1765">
            <v>730069</v>
          </cell>
          <cell r="C1765" t="str">
            <v>B2</v>
          </cell>
          <cell r="D1765" t="str">
            <v>BALEARES AÉREO 2</v>
          </cell>
          <cell r="E1765" t="str">
            <v>08</v>
          </cell>
          <cell r="F1765" t="str">
            <v>PAQ12a14</v>
          </cell>
          <cell r="G1765" t="str">
            <v>B</v>
          </cell>
          <cell r="H1765">
            <v>71.849999999999994</v>
          </cell>
        </row>
        <row r="1766">
          <cell r="A1766" t="str">
            <v>1;08;B2;B;PAQ14a16</v>
          </cell>
          <cell r="B1766">
            <v>730069</v>
          </cell>
          <cell r="C1766" t="str">
            <v>B2</v>
          </cell>
          <cell r="D1766" t="str">
            <v>BALEARES AÉREO 2</v>
          </cell>
          <cell r="E1766" t="str">
            <v>08</v>
          </cell>
          <cell r="F1766" t="str">
            <v>PAQ14a16</v>
          </cell>
          <cell r="G1766" t="str">
            <v>B</v>
          </cell>
          <cell r="H1766">
            <v>81.45</v>
          </cell>
        </row>
        <row r="1767">
          <cell r="A1767" t="str">
            <v>4;08;B2;B;PAQ14a16</v>
          </cell>
          <cell r="B1767">
            <v>730069</v>
          </cell>
          <cell r="C1767" t="str">
            <v>B2</v>
          </cell>
          <cell r="D1767" t="str">
            <v>BALEARES AÉREO 2</v>
          </cell>
          <cell r="E1767" t="str">
            <v>08</v>
          </cell>
          <cell r="F1767" t="str">
            <v>PAQ14a16</v>
          </cell>
          <cell r="G1767" t="str">
            <v>B</v>
          </cell>
          <cell r="H1767">
            <v>8</v>
          </cell>
        </row>
        <row r="1768">
          <cell r="A1768" t="str">
            <v>4;08;B2;B;PAQ16a18</v>
          </cell>
          <cell r="B1768">
            <v>730069</v>
          </cell>
          <cell r="C1768" t="str">
            <v>B2</v>
          </cell>
          <cell r="D1768" t="str">
            <v>BALEARES AÉREO 2</v>
          </cell>
          <cell r="E1768" t="str">
            <v>08</v>
          </cell>
          <cell r="F1768" t="str">
            <v>PAQ16a18</v>
          </cell>
          <cell r="G1768" t="str">
            <v>B</v>
          </cell>
          <cell r="H1768">
            <v>8</v>
          </cell>
        </row>
        <row r="1769">
          <cell r="A1769" t="str">
            <v>1;08;B2;B;PAQ16a18</v>
          </cell>
          <cell r="B1769">
            <v>730069</v>
          </cell>
          <cell r="C1769" t="str">
            <v>B2</v>
          </cell>
          <cell r="D1769" t="str">
            <v>BALEARES AÉREO 2</v>
          </cell>
          <cell r="E1769" t="str">
            <v>08</v>
          </cell>
          <cell r="F1769" t="str">
            <v>PAQ16a18</v>
          </cell>
          <cell r="G1769" t="str">
            <v>B</v>
          </cell>
          <cell r="H1769">
            <v>91.05</v>
          </cell>
        </row>
        <row r="1770">
          <cell r="A1770" t="str">
            <v>4;08;B2;B;PAQ18a20</v>
          </cell>
          <cell r="B1770">
            <v>730069</v>
          </cell>
          <cell r="C1770" t="str">
            <v>B2</v>
          </cell>
          <cell r="D1770" t="str">
            <v>BALEARES AÉREO 2</v>
          </cell>
          <cell r="E1770" t="str">
            <v>08</v>
          </cell>
          <cell r="F1770" t="str">
            <v>PAQ18a20</v>
          </cell>
          <cell r="G1770" t="str">
            <v>B</v>
          </cell>
          <cell r="H1770">
            <v>8</v>
          </cell>
        </row>
        <row r="1771">
          <cell r="A1771" t="str">
            <v>1;08;B2;B;PAQ18a20</v>
          </cell>
          <cell r="B1771">
            <v>730069</v>
          </cell>
          <cell r="C1771" t="str">
            <v>B2</v>
          </cell>
          <cell r="D1771" t="str">
            <v>BALEARES AÉREO 2</v>
          </cell>
          <cell r="E1771" t="str">
            <v>08</v>
          </cell>
          <cell r="F1771" t="str">
            <v>PAQ18a20</v>
          </cell>
          <cell r="G1771" t="str">
            <v>B</v>
          </cell>
          <cell r="H1771">
            <v>100.65</v>
          </cell>
        </row>
        <row r="1772">
          <cell r="A1772" t="str">
            <v>1;08;B2;B;PAQ20a22</v>
          </cell>
          <cell r="B1772">
            <v>730069</v>
          </cell>
          <cell r="C1772" t="str">
            <v>B2</v>
          </cell>
          <cell r="D1772" t="str">
            <v>BALEARES AÉREO 2</v>
          </cell>
          <cell r="E1772" t="str">
            <v>08</v>
          </cell>
          <cell r="F1772" t="str">
            <v>PAQ20a22</v>
          </cell>
          <cell r="G1772" t="str">
            <v>B</v>
          </cell>
          <cell r="H1772">
            <v>110.25</v>
          </cell>
        </row>
        <row r="1773">
          <cell r="A1773" t="str">
            <v>4;08;B2;B;PAQ20a22</v>
          </cell>
          <cell r="B1773">
            <v>730069</v>
          </cell>
          <cell r="C1773" t="str">
            <v>B2</v>
          </cell>
          <cell r="D1773" t="str">
            <v>BALEARES AÉREO 2</v>
          </cell>
          <cell r="E1773" t="str">
            <v>08</v>
          </cell>
          <cell r="F1773" t="str">
            <v>PAQ20a22</v>
          </cell>
          <cell r="G1773" t="str">
            <v>B</v>
          </cell>
          <cell r="H1773">
            <v>8</v>
          </cell>
        </row>
        <row r="1774">
          <cell r="A1774" t="str">
            <v>1;08;B2;B;PAQ22a24</v>
          </cell>
          <cell r="B1774">
            <v>730069</v>
          </cell>
          <cell r="C1774" t="str">
            <v>B2</v>
          </cell>
          <cell r="D1774" t="str">
            <v>BALEARES AÉREO 2</v>
          </cell>
          <cell r="E1774" t="str">
            <v>08</v>
          </cell>
          <cell r="F1774" t="str">
            <v>PAQ22a24</v>
          </cell>
          <cell r="G1774" t="str">
            <v>B</v>
          </cell>
          <cell r="H1774">
            <v>119.85</v>
          </cell>
        </row>
        <row r="1775">
          <cell r="A1775" t="str">
            <v>4;08;B2;B;PAQ22a24</v>
          </cell>
          <cell r="B1775">
            <v>730069</v>
          </cell>
          <cell r="C1775" t="str">
            <v>B2</v>
          </cell>
          <cell r="D1775" t="str">
            <v>BALEARES AÉREO 2</v>
          </cell>
          <cell r="E1775" t="str">
            <v>08</v>
          </cell>
          <cell r="F1775" t="str">
            <v>PAQ22a24</v>
          </cell>
          <cell r="G1775" t="str">
            <v>B</v>
          </cell>
          <cell r="H1775">
            <v>8</v>
          </cell>
        </row>
        <row r="1776">
          <cell r="A1776" t="str">
            <v>4;08;B2;B;PAQ24a26</v>
          </cell>
          <cell r="B1776">
            <v>730069</v>
          </cell>
          <cell r="C1776" t="str">
            <v>B2</v>
          </cell>
          <cell r="D1776" t="str">
            <v>BALEARES AÉREO 2</v>
          </cell>
          <cell r="E1776" t="str">
            <v>08</v>
          </cell>
          <cell r="F1776" t="str">
            <v>PAQ24a26</v>
          </cell>
          <cell r="G1776" t="str">
            <v>B</v>
          </cell>
          <cell r="H1776">
            <v>8</v>
          </cell>
        </row>
        <row r="1777">
          <cell r="A1777" t="str">
            <v>1;08;B2;B;PAQ24a26</v>
          </cell>
          <cell r="B1777">
            <v>730069</v>
          </cell>
          <cell r="C1777" t="str">
            <v>B2</v>
          </cell>
          <cell r="D1777" t="str">
            <v>BALEARES AÉREO 2</v>
          </cell>
          <cell r="E1777" t="str">
            <v>08</v>
          </cell>
          <cell r="F1777" t="str">
            <v>PAQ24a26</v>
          </cell>
          <cell r="G1777" t="str">
            <v>B</v>
          </cell>
          <cell r="H1777">
            <v>129.44999999999999</v>
          </cell>
        </row>
        <row r="1778">
          <cell r="A1778" t="str">
            <v>1;08;B2;B;PAQ26a28</v>
          </cell>
          <cell r="B1778">
            <v>730069</v>
          </cell>
          <cell r="C1778" t="str">
            <v>B2</v>
          </cell>
          <cell r="D1778" t="str">
            <v>BALEARES AÉREO 2</v>
          </cell>
          <cell r="E1778" t="str">
            <v>08</v>
          </cell>
          <cell r="F1778" t="str">
            <v>PAQ26a28</v>
          </cell>
          <cell r="G1778" t="str">
            <v>B</v>
          </cell>
          <cell r="H1778">
            <v>139.05000000000001</v>
          </cell>
        </row>
        <row r="1779">
          <cell r="A1779" t="str">
            <v>4;08;B2;B;PAQ26a28</v>
          </cell>
          <cell r="B1779">
            <v>730069</v>
          </cell>
          <cell r="C1779" t="str">
            <v>B2</v>
          </cell>
          <cell r="D1779" t="str">
            <v>BALEARES AÉREO 2</v>
          </cell>
          <cell r="E1779" t="str">
            <v>08</v>
          </cell>
          <cell r="F1779" t="str">
            <v>PAQ26a28</v>
          </cell>
          <cell r="G1779" t="str">
            <v>B</v>
          </cell>
          <cell r="H1779">
            <v>8</v>
          </cell>
        </row>
        <row r="1780">
          <cell r="A1780" t="str">
            <v>1;08;B2;B;PAQ28a30</v>
          </cell>
          <cell r="B1780">
            <v>730069</v>
          </cell>
          <cell r="C1780" t="str">
            <v>B2</v>
          </cell>
          <cell r="D1780" t="str">
            <v>BALEARES AÉREO 2</v>
          </cell>
          <cell r="E1780" t="str">
            <v>08</v>
          </cell>
          <cell r="F1780" t="str">
            <v>PAQ28a30</v>
          </cell>
          <cell r="G1780" t="str">
            <v>B</v>
          </cell>
          <cell r="H1780">
            <v>148.65</v>
          </cell>
        </row>
        <row r="1781">
          <cell r="A1781" t="str">
            <v>4;08;B2;B;PAQ28a30</v>
          </cell>
          <cell r="B1781">
            <v>730069</v>
          </cell>
          <cell r="C1781" t="str">
            <v>B2</v>
          </cell>
          <cell r="D1781" t="str">
            <v>BALEARES AÉREO 2</v>
          </cell>
          <cell r="E1781" t="str">
            <v>08</v>
          </cell>
          <cell r="F1781" t="str">
            <v>PAQ28a30</v>
          </cell>
          <cell r="G1781" t="str">
            <v>B</v>
          </cell>
          <cell r="H1781">
            <v>8</v>
          </cell>
        </row>
        <row r="1782">
          <cell r="A1782" t="str">
            <v>1;08;B2;B;PAQ30a32</v>
          </cell>
          <cell r="B1782">
            <v>730069</v>
          </cell>
          <cell r="C1782" t="str">
            <v>B2</v>
          </cell>
          <cell r="D1782" t="str">
            <v>BALEARES AÉREO 2</v>
          </cell>
          <cell r="E1782" t="str">
            <v>08</v>
          </cell>
          <cell r="F1782" t="str">
            <v>PAQ30a32</v>
          </cell>
          <cell r="G1782" t="str">
            <v>B</v>
          </cell>
          <cell r="H1782">
            <v>158.25</v>
          </cell>
        </row>
        <row r="1783">
          <cell r="A1783" t="str">
            <v>4;08;B2;B;PAQ30a32</v>
          </cell>
          <cell r="B1783">
            <v>730069</v>
          </cell>
          <cell r="C1783" t="str">
            <v>B2</v>
          </cell>
          <cell r="D1783" t="str">
            <v>BALEARES AÉREO 2</v>
          </cell>
          <cell r="E1783" t="str">
            <v>08</v>
          </cell>
          <cell r="F1783" t="str">
            <v>PAQ30a32</v>
          </cell>
          <cell r="G1783" t="str">
            <v>B</v>
          </cell>
          <cell r="H1783">
            <v>8</v>
          </cell>
        </row>
        <row r="1784">
          <cell r="A1784" t="str">
            <v>1;08;B2;B;PAQ32a34</v>
          </cell>
          <cell r="B1784">
            <v>730069</v>
          </cell>
          <cell r="C1784" t="str">
            <v>B2</v>
          </cell>
          <cell r="D1784" t="str">
            <v>BALEARES AÉREO 2</v>
          </cell>
          <cell r="E1784" t="str">
            <v>08</v>
          </cell>
          <cell r="F1784" t="str">
            <v>PAQ32a34</v>
          </cell>
          <cell r="G1784" t="str">
            <v>B</v>
          </cell>
          <cell r="H1784">
            <v>167.85</v>
          </cell>
        </row>
        <row r="1785">
          <cell r="A1785" t="str">
            <v>4;08;B2;B;PAQ32a34</v>
          </cell>
          <cell r="B1785">
            <v>730069</v>
          </cell>
          <cell r="C1785" t="str">
            <v>B2</v>
          </cell>
          <cell r="D1785" t="str">
            <v>BALEARES AÉREO 2</v>
          </cell>
          <cell r="E1785" t="str">
            <v>08</v>
          </cell>
          <cell r="F1785" t="str">
            <v>PAQ32a34</v>
          </cell>
          <cell r="G1785" t="str">
            <v>B</v>
          </cell>
          <cell r="H1785">
            <v>8</v>
          </cell>
        </row>
        <row r="1786">
          <cell r="A1786" t="str">
            <v>1;08;B2;B;PAQ34a36</v>
          </cell>
          <cell r="B1786">
            <v>730069</v>
          </cell>
          <cell r="C1786" t="str">
            <v>B2</v>
          </cell>
          <cell r="D1786" t="str">
            <v>BALEARES AÉREO 2</v>
          </cell>
          <cell r="E1786" t="str">
            <v>08</v>
          </cell>
          <cell r="F1786" t="str">
            <v>PAQ34a36</v>
          </cell>
          <cell r="G1786" t="str">
            <v>B</v>
          </cell>
          <cell r="H1786">
            <v>177.45</v>
          </cell>
        </row>
        <row r="1787">
          <cell r="A1787" t="str">
            <v>4;08;B2;B;PAQ34a36</v>
          </cell>
          <cell r="B1787">
            <v>730069</v>
          </cell>
          <cell r="C1787" t="str">
            <v>B2</v>
          </cell>
          <cell r="D1787" t="str">
            <v>BALEARES AÉREO 2</v>
          </cell>
          <cell r="E1787" t="str">
            <v>08</v>
          </cell>
          <cell r="F1787" t="str">
            <v>PAQ34a36</v>
          </cell>
          <cell r="G1787" t="str">
            <v>B</v>
          </cell>
          <cell r="H1787">
            <v>8</v>
          </cell>
        </row>
        <row r="1788">
          <cell r="A1788" t="str">
            <v>4;08;B2;B;PAQ36a38</v>
          </cell>
          <cell r="B1788">
            <v>730069</v>
          </cell>
          <cell r="C1788" t="str">
            <v>B2</v>
          </cell>
          <cell r="D1788" t="str">
            <v>BALEARES AÉREO 2</v>
          </cell>
          <cell r="E1788" t="str">
            <v>08</v>
          </cell>
          <cell r="F1788" t="str">
            <v>PAQ36a38</v>
          </cell>
          <cell r="G1788" t="str">
            <v>B</v>
          </cell>
          <cell r="H1788">
            <v>8</v>
          </cell>
        </row>
        <row r="1789">
          <cell r="A1789" t="str">
            <v>1;08;B2;B;PAQ36a38</v>
          </cell>
          <cell r="B1789">
            <v>730069</v>
          </cell>
          <cell r="C1789" t="str">
            <v>B2</v>
          </cell>
          <cell r="D1789" t="str">
            <v>BALEARES AÉREO 2</v>
          </cell>
          <cell r="E1789" t="str">
            <v>08</v>
          </cell>
          <cell r="F1789" t="str">
            <v>PAQ36a38</v>
          </cell>
          <cell r="G1789" t="str">
            <v>B</v>
          </cell>
          <cell r="H1789">
            <v>187.05</v>
          </cell>
        </row>
        <row r="1790">
          <cell r="A1790" t="str">
            <v>1;08;B2;F;</v>
          </cell>
          <cell r="B1790">
            <v>730069</v>
          </cell>
          <cell r="C1790" t="str">
            <v>B2</v>
          </cell>
          <cell r="D1790" t="str">
            <v>BALEARES AÉREO 2</v>
          </cell>
          <cell r="E1790" t="str">
            <v>08</v>
          </cell>
          <cell r="F1790" t="str">
            <v/>
          </cell>
          <cell r="G1790" t="str">
            <v>F</v>
          </cell>
          <cell r="H1790">
            <v>9.6</v>
          </cell>
        </row>
        <row r="1791">
          <cell r="A1791" t="str">
            <v>1;08;B2;B;PAQ38a40</v>
          </cell>
          <cell r="B1791">
            <v>730069</v>
          </cell>
          <cell r="C1791" t="str">
            <v>B2</v>
          </cell>
          <cell r="D1791" t="str">
            <v>BALEARES AÉREO 2</v>
          </cell>
          <cell r="E1791" t="str">
            <v>08</v>
          </cell>
          <cell r="F1791" t="str">
            <v>PAQ38a40</v>
          </cell>
          <cell r="G1791" t="str">
            <v>B</v>
          </cell>
          <cell r="H1791">
            <v>196.65</v>
          </cell>
        </row>
        <row r="1792">
          <cell r="A1792" t="str">
            <v>4;08;B2;B;PAQ38a40</v>
          </cell>
          <cell r="B1792">
            <v>730069</v>
          </cell>
          <cell r="C1792" t="str">
            <v>B2</v>
          </cell>
          <cell r="D1792" t="str">
            <v>BALEARES AÉREO 2</v>
          </cell>
          <cell r="E1792" t="str">
            <v>08</v>
          </cell>
          <cell r="F1792" t="str">
            <v>PAQ38a40</v>
          </cell>
          <cell r="G1792" t="str">
            <v>B</v>
          </cell>
          <cell r="H1792">
            <v>8</v>
          </cell>
        </row>
        <row r="1793">
          <cell r="A1793" t="str">
            <v>4;08;B2;F;</v>
          </cell>
          <cell r="B1793">
            <v>730069</v>
          </cell>
          <cell r="C1793" t="str">
            <v>B2</v>
          </cell>
          <cell r="D1793" t="str">
            <v>BALEARES AÉREO 2</v>
          </cell>
          <cell r="E1793" t="str">
            <v>08</v>
          </cell>
          <cell r="F1793" t="str">
            <v/>
          </cell>
          <cell r="G1793" t="str">
            <v>F</v>
          </cell>
          <cell r="H1793">
            <v>0</v>
          </cell>
        </row>
        <row r="1794">
          <cell r="A1794" t="str">
            <v>1;08;B2;E;</v>
          </cell>
          <cell r="B1794">
            <v>730069</v>
          </cell>
          <cell r="C1794" t="str">
            <v>B2</v>
          </cell>
          <cell r="D1794" t="str">
            <v>BALEARES AÉREO 2</v>
          </cell>
          <cell r="E1794" t="str">
            <v>08</v>
          </cell>
          <cell r="F1794" t="str">
            <v/>
          </cell>
          <cell r="G1794" t="str">
            <v>E</v>
          </cell>
          <cell r="H1794">
            <v>0</v>
          </cell>
        </row>
        <row r="1795">
          <cell r="A1795" t="str">
            <v>1;08;B2;P;</v>
          </cell>
          <cell r="B1795">
            <v>730069</v>
          </cell>
          <cell r="C1795" t="str">
            <v>B2</v>
          </cell>
          <cell r="D1795" t="str">
            <v>BALEARES AÉREO 2</v>
          </cell>
          <cell r="E1795" t="str">
            <v>08</v>
          </cell>
          <cell r="F1795" t="str">
            <v/>
          </cell>
          <cell r="G1795" t="str">
            <v>P</v>
          </cell>
          <cell r="H1795">
            <v>0</v>
          </cell>
        </row>
        <row r="1796">
          <cell r="A1796" t="str">
            <v>4;08;B2;E;</v>
          </cell>
          <cell r="B1796">
            <v>730069</v>
          </cell>
          <cell r="C1796" t="str">
            <v>B2</v>
          </cell>
          <cell r="D1796" t="str">
            <v>BALEARES AÉREO 2</v>
          </cell>
          <cell r="E1796" t="str">
            <v>08</v>
          </cell>
          <cell r="F1796" t="str">
            <v/>
          </cell>
          <cell r="G1796" t="str">
            <v>E</v>
          </cell>
          <cell r="H1796">
            <v>0</v>
          </cell>
        </row>
        <row r="1797">
          <cell r="A1797" t="str">
            <v>4;08;B2;P;</v>
          </cell>
          <cell r="B1797">
            <v>730069</v>
          </cell>
          <cell r="C1797" t="str">
            <v>B2</v>
          </cell>
          <cell r="D1797" t="str">
            <v>BALEARES AÉREO 2</v>
          </cell>
          <cell r="E1797" t="str">
            <v>08</v>
          </cell>
          <cell r="F1797" t="str">
            <v/>
          </cell>
          <cell r="G1797" t="str">
            <v>P</v>
          </cell>
          <cell r="H1797">
            <v>0</v>
          </cell>
        </row>
        <row r="1798">
          <cell r="A1798" t="str">
            <v>1;11;B2;B;BAG</v>
          </cell>
          <cell r="B1798">
            <v>730069</v>
          </cell>
          <cell r="C1798" t="str">
            <v>B2</v>
          </cell>
          <cell r="D1798" t="str">
            <v>BALEARES AÉREO 2</v>
          </cell>
          <cell r="E1798" t="str">
            <v>11</v>
          </cell>
          <cell r="F1798" t="str">
            <v>BAG</v>
          </cell>
          <cell r="G1798" t="str">
            <v>B</v>
          </cell>
          <cell r="H1798">
            <v>37.4</v>
          </cell>
        </row>
        <row r="1799">
          <cell r="A1799" t="str">
            <v>4;11;B2;B;BAG</v>
          </cell>
          <cell r="B1799">
            <v>730069</v>
          </cell>
          <cell r="C1799" t="str">
            <v>B2</v>
          </cell>
          <cell r="D1799" t="str">
            <v>BALEARES AÉREO 2</v>
          </cell>
          <cell r="E1799" t="str">
            <v>11</v>
          </cell>
          <cell r="F1799" t="str">
            <v>BAG</v>
          </cell>
          <cell r="G1799" t="str">
            <v>B</v>
          </cell>
          <cell r="H1799">
            <v>8</v>
          </cell>
        </row>
        <row r="1800">
          <cell r="A1800" t="str">
            <v>1;11;B2;B;PAQ00a02</v>
          </cell>
          <cell r="B1800">
            <v>730069</v>
          </cell>
          <cell r="C1800" t="str">
            <v>B2</v>
          </cell>
          <cell r="D1800" t="str">
            <v>BALEARES AÉREO 2</v>
          </cell>
          <cell r="E1800" t="str">
            <v>11</v>
          </cell>
          <cell r="F1800" t="str">
            <v>PAQ00a02</v>
          </cell>
          <cell r="G1800" t="str">
            <v>B</v>
          </cell>
          <cell r="H1800">
            <v>43.12</v>
          </cell>
        </row>
        <row r="1801">
          <cell r="A1801" t="str">
            <v>4;11;B2;B;PAQ00a02</v>
          </cell>
          <cell r="B1801">
            <v>730069</v>
          </cell>
          <cell r="C1801" t="str">
            <v>B2</v>
          </cell>
          <cell r="D1801" t="str">
            <v>BALEARES AÉREO 2</v>
          </cell>
          <cell r="E1801" t="str">
            <v>11</v>
          </cell>
          <cell r="F1801" t="str">
            <v>PAQ00a02</v>
          </cell>
          <cell r="G1801" t="str">
            <v>B</v>
          </cell>
          <cell r="H1801">
            <v>8</v>
          </cell>
        </row>
        <row r="1802">
          <cell r="A1802" t="str">
            <v>1;11;B2;B;PAQ02a04</v>
          </cell>
          <cell r="B1802">
            <v>730069</v>
          </cell>
          <cell r="C1802" t="str">
            <v>B2</v>
          </cell>
          <cell r="D1802" t="str">
            <v>BALEARES AÉREO 2</v>
          </cell>
          <cell r="E1802" t="str">
            <v>11</v>
          </cell>
          <cell r="F1802" t="str">
            <v>PAQ02a04</v>
          </cell>
          <cell r="G1802" t="str">
            <v>B</v>
          </cell>
          <cell r="H1802">
            <v>64.88</v>
          </cell>
        </row>
        <row r="1803">
          <cell r="A1803" t="str">
            <v>4;11;B2;B;PAQ02a04</v>
          </cell>
          <cell r="B1803">
            <v>730069</v>
          </cell>
          <cell r="C1803" t="str">
            <v>B2</v>
          </cell>
          <cell r="D1803" t="str">
            <v>BALEARES AÉREO 2</v>
          </cell>
          <cell r="E1803" t="str">
            <v>11</v>
          </cell>
          <cell r="F1803" t="str">
            <v>PAQ02a04</v>
          </cell>
          <cell r="G1803" t="str">
            <v>B</v>
          </cell>
          <cell r="H1803">
            <v>8</v>
          </cell>
        </row>
        <row r="1804">
          <cell r="A1804" t="str">
            <v>1;11;B2;B;PAQ04a06</v>
          </cell>
          <cell r="B1804">
            <v>730069</v>
          </cell>
          <cell r="C1804" t="str">
            <v>B2</v>
          </cell>
          <cell r="D1804" t="str">
            <v>BALEARES AÉREO 2</v>
          </cell>
          <cell r="E1804" t="str">
            <v>11</v>
          </cell>
          <cell r="F1804" t="str">
            <v>PAQ04a06</v>
          </cell>
          <cell r="G1804" t="str">
            <v>B</v>
          </cell>
          <cell r="H1804">
            <v>89.14</v>
          </cell>
        </row>
        <row r="1805">
          <cell r="A1805" t="str">
            <v>4;11;B2;B;PAQ04a06</v>
          </cell>
          <cell r="B1805">
            <v>730069</v>
          </cell>
          <cell r="C1805" t="str">
            <v>B2</v>
          </cell>
          <cell r="D1805" t="str">
            <v>BALEARES AÉREO 2</v>
          </cell>
          <cell r="E1805" t="str">
            <v>11</v>
          </cell>
          <cell r="F1805" t="str">
            <v>PAQ04a06</v>
          </cell>
          <cell r="G1805" t="str">
            <v>B</v>
          </cell>
          <cell r="H1805">
            <v>8</v>
          </cell>
        </row>
        <row r="1806">
          <cell r="A1806" t="str">
            <v>4;11;B2;B;PAQ06a08</v>
          </cell>
          <cell r="B1806">
            <v>730069</v>
          </cell>
          <cell r="C1806" t="str">
            <v>B2</v>
          </cell>
          <cell r="D1806" t="str">
            <v>BALEARES AÉREO 2</v>
          </cell>
          <cell r="E1806" t="str">
            <v>11</v>
          </cell>
          <cell r="F1806" t="str">
            <v>PAQ06a08</v>
          </cell>
          <cell r="G1806" t="str">
            <v>B</v>
          </cell>
          <cell r="H1806">
            <v>8</v>
          </cell>
        </row>
        <row r="1807">
          <cell r="A1807" t="str">
            <v>1;11;B2;B;PAQ06a08</v>
          </cell>
          <cell r="B1807">
            <v>730069</v>
          </cell>
          <cell r="C1807" t="str">
            <v>B2</v>
          </cell>
          <cell r="D1807" t="str">
            <v>BALEARES AÉREO 2</v>
          </cell>
          <cell r="E1807" t="str">
            <v>11</v>
          </cell>
          <cell r="F1807" t="str">
            <v>PAQ06a08</v>
          </cell>
          <cell r="G1807" t="str">
            <v>B</v>
          </cell>
          <cell r="H1807">
            <v>113.4</v>
          </cell>
        </row>
        <row r="1808">
          <cell r="A1808" t="str">
            <v>1;11;B2;B;PAQ08a10</v>
          </cell>
          <cell r="B1808">
            <v>730069</v>
          </cell>
          <cell r="C1808" t="str">
            <v>B2</v>
          </cell>
          <cell r="D1808" t="str">
            <v>BALEARES AÉREO 2</v>
          </cell>
          <cell r="E1808" t="str">
            <v>11</v>
          </cell>
          <cell r="F1808" t="str">
            <v>PAQ08a10</v>
          </cell>
          <cell r="G1808" t="str">
            <v>B</v>
          </cell>
          <cell r="H1808">
            <v>137.66999999999999</v>
          </cell>
        </row>
        <row r="1809">
          <cell r="A1809" t="str">
            <v>4;11;B2;B;PAQ08a10</v>
          </cell>
          <cell r="B1809">
            <v>730069</v>
          </cell>
          <cell r="C1809" t="str">
            <v>B2</v>
          </cell>
          <cell r="D1809" t="str">
            <v>BALEARES AÉREO 2</v>
          </cell>
          <cell r="E1809" t="str">
            <v>11</v>
          </cell>
          <cell r="F1809" t="str">
            <v>PAQ08a10</v>
          </cell>
          <cell r="G1809" t="str">
            <v>B</v>
          </cell>
          <cell r="H1809">
            <v>8</v>
          </cell>
        </row>
        <row r="1810">
          <cell r="A1810" t="str">
            <v>4;11;B2;B;PAQ10a12</v>
          </cell>
          <cell r="B1810">
            <v>730069</v>
          </cell>
          <cell r="C1810" t="str">
            <v>B2</v>
          </cell>
          <cell r="D1810" t="str">
            <v>BALEARES AÉREO 2</v>
          </cell>
          <cell r="E1810" t="str">
            <v>11</v>
          </cell>
          <cell r="F1810" t="str">
            <v>PAQ10a12</v>
          </cell>
          <cell r="G1810" t="str">
            <v>B</v>
          </cell>
          <cell r="H1810">
            <v>8</v>
          </cell>
        </row>
        <row r="1811">
          <cell r="A1811" t="str">
            <v>1;11;B2;B;PAQ10a12</v>
          </cell>
          <cell r="B1811">
            <v>730069</v>
          </cell>
          <cell r="C1811" t="str">
            <v>B2</v>
          </cell>
          <cell r="D1811" t="str">
            <v>BALEARES AÉREO 2</v>
          </cell>
          <cell r="E1811" t="str">
            <v>11</v>
          </cell>
          <cell r="F1811" t="str">
            <v>PAQ10a12</v>
          </cell>
          <cell r="G1811" t="str">
            <v>B</v>
          </cell>
          <cell r="H1811">
            <v>161.94999999999999</v>
          </cell>
        </row>
        <row r="1812">
          <cell r="A1812" t="str">
            <v>4;11;B2;B;PAQ12a14</v>
          </cell>
          <cell r="B1812">
            <v>730069</v>
          </cell>
          <cell r="C1812" t="str">
            <v>B2</v>
          </cell>
          <cell r="D1812" t="str">
            <v>BALEARES AÉREO 2</v>
          </cell>
          <cell r="E1812" t="str">
            <v>11</v>
          </cell>
          <cell r="F1812" t="str">
            <v>PAQ12a14</v>
          </cell>
          <cell r="G1812" t="str">
            <v>B</v>
          </cell>
          <cell r="H1812">
            <v>8</v>
          </cell>
        </row>
        <row r="1813">
          <cell r="A1813" t="str">
            <v>1;11;B2;B;PAQ12a14</v>
          </cell>
          <cell r="B1813">
            <v>730069</v>
          </cell>
          <cell r="C1813" t="str">
            <v>B2</v>
          </cell>
          <cell r="D1813" t="str">
            <v>BALEARES AÉREO 2</v>
          </cell>
          <cell r="E1813" t="str">
            <v>11</v>
          </cell>
          <cell r="F1813" t="str">
            <v>PAQ12a14</v>
          </cell>
          <cell r="G1813" t="str">
            <v>B</v>
          </cell>
          <cell r="H1813">
            <v>186.2</v>
          </cell>
        </row>
        <row r="1814">
          <cell r="A1814" t="str">
            <v>1;11;B2;B;PAQ14a16</v>
          </cell>
          <cell r="B1814">
            <v>730069</v>
          </cell>
          <cell r="C1814" t="str">
            <v>B2</v>
          </cell>
          <cell r="D1814" t="str">
            <v>BALEARES AÉREO 2</v>
          </cell>
          <cell r="E1814" t="str">
            <v>11</v>
          </cell>
          <cell r="F1814" t="str">
            <v>PAQ14a16</v>
          </cell>
          <cell r="G1814" t="str">
            <v>B</v>
          </cell>
          <cell r="H1814">
            <v>210.47</v>
          </cell>
        </row>
        <row r="1815">
          <cell r="A1815" t="str">
            <v>4;11;B2;B;PAQ14a16</v>
          </cell>
          <cell r="B1815">
            <v>730069</v>
          </cell>
          <cell r="C1815" t="str">
            <v>B2</v>
          </cell>
          <cell r="D1815" t="str">
            <v>BALEARES AÉREO 2</v>
          </cell>
          <cell r="E1815" t="str">
            <v>11</v>
          </cell>
          <cell r="F1815" t="str">
            <v>PAQ14a16</v>
          </cell>
          <cell r="G1815" t="str">
            <v>B</v>
          </cell>
          <cell r="H1815">
            <v>8</v>
          </cell>
        </row>
        <row r="1816">
          <cell r="A1816" t="str">
            <v>4;11;B2;B;PAQ16a18</v>
          </cell>
          <cell r="B1816">
            <v>730069</v>
          </cell>
          <cell r="C1816" t="str">
            <v>B2</v>
          </cell>
          <cell r="D1816" t="str">
            <v>BALEARES AÉREO 2</v>
          </cell>
          <cell r="E1816" t="str">
            <v>11</v>
          </cell>
          <cell r="F1816" t="str">
            <v>PAQ16a18</v>
          </cell>
          <cell r="G1816" t="str">
            <v>B</v>
          </cell>
          <cell r="H1816">
            <v>8</v>
          </cell>
        </row>
        <row r="1817">
          <cell r="A1817" t="str">
            <v>1;11;B2;B;PAQ16a18</v>
          </cell>
          <cell r="B1817">
            <v>730069</v>
          </cell>
          <cell r="C1817" t="str">
            <v>B2</v>
          </cell>
          <cell r="D1817" t="str">
            <v>BALEARES AÉREO 2</v>
          </cell>
          <cell r="E1817" t="str">
            <v>11</v>
          </cell>
          <cell r="F1817" t="str">
            <v>PAQ16a18</v>
          </cell>
          <cell r="G1817" t="str">
            <v>B</v>
          </cell>
          <cell r="H1817">
            <v>234.74</v>
          </cell>
        </row>
        <row r="1818">
          <cell r="A1818" t="str">
            <v>4;11;B2;B;PAQ18a20</v>
          </cell>
          <cell r="B1818">
            <v>730069</v>
          </cell>
          <cell r="C1818" t="str">
            <v>B2</v>
          </cell>
          <cell r="D1818" t="str">
            <v>BALEARES AÉREO 2</v>
          </cell>
          <cell r="E1818" t="str">
            <v>11</v>
          </cell>
          <cell r="F1818" t="str">
            <v>PAQ18a20</v>
          </cell>
          <cell r="G1818" t="str">
            <v>B</v>
          </cell>
          <cell r="H1818">
            <v>8</v>
          </cell>
        </row>
        <row r="1819">
          <cell r="A1819" t="str">
            <v>1;11;B2;B;PAQ18a20</v>
          </cell>
          <cell r="B1819">
            <v>730069</v>
          </cell>
          <cell r="C1819" t="str">
            <v>B2</v>
          </cell>
          <cell r="D1819" t="str">
            <v>BALEARES AÉREO 2</v>
          </cell>
          <cell r="E1819" t="str">
            <v>11</v>
          </cell>
          <cell r="F1819" t="str">
            <v>PAQ18a20</v>
          </cell>
          <cell r="G1819" t="str">
            <v>B</v>
          </cell>
          <cell r="H1819">
            <v>259.01</v>
          </cell>
        </row>
        <row r="1820">
          <cell r="A1820" t="str">
            <v>1;11;B2;B;PAQ20a22</v>
          </cell>
          <cell r="B1820">
            <v>730069</v>
          </cell>
          <cell r="C1820" t="str">
            <v>B2</v>
          </cell>
          <cell r="D1820" t="str">
            <v>BALEARES AÉREO 2</v>
          </cell>
          <cell r="E1820" t="str">
            <v>11</v>
          </cell>
          <cell r="F1820" t="str">
            <v>PAQ20a22</v>
          </cell>
          <cell r="G1820" t="str">
            <v>B</v>
          </cell>
          <cell r="H1820">
            <v>283.27</v>
          </cell>
        </row>
        <row r="1821">
          <cell r="A1821" t="str">
            <v>4;11;B2;B;PAQ20a22</v>
          </cell>
          <cell r="B1821">
            <v>730069</v>
          </cell>
          <cell r="C1821" t="str">
            <v>B2</v>
          </cell>
          <cell r="D1821" t="str">
            <v>BALEARES AÉREO 2</v>
          </cell>
          <cell r="E1821" t="str">
            <v>11</v>
          </cell>
          <cell r="F1821" t="str">
            <v>PAQ20a22</v>
          </cell>
          <cell r="G1821" t="str">
            <v>B</v>
          </cell>
          <cell r="H1821">
            <v>8</v>
          </cell>
        </row>
        <row r="1822">
          <cell r="A1822" t="str">
            <v>4;11;B2;B;PAQ22a24</v>
          </cell>
          <cell r="B1822">
            <v>730069</v>
          </cell>
          <cell r="C1822" t="str">
            <v>B2</v>
          </cell>
          <cell r="D1822" t="str">
            <v>BALEARES AÉREO 2</v>
          </cell>
          <cell r="E1822" t="str">
            <v>11</v>
          </cell>
          <cell r="F1822" t="str">
            <v>PAQ22a24</v>
          </cell>
          <cell r="G1822" t="str">
            <v>B</v>
          </cell>
          <cell r="H1822">
            <v>8</v>
          </cell>
        </row>
        <row r="1823">
          <cell r="A1823" t="str">
            <v>1;11;B2;B;PAQ22a24</v>
          </cell>
          <cell r="B1823">
            <v>730069</v>
          </cell>
          <cell r="C1823" t="str">
            <v>B2</v>
          </cell>
          <cell r="D1823" t="str">
            <v>BALEARES AÉREO 2</v>
          </cell>
          <cell r="E1823" t="str">
            <v>11</v>
          </cell>
          <cell r="F1823" t="str">
            <v>PAQ22a24</v>
          </cell>
          <cell r="G1823" t="str">
            <v>B</v>
          </cell>
          <cell r="H1823">
            <v>307.54000000000002</v>
          </cell>
        </row>
        <row r="1824">
          <cell r="A1824" t="str">
            <v>4;11;B2;B;PAQ24a26</v>
          </cell>
          <cell r="B1824">
            <v>730069</v>
          </cell>
          <cell r="C1824" t="str">
            <v>B2</v>
          </cell>
          <cell r="D1824" t="str">
            <v>BALEARES AÉREO 2</v>
          </cell>
          <cell r="E1824" t="str">
            <v>11</v>
          </cell>
          <cell r="F1824" t="str">
            <v>PAQ24a26</v>
          </cell>
          <cell r="G1824" t="str">
            <v>B</v>
          </cell>
          <cell r="H1824">
            <v>8</v>
          </cell>
        </row>
        <row r="1825">
          <cell r="A1825" t="str">
            <v>1;11;B2;B;PAQ24a26</v>
          </cell>
          <cell r="B1825">
            <v>730069</v>
          </cell>
          <cell r="C1825" t="str">
            <v>B2</v>
          </cell>
          <cell r="D1825" t="str">
            <v>BALEARES AÉREO 2</v>
          </cell>
          <cell r="E1825" t="str">
            <v>11</v>
          </cell>
          <cell r="F1825" t="str">
            <v>PAQ24a26</v>
          </cell>
          <cell r="G1825" t="str">
            <v>B</v>
          </cell>
          <cell r="H1825">
            <v>331.8</v>
          </cell>
        </row>
        <row r="1826">
          <cell r="A1826" t="str">
            <v>4;11;B2;B;PAQ26a28</v>
          </cell>
          <cell r="B1826">
            <v>730069</v>
          </cell>
          <cell r="C1826" t="str">
            <v>B2</v>
          </cell>
          <cell r="D1826" t="str">
            <v>BALEARES AÉREO 2</v>
          </cell>
          <cell r="E1826" t="str">
            <v>11</v>
          </cell>
          <cell r="F1826" t="str">
            <v>PAQ26a28</v>
          </cell>
          <cell r="G1826" t="str">
            <v>B</v>
          </cell>
          <cell r="H1826">
            <v>8</v>
          </cell>
        </row>
        <row r="1827">
          <cell r="A1827" t="str">
            <v>1;11;B2;B;PAQ26a28</v>
          </cell>
          <cell r="B1827">
            <v>730069</v>
          </cell>
          <cell r="C1827" t="str">
            <v>B2</v>
          </cell>
          <cell r="D1827" t="str">
            <v>BALEARES AÉREO 2</v>
          </cell>
          <cell r="E1827" t="str">
            <v>11</v>
          </cell>
          <cell r="F1827" t="str">
            <v>PAQ26a28</v>
          </cell>
          <cell r="G1827" t="str">
            <v>B</v>
          </cell>
          <cell r="H1827">
            <v>356.07</v>
          </cell>
        </row>
        <row r="1828">
          <cell r="A1828" t="str">
            <v>4;11;B2;B;PAQ28a30</v>
          </cell>
          <cell r="B1828">
            <v>730069</v>
          </cell>
          <cell r="C1828" t="str">
            <v>B2</v>
          </cell>
          <cell r="D1828" t="str">
            <v>BALEARES AÉREO 2</v>
          </cell>
          <cell r="E1828" t="str">
            <v>11</v>
          </cell>
          <cell r="F1828" t="str">
            <v>PAQ28a30</v>
          </cell>
          <cell r="G1828" t="str">
            <v>B</v>
          </cell>
          <cell r="H1828">
            <v>8</v>
          </cell>
        </row>
        <row r="1829">
          <cell r="A1829" t="str">
            <v>1;11;B2;B;PAQ28a30</v>
          </cell>
          <cell r="B1829">
            <v>730069</v>
          </cell>
          <cell r="C1829" t="str">
            <v>B2</v>
          </cell>
          <cell r="D1829" t="str">
            <v>BALEARES AÉREO 2</v>
          </cell>
          <cell r="E1829" t="str">
            <v>11</v>
          </cell>
          <cell r="F1829" t="str">
            <v>PAQ28a30</v>
          </cell>
          <cell r="G1829" t="str">
            <v>B</v>
          </cell>
          <cell r="H1829">
            <v>380.34</v>
          </cell>
        </row>
        <row r="1830">
          <cell r="A1830" t="str">
            <v>4;11;B2;B;PAQ30a32</v>
          </cell>
          <cell r="B1830">
            <v>730069</v>
          </cell>
          <cell r="C1830" t="str">
            <v>B2</v>
          </cell>
          <cell r="D1830" t="str">
            <v>BALEARES AÉREO 2</v>
          </cell>
          <cell r="E1830" t="str">
            <v>11</v>
          </cell>
          <cell r="F1830" t="str">
            <v>PAQ30a32</v>
          </cell>
          <cell r="G1830" t="str">
            <v>B</v>
          </cell>
          <cell r="H1830">
            <v>8</v>
          </cell>
        </row>
        <row r="1831">
          <cell r="A1831" t="str">
            <v>1;11;B2;B;PAQ30a32</v>
          </cell>
          <cell r="B1831">
            <v>730069</v>
          </cell>
          <cell r="C1831" t="str">
            <v>B2</v>
          </cell>
          <cell r="D1831" t="str">
            <v>BALEARES AÉREO 2</v>
          </cell>
          <cell r="E1831" t="str">
            <v>11</v>
          </cell>
          <cell r="F1831" t="str">
            <v>PAQ30a32</v>
          </cell>
          <cell r="G1831" t="str">
            <v>B</v>
          </cell>
          <cell r="H1831">
            <v>404.6</v>
          </cell>
        </row>
        <row r="1832">
          <cell r="A1832" t="str">
            <v>4;11;B2;B;PAQ32a34</v>
          </cell>
          <cell r="B1832">
            <v>730069</v>
          </cell>
          <cell r="C1832" t="str">
            <v>B2</v>
          </cell>
          <cell r="D1832" t="str">
            <v>BALEARES AÉREO 2</v>
          </cell>
          <cell r="E1832" t="str">
            <v>11</v>
          </cell>
          <cell r="F1832" t="str">
            <v>PAQ32a34</v>
          </cell>
          <cell r="G1832" t="str">
            <v>B</v>
          </cell>
          <cell r="H1832">
            <v>8</v>
          </cell>
        </row>
        <row r="1833">
          <cell r="A1833" t="str">
            <v>1;11;B2;B;PAQ32a34</v>
          </cell>
          <cell r="B1833">
            <v>730069</v>
          </cell>
          <cell r="C1833" t="str">
            <v>B2</v>
          </cell>
          <cell r="D1833" t="str">
            <v>BALEARES AÉREO 2</v>
          </cell>
          <cell r="E1833" t="str">
            <v>11</v>
          </cell>
          <cell r="F1833" t="str">
            <v>PAQ32a34</v>
          </cell>
          <cell r="G1833" t="str">
            <v>B</v>
          </cell>
          <cell r="H1833">
            <v>428.87</v>
          </cell>
        </row>
        <row r="1834">
          <cell r="A1834" t="str">
            <v>1;11;B2;B;PAQ34a36</v>
          </cell>
          <cell r="B1834">
            <v>730069</v>
          </cell>
          <cell r="C1834" t="str">
            <v>B2</v>
          </cell>
          <cell r="D1834" t="str">
            <v>BALEARES AÉREO 2</v>
          </cell>
          <cell r="E1834" t="str">
            <v>11</v>
          </cell>
          <cell r="F1834" t="str">
            <v>PAQ34a36</v>
          </cell>
          <cell r="G1834" t="str">
            <v>B</v>
          </cell>
          <cell r="H1834">
            <v>453.14</v>
          </cell>
        </row>
        <row r="1835">
          <cell r="A1835" t="str">
            <v>4;11;B2;B;PAQ34a36</v>
          </cell>
          <cell r="B1835">
            <v>730069</v>
          </cell>
          <cell r="C1835" t="str">
            <v>B2</v>
          </cell>
          <cell r="D1835" t="str">
            <v>BALEARES AÉREO 2</v>
          </cell>
          <cell r="E1835" t="str">
            <v>11</v>
          </cell>
          <cell r="F1835" t="str">
            <v>PAQ34a36</v>
          </cell>
          <cell r="G1835" t="str">
            <v>B</v>
          </cell>
          <cell r="H1835">
            <v>8</v>
          </cell>
        </row>
        <row r="1836">
          <cell r="A1836" t="str">
            <v>1;11;B2;B;PAQ36a38</v>
          </cell>
          <cell r="B1836">
            <v>730069</v>
          </cell>
          <cell r="C1836" t="str">
            <v>B2</v>
          </cell>
          <cell r="D1836" t="str">
            <v>BALEARES AÉREO 2</v>
          </cell>
          <cell r="E1836" t="str">
            <v>11</v>
          </cell>
          <cell r="F1836" t="str">
            <v>PAQ36a38</v>
          </cell>
          <cell r="G1836" t="str">
            <v>B</v>
          </cell>
          <cell r="H1836">
            <v>477.39</v>
          </cell>
        </row>
        <row r="1837">
          <cell r="A1837" t="str">
            <v>4;11;B2;B;PAQ36a38</v>
          </cell>
          <cell r="B1837">
            <v>730069</v>
          </cell>
          <cell r="C1837" t="str">
            <v>B2</v>
          </cell>
          <cell r="D1837" t="str">
            <v>BALEARES AÉREO 2</v>
          </cell>
          <cell r="E1837" t="str">
            <v>11</v>
          </cell>
          <cell r="F1837" t="str">
            <v>PAQ36a38</v>
          </cell>
          <cell r="G1837" t="str">
            <v>B</v>
          </cell>
          <cell r="H1837">
            <v>8</v>
          </cell>
        </row>
        <row r="1838">
          <cell r="A1838" t="str">
            <v>4;11;B2;B;PAQ38a40</v>
          </cell>
          <cell r="B1838">
            <v>730069</v>
          </cell>
          <cell r="C1838" t="str">
            <v>B2</v>
          </cell>
          <cell r="D1838" t="str">
            <v>BALEARES AÉREO 2</v>
          </cell>
          <cell r="E1838" t="str">
            <v>11</v>
          </cell>
          <cell r="F1838" t="str">
            <v>PAQ38a40</v>
          </cell>
          <cell r="G1838" t="str">
            <v>B</v>
          </cell>
          <cell r="H1838">
            <v>8</v>
          </cell>
        </row>
        <row r="1839">
          <cell r="A1839" t="str">
            <v>4;11;B2;F;</v>
          </cell>
          <cell r="B1839">
            <v>730069</v>
          </cell>
          <cell r="C1839" t="str">
            <v>B2</v>
          </cell>
          <cell r="D1839" t="str">
            <v>BALEARES AÉREO 2</v>
          </cell>
          <cell r="E1839" t="str">
            <v>11</v>
          </cell>
          <cell r="F1839" t="str">
            <v/>
          </cell>
          <cell r="G1839" t="str">
            <v>F</v>
          </cell>
          <cell r="H1839">
            <v>0</v>
          </cell>
        </row>
        <row r="1840">
          <cell r="A1840" t="str">
            <v>1;11;B2;B;PAQ38a40</v>
          </cell>
          <cell r="B1840">
            <v>730069</v>
          </cell>
          <cell r="C1840" t="str">
            <v>B2</v>
          </cell>
          <cell r="D1840" t="str">
            <v>BALEARES AÉREO 2</v>
          </cell>
          <cell r="E1840" t="str">
            <v>11</v>
          </cell>
          <cell r="F1840" t="str">
            <v>PAQ38a40</v>
          </cell>
          <cell r="G1840" t="str">
            <v>B</v>
          </cell>
          <cell r="H1840">
            <v>501.67</v>
          </cell>
        </row>
        <row r="1841">
          <cell r="A1841" t="str">
            <v>1;11;B2;F;</v>
          </cell>
          <cell r="B1841">
            <v>730069</v>
          </cell>
          <cell r="C1841" t="str">
            <v>B2</v>
          </cell>
          <cell r="D1841" t="str">
            <v>BALEARES AÉREO 2</v>
          </cell>
          <cell r="E1841" t="str">
            <v>11</v>
          </cell>
          <cell r="F1841" t="str">
            <v/>
          </cell>
          <cell r="G1841" t="str">
            <v>F</v>
          </cell>
          <cell r="H1841">
            <v>24.27</v>
          </cell>
        </row>
        <row r="1842">
          <cell r="A1842" t="str">
            <v>4;11;B2;E;</v>
          </cell>
          <cell r="B1842">
            <v>730069</v>
          </cell>
          <cell r="C1842" t="str">
            <v>B2</v>
          </cell>
          <cell r="D1842" t="str">
            <v>BALEARES AÉREO 2</v>
          </cell>
          <cell r="E1842" t="str">
            <v>11</v>
          </cell>
          <cell r="F1842" t="str">
            <v/>
          </cell>
          <cell r="G1842" t="str">
            <v>E</v>
          </cell>
          <cell r="H1842">
            <v>0</v>
          </cell>
        </row>
        <row r="1843">
          <cell r="A1843" t="str">
            <v>4;11;B2;P;</v>
          </cell>
          <cell r="B1843">
            <v>730069</v>
          </cell>
          <cell r="C1843" t="str">
            <v>B2</v>
          </cell>
          <cell r="D1843" t="str">
            <v>BALEARES AÉREO 2</v>
          </cell>
          <cell r="E1843" t="str">
            <v>11</v>
          </cell>
          <cell r="F1843" t="str">
            <v/>
          </cell>
          <cell r="G1843" t="str">
            <v>P</v>
          </cell>
          <cell r="H1843">
            <v>0</v>
          </cell>
        </row>
        <row r="1844">
          <cell r="A1844" t="str">
            <v>1;11;B2;P;</v>
          </cell>
          <cell r="B1844">
            <v>730069</v>
          </cell>
          <cell r="C1844" t="str">
            <v>B2</v>
          </cell>
          <cell r="D1844" t="str">
            <v>BALEARES AÉREO 2</v>
          </cell>
          <cell r="E1844" t="str">
            <v>11</v>
          </cell>
          <cell r="F1844" t="str">
            <v/>
          </cell>
          <cell r="G1844" t="str">
            <v>P</v>
          </cell>
          <cell r="H1844">
            <v>0</v>
          </cell>
        </row>
        <row r="1845">
          <cell r="A1845" t="str">
            <v>1;11;B2;E;</v>
          </cell>
          <cell r="B1845">
            <v>730069</v>
          </cell>
          <cell r="C1845" t="str">
            <v>B2</v>
          </cell>
          <cell r="D1845" t="str">
            <v>BALEARES AÉREO 2</v>
          </cell>
          <cell r="E1845" t="str">
            <v>11</v>
          </cell>
          <cell r="F1845" t="str">
            <v/>
          </cell>
          <cell r="G1845" t="str">
            <v>E</v>
          </cell>
          <cell r="H1845">
            <v>0</v>
          </cell>
        </row>
        <row r="1846">
          <cell r="A1846" t="str">
            <v>1;13;B2;B;PAQ00a02</v>
          </cell>
          <cell r="B1846">
            <v>730069</v>
          </cell>
          <cell r="C1846" t="str">
            <v>B2</v>
          </cell>
          <cell r="D1846" t="str">
            <v>BALEARES AÉREO 2</v>
          </cell>
          <cell r="E1846" t="str">
            <v>13</v>
          </cell>
          <cell r="F1846" t="str">
            <v>PAQ00a02</v>
          </cell>
          <cell r="G1846" t="str">
            <v>B</v>
          </cell>
          <cell r="H1846">
            <v>0</v>
          </cell>
        </row>
        <row r="1847">
          <cell r="A1847" t="str">
            <v>1;13;B2;B;PAQ02a04</v>
          </cell>
          <cell r="B1847">
            <v>730069</v>
          </cell>
          <cell r="C1847" t="str">
            <v>B2</v>
          </cell>
          <cell r="D1847" t="str">
            <v>BALEARES AÉREO 2</v>
          </cell>
          <cell r="E1847" t="str">
            <v>13</v>
          </cell>
          <cell r="F1847" t="str">
            <v>PAQ02a04</v>
          </cell>
          <cell r="G1847" t="str">
            <v>B</v>
          </cell>
          <cell r="H1847">
            <v>0</v>
          </cell>
        </row>
        <row r="1848">
          <cell r="A1848" t="str">
            <v>1;13;B2;B;PAQ04a06</v>
          </cell>
          <cell r="B1848">
            <v>730069</v>
          </cell>
          <cell r="C1848" t="str">
            <v>B2</v>
          </cell>
          <cell r="D1848" t="str">
            <v>BALEARES AÉREO 2</v>
          </cell>
          <cell r="E1848" t="str">
            <v>13</v>
          </cell>
          <cell r="F1848" t="str">
            <v>PAQ04a06</v>
          </cell>
          <cell r="G1848" t="str">
            <v>B</v>
          </cell>
          <cell r="H1848">
            <v>0</v>
          </cell>
        </row>
        <row r="1849">
          <cell r="A1849" t="str">
            <v>1;13;B2;B;PAQ06a08</v>
          </cell>
          <cell r="B1849">
            <v>730069</v>
          </cell>
          <cell r="C1849" t="str">
            <v>B2</v>
          </cell>
          <cell r="D1849" t="str">
            <v>BALEARES AÉREO 2</v>
          </cell>
          <cell r="E1849" t="str">
            <v>13</v>
          </cell>
          <cell r="F1849" t="str">
            <v>PAQ06a08</v>
          </cell>
          <cell r="G1849" t="str">
            <v>B</v>
          </cell>
          <cell r="H1849">
            <v>0</v>
          </cell>
        </row>
        <row r="1850">
          <cell r="A1850" t="str">
            <v>1;13;B2;B;PAQ08a10</v>
          </cell>
          <cell r="B1850">
            <v>730069</v>
          </cell>
          <cell r="C1850" t="str">
            <v>B2</v>
          </cell>
          <cell r="D1850" t="str">
            <v>BALEARES AÉREO 2</v>
          </cell>
          <cell r="E1850" t="str">
            <v>13</v>
          </cell>
          <cell r="F1850" t="str">
            <v>PAQ08a10</v>
          </cell>
          <cell r="G1850" t="str">
            <v>B</v>
          </cell>
          <cell r="H1850">
            <v>0</v>
          </cell>
        </row>
        <row r="1851">
          <cell r="A1851" t="str">
            <v>1;13;B2;B;PAQ10a12</v>
          </cell>
          <cell r="B1851">
            <v>730069</v>
          </cell>
          <cell r="C1851" t="str">
            <v>B2</v>
          </cell>
          <cell r="D1851" t="str">
            <v>BALEARES AÉREO 2</v>
          </cell>
          <cell r="E1851" t="str">
            <v>13</v>
          </cell>
          <cell r="F1851" t="str">
            <v>PAQ10a12</v>
          </cell>
          <cell r="G1851" t="str">
            <v>B</v>
          </cell>
          <cell r="H1851">
            <v>0</v>
          </cell>
        </row>
        <row r="1852">
          <cell r="A1852" t="str">
            <v>1;13;B2;B;PAQ12a14</v>
          </cell>
          <cell r="B1852">
            <v>730069</v>
          </cell>
          <cell r="C1852" t="str">
            <v>B2</v>
          </cell>
          <cell r="D1852" t="str">
            <v>BALEARES AÉREO 2</v>
          </cell>
          <cell r="E1852" t="str">
            <v>13</v>
          </cell>
          <cell r="F1852" t="str">
            <v>PAQ12a14</v>
          </cell>
          <cell r="G1852" t="str">
            <v>B</v>
          </cell>
          <cell r="H1852">
            <v>0</v>
          </cell>
        </row>
        <row r="1853">
          <cell r="A1853" t="str">
            <v>1;13;B2;B;PAQ14a16</v>
          </cell>
          <cell r="B1853">
            <v>730069</v>
          </cell>
          <cell r="C1853" t="str">
            <v>B2</v>
          </cell>
          <cell r="D1853" t="str">
            <v>BALEARES AÉREO 2</v>
          </cell>
          <cell r="E1853" t="str">
            <v>13</v>
          </cell>
          <cell r="F1853" t="str">
            <v>PAQ14a16</v>
          </cell>
          <cell r="G1853" t="str">
            <v>B</v>
          </cell>
          <cell r="H1853">
            <v>0</v>
          </cell>
        </row>
        <row r="1854">
          <cell r="A1854" t="str">
            <v>1;13;B2;B;PAQ16a18</v>
          </cell>
          <cell r="B1854">
            <v>730069</v>
          </cell>
          <cell r="C1854" t="str">
            <v>B2</v>
          </cell>
          <cell r="D1854" t="str">
            <v>BALEARES AÉREO 2</v>
          </cell>
          <cell r="E1854" t="str">
            <v>13</v>
          </cell>
          <cell r="F1854" t="str">
            <v>PAQ16a18</v>
          </cell>
          <cell r="G1854" t="str">
            <v>B</v>
          </cell>
          <cell r="H1854">
            <v>0</v>
          </cell>
        </row>
        <row r="1855">
          <cell r="A1855" t="str">
            <v>1;13;B2;B;PAQ18a20</v>
          </cell>
          <cell r="B1855">
            <v>730069</v>
          </cell>
          <cell r="C1855" t="str">
            <v>B2</v>
          </cell>
          <cell r="D1855" t="str">
            <v>BALEARES AÉREO 2</v>
          </cell>
          <cell r="E1855" t="str">
            <v>13</v>
          </cell>
          <cell r="F1855" t="str">
            <v>PAQ18a20</v>
          </cell>
          <cell r="G1855" t="str">
            <v>B</v>
          </cell>
          <cell r="H1855">
            <v>0</v>
          </cell>
        </row>
        <row r="1856">
          <cell r="A1856" t="str">
            <v>1;13;B2;B;PAQ20a22</v>
          </cell>
          <cell r="B1856">
            <v>730069</v>
          </cell>
          <cell r="C1856" t="str">
            <v>B2</v>
          </cell>
          <cell r="D1856" t="str">
            <v>BALEARES AÉREO 2</v>
          </cell>
          <cell r="E1856" t="str">
            <v>13</v>
          </cell>
          <cell r="F1856" t="str">
            <v>PAQ20a22</v>
          </cell>
          <cell r="G1856" t="str">
            <v>B</v>
          </cell>
          <cell r="H1856">
            <v>0</v>
          </cell>
        </row>
        <row r="1857">
          <cell r="A1857" t="str">
            <v>1;13;B2;B;PAQ22a24</v>
          </cell>
          <cell r="B1857">
            <v>730069</v>
          </cell>
          <cell r="C1857" t="str">
            <v>B2</v>
          </cell>
          <cell r="D1857" t="str">
            <v>BALEARES AÉREO 2</v>
          </cell>
          <cell r="E1857" t="str">
            <v>13</v>
          </cell>
          <cell r="F1857" t="str">
            <v>PAQ22a24</v>
          </cell>
          <cell r="G1857" t="str">
            <v>B</v>
          </cell>
          <cell r="H1857">
            <v>0</v>
          </cell>
        </row>
        <row r="1858">
          <cell r="A1858" t="str">
            <v>1;13;B2;B;PAQ24a26</v>
          </cell>
          <cell r="B1858">
            <v>730069</v>
          </cell>
          <cell r="C1858" t="str">
            <v>B2</v>
          </cell>
          <cell r="D1858" t="str">
            <v>BALEARES AÉREO 2</v>
          </cell>
          <cell r="E1858" t="str">
            <v>13</v>
          </cell>
          <cell r="F1858" t="str">
            <v>PAQ24a26</v>
          </cell>
          <cell r="G1858" t="str">
            <v>B</v>
          </cell>
          <cell r="H1858">
            <v>0</v>
          </cell>
        </row>
        <row r="1859">
          <cell r="A1859" t="str">
            <v>1;13;B2;B;PAQ26a28</v>
          </cell>
          <cell r="B1859">
            <v>730069</v>
          </cell>
          <cell r="C1859" t="str">
            <v>B2</v>
          </cell>
          <cell r="D1859" t="str">
            <v>BALEARES AÉREO 2</v>
          </cell>
          <cell r="E1859" t="str">
            <v>13</v>
          </cell>
          <cell r="F1859" t="str">
            <v>PAQ26a28</v>
          </cell>
          <cell r="G1859" t="str">
            <v>B</v>
          </cell>
          <cell r="H1859">
            <v>0</v>
          </cell>
        </row>
        <row r="1860">
          <cell r="A1860" t="str">
            <v>1;13;B2;B;PAQ28a30</v>
          </cell>
          <cell r="B1860">
            <v>730069</v>
          </cell>
          <cell r="C1860" t="str">
            <v>B2</v>
          </cell>
          <cell r="D1860" t="str">
            <v>BALEARES AÉREO 2</v>
          </cell>
          <cell r="E1860" t="str">
            <v>13</v>
          </cell>
          <cell r="F1860" t="str">
            <v>PAQ28a30</v>
          </cell>
          <cell r="G1860" t="str">
            <v>B</v>
          </cell>
          <cell r="H1860">
            <v>0</v>
          </cell>
        </row>
        <row r="1861">
          <cell r="A1861" t="str">
            <v>1;13;B2;B;PAQ30a32</v>
          </cell>
          <cell r="B1861">
            <v>730069</v>
          </cell>
          <cell r="C1861" t="str">
            <v>B2</v>
          </cell>
          <cell r="D1861" t="str">
            <v>BALEARES AÉREO 2</v>
          </cell>
          <cell r="E1861" t="str">
            <v>13</v>
          </cell>
          <cell r="F1861" t="str">
            <v>PAQ30a32</v>
          </cell>
          <cell r="G1861" t="str">
            <v>B</v>
          </cell>
          <cell r="H1861">
            <v>0</v>
          </cell>
        </row>
        <row r="1862">
          <cell r="A1862" t="str">
            <v>1;13;B2;B;PAQ32a34</v>
          </cell>
          <cell r="B1862">
            <v>730069</v>
          </cell>
          <cell r="C1862" t="str">
            <v>B2</v>
          </cell>
          <cell r="D1862" t="str">
            <v>BALEARES AÉREO 2</v>
          </cell>
          <cell r="E1862" t="str">
            <v>13</v>
          </cell>
          <cell r="F1862" t="str">
            <v>PAQ32a34</v>
          </cell>
          <cell r="G1862" t="str">
            <v>B</v>
          </cell>
          <cell r="H1862">
            <v>0</v>
          </cell>
        </row>
        <row r="1863">
          <cell r="A1863" t="str">
            <v>1;13;B2;B;PAQ34a36</v>
          </cell>
          <cell r="B1863">
            <v>730069</v>
          </cell>
          <cell r="C1863" t="str">
            <v>B2</v>
          </cell>
          <cell r="D1863" t="str">
            <v>BALEARES AÉREO 2</v>
          </cell>
          <cell r="E1863" t="str">
            <v>13</v>
          </cell>
          <cell r="F1863" t="str">
            <v>PAQ34a36</v>
          </cell>
          <cell r="G1863" t="str">
            <v>B</v>
          </cell>
          <cell r="H1863">
            <v>0</v>
          </cell>
        </row>
        <row r="1864">
          <cell r="A1864" t="str">
            <v>1;13;B2;B;PAQ36a38</v>
          </cell>
          <cell r="B1864">
            <v>730069</v>
          </cell>
          <cell r="C1864" t="str">
            <v>B2</v>
          </cell>
          <cell r="D1864" t="str">
            <v>BALEARES AÉREO 2</v>
          </cell>
          <cell r="E1864" t="str">
            <v>13</v>
          </cell>
          <cell r="F1864" t="str">
            <v>PAQ36a38</v>
          </cell>
          <cell r="G1864" t="str">
            <v>B</v>
          </cell>
          <cell r="H1864">
            <v>0</v>
          </cell>
        </row>
        <row r="1865">
          <cell r="A1865" t="str">
            <v>1;13;B2;B;PAQ38a40</v>
          </cell>
          <cell r="B1865">
            <v>730069</v>
          </cell>
          <cell r="C1865" t="str">
            <v>B2</v>
          </cell>
          <cell r="D1865" t="str">
            <v>BALEARES AÉREO 2</v>
          </cell>
          <cell r="E1865" t="str">
            <v>13</v>
          </cell>
          <cell r="F1865" t="str">
            <v>PAQ38a40</v>
          </cell>
          <cell r="G1865" t="str">
            <v>B</v>
          </cell>
          <cell r="H1865">
            <v>0</v>
          </cell>
        </row>
        <row r="1866">
          <cell r="A1866" t="str">
            <v>1;13;B2;F;</v>
          </cell>
          <cell r="B1866">
            <v>730069</v>
          </cell>
          <cell r="C1866" t="str">
            <v>B2</v>
          </cell>
          <cell r="D1866" t="str">
            <v>BALEARES AÉREO 2</v>
          </cell>
          <cell r="E1866" t="str">
            <v>13</v>
          </cell>
          <cell r="F1866" t="str">
            <v/>
          </cell>
          <cell r="G1866" t="str">
            <v>F</v>
          </cell>
          <cell r="H1866">
            <v>0</v>
          </cell>
        </row>
        <row r="1867">
          <cell r="A1867" t="str">
            <v>1;13;B2;P;</v>
          </cell>
          <cell r="B1867">
            <v>730069</v>
          </cell>
          <cell r="C1867" t="str">
            <v>B2</v>
          </cell>
          <cell r="D1867" t="str">
            <v>BALEARES AÉREO 2</v>
          </cell>
          <cell r="E1867" t="str">
            <v>13</v>
          </cell>
          <cell r="F1867" t="str">
            <v/>
          </cell>
          <cell r="G1867" t="str">
            <v>P</v>
          </cell>
          <cell r="H1867">
            <v>0</v>
          </cell>
        </row>
        <row r="1868">
          <cell r="A1868" t="str">
            <v>1;13;B2;E;</v>
          </cell>
          <cell r="B1868">
            <v>730069</v>
          </cell>
          <cell r="C1868" t="str">
            <v>B2</v>
          </cell>
          <cell r="D1868" t="str">
            <v>BALEARES AÉREO 2</v>
          </cell>
          <cell r="E1868" t="str">
            <v>13</v>
          </cell>
          <cell r="F1868" t="str">
            <v/>
          </cell>
          <cell r="G1868" t="str">
            <v>E</v>
          </cell>
          <cell r="H1868">
            <v>0</v>
          </cell>
        </row>
        <row r="1869">
          <cell r="A1869" t="str">
            <v>1;17;B2;B;PAQ00a02</v>
          </cell>
          <cell r="B1869">
            <v>730069</v>
          </cell>
          <cell r="C1869" t="str">
            <v>B2</v>
          </cell>
          <cell r="D1869" t="str">
            <v>BALEARES AÉREO 2</v>
          </cell>
          <cell r="E1869" t="str">
            <v>17</v>
          </cell>
          <cell r="F1869" t="str">
            <v>PAQ00a02</v>
          </cell>
          <cell r="G1869" t="str">
            <v>B</v>
          </cell>
          <cell r="H1869">
            <v>10.71</v>
          </cell>
        </row>
        <row r="1870">
          <cell r="A1870" t="str">
            <v>4;17;B2;B;PAQ00a02</v>
          </cell>
          <cell r="B1870">
            <v>730069</v>
          </cell>
          <cell r="C1870" t="str">
            <v>B2</v>
          </cell>
          <cell r="D1870" t="str">
            <v>BALEARES AÉREO 2</v>
          </cell>
          <cell r="E1870" t="str">
            <v>17</v>
          </cell>
          <cell r="F1870" t="str">
            <v>PAQ00a02</v>
          </cell>
          <cell r="G1870" t="str">
            <v>B</v>
          </cell>
          <cell r="H1870">
            <v>8</v>
          </cell>
        </row>
        <row r="1871">
          <cell r="A1871" t="str">
            <v>1;17;B2;B;PAQ02a04</v>
          </cell>
          <cell r="B1871">
            <v>730069</v>
          </cell>
          <cell r="C1871" t="str">
            <v>B2</v>
          </cell>
          <cell r="D1871" t="str">
            <v>BALEARES AÉREO 2</v>
          </cell>
          <cell r="E1871" t="str">
            <v>17</v>
          </cell>
          <cell r="F1871" t="str">
            <v>PAQ02a04</v>
          </cell>
          <cell r="G1871" t="str">
            <v>B</v>
          </cell>
          <cell r="H1871">
            <v>18.62</v>
          </cell>
        </row>
        <row r="1872">
          <cell r="A1872" t="str">
            <v>4;17;B2;B;PAQ02a04</v>
          </cell>
          <cell r="B1872">
            <v>730069</v>
          </cell>
          <cell r="C1872" t="str">
            <v>B2</v>
          </cell>
          <cell r="D1872" t="str">
            <v>BALEARES AÉREO 2</v>
          </cell>
          <cell r="E1872" t="str">
            <v>17</v>
          </cell>
          <cell r="F1872" t="str">
            <v>PAQ02a04</v>
          </cell>
          <cell r="G1872" t="str">
            <v>B</v>
          </cell>
          <cell r="H1872">
            <v>8</v>
          </cell>
        </row>
        <row r="1873">
          <cell r="A1873" t="str">
            <v>1;17;B2;B;PAQ04a06</v>
          </cell>
          <cell r="B1873">
            <v>730069</v>
          </cell>
          <cell r="C1873" t="str">
            <v>B2</v>
          </cell>
          <cell r="D1873" t="str">
            <v>BALEARES AÉREO 2</v>
          </cell>
          <cell r="E1873" t="str">
            <v>17</v>
          </cell>
          <cell r="F1873" t="str">
            <v>PAQ04a06</v>
          </cell>
          <cell r="G1873" t="str">
            <v>B</v>
          </cell>
          <cell r="H1873">
            <v>27.3</v>
          </cell>
        </row>
        <row r="1874">
          <cell r="A1874" t="str">
            <v>4;17;B2;B;PAQ04a06</v>
          </cell>
          <cell r="B1874">
            <v>730069</v>
          </cell>
          <cell r="C1874" t="str">
            <v>B2</v>
          </cell>
          <cell r="D1874" t="str">
            <v>BALEARES AÉREO 2</v>
          </cell>
          <cell r="E1874" t="str">
            <v>17</v>
          </cell>
          <cell r="F1874" t="str">
            <v>PAQ04a06</v>
          </cell>
          <cell r="G1874" t="str">
            <v>B</v>
          </cell>
          <cell r="H1874">
            <v>8</v>
          </cell>
        </row>
        <row r="1875">
          <cell r="A1875" t="str">
            <v>1;17;B2;B;PAQ06a08</v>
          </cell>
          <cell r="B1875">
            <v>730069</v>
          </cell>
          <cell r="C1875" t="str">
            <v>B2</v>
          </cell>
          <cell r="D1875" t="str">
            <v>BALEARES AÉREO 2</v>
          </cell>
          <cell r="E1875" t="str">
            <v>17</v>
          </cell>
          <cell r="F1875" t="str">
            <v>PAQ06a08</v>
          </cell>
          <cell r="G1875" t="str">
            <v>B</v>
          </cell>
          <cell r="H1875">
            <v>35.03</v>
          </cell>
        </row>
        <row r="1876">
          <cell r="A1876" t="str">
            <v>4;17;B2;B;PAQ06a08</v>
          </cell>
          <cell r="B1876">
            <v>730069</v>
          </cell>
          <cell r="C1876" t="str">
            <v>B2</v>
          </cell>
          <cell r="D1876" t="str">
            <v>BALEARES AÉREO 2</v>
          </cell>
          <cell r="E1876" t="str">
            <v>17</v>
          </cell>
          <cell r="F1876" t="str">
            <v>PAQ06a08</v>
          </cell>
          <cell r="G1876" t="str">
            <v>B</v>
          </cell>
          <cell r="H1876">
            <v>8</v>
          </cell>
        </row>
        <row r="1877">
          <cell r="A1877" t="str">
            <v>4;17;B2;B;PAQ08a10</v>
          </cell>
          <cell r="B1877">
            <v>730069</v>
          </cell>
          <cell r="C1877" t="str">
            <v>B2</v>
          </cell>
          <cell r="D1877" t="str">
            <v>BALEARES AÉREO 2</v>
          </cell>
          <cell r="E1877" t="str">
            <v>17</v>
          </cell>
          <cell r="F1877" t="str">
            <v>PAQ08a10</v>
          </cell>
          <cell r="G1877" t="str">
            <v>B</v>
          </cell>
          <cell r="H1877">
            <v>8</v>
          </cell>
        </row>
        <row r="1878">
          <cell r="A1878" t="str">
            <v>1;17;B2;B;PAQ08a10</v>
          </cell>
          <cell r="B1878">
            <v>730069</v>
          </cell>
          <cell r="C1878" t="str">
            <v>B2</v>
          </cell>
          <cell r="D1878" t="str">
            <v>BALEARES AÉREO 2</v>
          </cell>
          <cell r="E1878" t="str">
            <v>17</v>
          </cell>
          <cell r="F1878" t="str">
            <v>PAQ08a10</v>
          </cell>
          <cell r="G1878" t="str">
            <v>B</v>
          </cell>
          <cell r="H1878">
            <v>42.67</v>
          </cell>
        </row>
        <row r="1879">
          <cell r="A1879" t="str">
            <v>1;17;B2;B;PAQ10a12</v>
          </cell>
          <cell r="B1879">
            <v>730069</v>
          </cell>
          <cell r="C1879" t="str">
            <v>B2</v>
          </cell>
          <cell r="D1879" t="str">
            <v>BALEARES AÉREO 2</v>
          </cell>
          <cell r="E1879" t="str">
            <v>17</v>
          </cell>
          <cell r="F1879" t="str">
            <v>PAQ10a12</v>
          </cell>
          <cell r="G1879" t="str">
            <v>B</v>
          </cell>
          <cell r="H1879">
            <v>51.9</v>
          </cell>
        </row>
        <row r="1880">
          <cell r="A1880" t="str">
            <v>4;17;B2;B;PAQ10a12</v>
          </cell>
          <cell r="B1880">
            <v>730069</v>
          </cell>
          <cell r="C1880" t="str">
            <v>B2</v>
          </cell>
          <cell r="D1880" t="str">
            <v>BALEARES AÉREO 2</v>
          </cell>
          <cell r="E1880" t="str">
            <v>17</v>
          </cell>
          <cell r="F1880" t="str">
            <v>PAQ10a12</v>
          </cell>
          <cell r="G1880" t="str">
            <v>B</v>
          </cell>
          <cell r="H1880">
            <v>8</v>
          </cell>
        </row>
        <row r="1881">
          <cell r="A1881" t="str">
            <v>4;17;B2;B;PAQ12a14</v>
          </cell>
          <cell r="B1881">
            <v>730069</v>
          </cell>
          <cell r="C1881" t="str">
            <v>B2</v>
          </cell>
          <cell r="D1881" t="str">
            <v>BALEARES AÉREO 2</v>
          </cell>
          <cell r="E1881" t="str">
            <v>17</v>
          </cell>
          <cell r="F1881" t="str">
            <v>PAQ12a14</v>
          </cell>
          <cell r="G1881" t="str">
            <v>B</v>
          </cell>
          <cell r="H1881">
            <v>8</v>
          </cell>
        </row>
        <row r="1882">
          <cell r="A1882" t="str">
            <v>1;17;B2;B;PAQ12a14</v>
          </cell>
          <cell r="B1882">
            <v>730069</v>
          </cell>
          <cell r="C1882" t="str">
            <v>B2</v>
          </cell>
          <cell r="D1882" t="str">
            <v>BALEARES AÉREO 2</v>
          </cell>
          <cell r="E1882" t="str">
            <v>17</v>
          </cell>
          <cell r="F1882" t="str">
            <v>PAQ12a14</v>
          </cell>
          <cell r="G1882" t="str">
            <v>B</v>
          </cell>
          <cell r="H1882">
            <v>61.21</v>
          </cell>
        </row>
        <row r="1883">
          <cell r="A1883" t="str">
            <v>4;17;B2;B;PAQ14a16</v>
          </cell>
          <cell r="B1883">
            <v>730069</v>
          </cell>
          <cell r="C1883" t="str">
            <v>B2</v>
          </cell>
          <cell r="D1883" t="str">
            <v>BALEARES AÉREO 2</v>
          </cell>
          <cell r="E1883" t="str">
            <v>17</v>
          </cell>
          <cell r="F1883" t="str">
            <v>PAQ14a16</v>
          </cell>
          <cell r="G1883" t="str">
            <v>B</v>
          </cell>
          <cell r="H1883">
            <v>8</v>
          </cell>
        </row>
        <row r="1884">
          <cell r="A1884" t="str">
            <v>1;17;B2;B;PAQ14a16</v>
          </cell>
          <cell r="B1884">
            <v>730069</v>
          </cell>
          <cell r="C1884" t="str">
            <v>B2</v>
          </cell>
          <cell r="D1884" t="str">
            <v>BALEARES AÉREO 2</v>
          </cell>
          <cell r="E1884" t="str">
            <v>17</v>
          </cell>
          <cell r="F1884" t="str">
            <v>PAQ14a16</v>
          </cell>
          <cell r="G1884" t="str">
            <v>B</v>
          </cell>
          <cell r="H1884">
            <v>70.59</v>
          </cell>
        </row>
        <row r="1885">
          <cell r="A1885" t="str">
            <v>4;17;B2;B;PAQ16a18</v>
          </cell>
          <cell r="B1885">
            <v>730069</v>
          </cell>
          <cell r="C1885" t="str">
            <v>B2</v>
          </cell>
          <cell r="D1885" t="str">
            <v>BALEARES AÉREO 2</v>
          </cell>
          <cell r="E1885" t="str">
            <v>17</v>
          </cell>
          <cell r="F1885" t="str">
            <v>PAQ16a18</v>
          </cell>
          <cell r="G1885" t="str">
            <v>B</v>
          </cell>
          <cell r="H1885">
            <v>8</v>
          </cell>
        </row>
        <row r="1886">
          <cell r="A1886" t="str">
            <v>1;17;B2;B;PAQ16a18</v>
          </cell>
          <cell r="B1886">
            <v>730069</v>
          </cell>
          <cell r="C1886" t="str">
            <v>B2</v>
          </cell>
          <cell r="D1886" t="str">
            <v>BALEARES AÉREO 2</v>
          </cell>
          <cell r="E1886" t="str">
            <v>17</v>
          </cell>
          <cell r="F1886" t="str">
            <v>PAQ16a18</v>
          </cell>
          <cell r="G1886" t="str">
            <v>B</v>
          </cell>
          <cell r="H1886">
            <v>80</v>
          </cell>
        </row>
        <row r="1887">
          <cell r="A1887" t="str">
            <v>4;17;B2;B;PAQ18a20</v>
          </cell>
          <cell r="B1887">
            <v>730069</v>
          </cell>
          <cell r="C1887" t="str">
            <v>B2</v>
          </cell>
          <cell r="D1887" t="str">
            <v>BALEARES AÉREO 2</v>
          </cell>
          <cell r="E1887" t="str">
            <v>17</v>
          </cell>
          <cell r="F1887" t="str">
            <v>PAQ18a20</v>
          </cell>
          <cell r="G1887" t="str">
            <v>B</v>
          </cell>
          <cell r="H1887">
            <v>8</v>
          </cell>
        </row>
        <row r="1888">
          <cell r="A1888" t="str">
            <v>1;17;B2;B;PAQ18a20</v>
          </cell>
          <cell r="B1888">
            <v>730069</v>
          </cell>
          <cell r="C1888" t="str">
            <v>B2</v>
          </cell>
          <cell r="D1888" t="str">
            <v>BALEARES AÉREO 2</v>
          </cell>
          <cell r="E1888" t="str">
            <v>17</v>
          </cell>
          <cell r="F1888" t="str">
            <v>PAQ18a20</v>
          </cell>
          <cell r="G1888" t="str">
            <v>B</v>
          </cell>
          <cell r="H1888">
            <v>89.42</v>
          </cell>
        </row>
        <row r="1889">
          <cell r="A1889" t="str">
            <v>4;17;B2;B;PAQ20a22</v>
          </cell>
          <cell r="B1889">
            <v>730069</v>
          </cell>
          <cell r="C1889" t="str">
            <v>B2</v>
          </cell>
          <cell r="D1889" t="str">
            <v>BALEARES AÉREO 2</v>
          </cell>
          <cell r="E1889" t="str">
            <v>17</v>
          </cell>
          <cell r="F1889" t="str">
            <v>PAQ20a22</v>
          </cell>
          <cell r="G1889" t="str">
            <v>B</v>
          </cell>
          <cell r="H1889">
            <v>8</v>
          </cell>
        </row>
        <row r="1890">
          <cell r="A1890" t="str">
            <v>1;17;B2;B;PAQ20a22</v>
          </cell>
          <cell r="B1890">
            <v>730069</v>
          </cell>
          <cell r="C1890" t="str">
            <v>B2</v>
          </cell>
          <cell r="D1890" t="str">
            <v>BALEARES AÉREO 2</v>
          </cell>
          <cell r="E1890" t="str">
            <v>17</v>
          </cell>
          <cell r="F1890" t="str">
            <v>PAQ20a22</v>
          </cell>
          <cell r="G1890" t="str">
            <v>B</v>
          </cell>
          <cell r="H1890">
            <v>98.89</v>
          </cell>
        </row>
        <row r="1891">
          <cell r="A1891" t="str">
            <v>1;17;B2;B;PAQ22a24</v>
          </cell>
          <cell r="B1891">
            <v>730069</v>
          </cell>
          <cell r="C1891" t="str">
            <v>B2</v>
          </cell>
          <cell r="D1891" t="str">
            <v>BALEARES AÉREO 2</v>
          </cell>
          <cell r="E1891" t="str">
            <v>17</v>
          </cell>
          <cell r="F1891" t="str">
            <v>PAQ22a24</v>
          </cell>
          <cell r="G1891" t="str">
            <v>B</v>
          </cell>
          <cell r="H1891">
            <v>108.38</v>
          </cell>
        </row>
        <row r="1892">
          <cell r="A1892" t="str">
            <v>4;17;B2;B;PAQ22a24</v>
          </cell>
          <cell r="B1892">
            <v>730069</v>
          </cell>
          <cell r="C1892" t="str">
            <v>B2</v>
          </cell>
          <cell r="D1892" t="str">
            <v>BALEARES AÉREO 2</v>
          </cell>
          <cell r="E1892" t="str">
            <v>17</v>
          </cell>
          <cell r="F1892" t="str">
            <v>PAQ22a24</v>
          </cell>
          <cell r="G1892" t="str">
            <v>B</v>
          </cell>
          <cell r="H1892">
            <v>8</v>
          </cell>
        </row>
        <row r="1893">
          <cell r="A1893" t="str">
            <v>4;17;B2;B;PAQ24a26</v>
          </cell>
          <cell r="B1893">
            <v>730069</v>
          </cell>
          <cell r="C1893" t="str">
            <v>B2</v>
          </cell>
          <cell r="D1893" t="str">
            <v>BALEARES AÉREO 2</v>
          </cell>
          <cell r="E1893" t="str">
            <v>17</v>
          </cell>
          <cell r="F1893" t="str">
            <v>PAQ24a26</v>
          </cell>
          <cell r="G1893" t="str">
            <v>B</v>
          </cell>
          <cell r="H1893">
            <v>8</v>
          </cell>
        </row>
        <row r="1894">
          <cell r="A1894" t="str">
            <v>1;17;B2;B;PAQ24a26</v>
          </cell>
          <cell r="B1894">
            <v>730069</v>
          </cell>
          <cell r="C1894" t="str">
            <v>B2</v>
          </cell>
          <cell r="D1894" t="str">
            <v>BALEARES AÉREO 2</v>
          </cell>
          <cell r="E1894" t="str">
            <v>17</v>
          </cell>
          <cell r="F1894" t="str">
            <v>PAQ24a26</v>
          </cell>
          <cell r="G1894" t="str">
            <v>B</v>
          </cell>
          <cell r="H1894">
            <v>117.89</v>
          </cell>
        </row>
        <row r="1895">
          <cell r="A1895" t="str">
            <v>1;17;B2;B;PAQ26a28</v>
          </cell>
          <cell r="B1895">
            <v>730069</v>
          </cell>
          <cell r="C1895" t="str">
            <v>B2</v>
          </cell>
          <cell r="D1895" t="str">
            <v>BALEARES AÉREO 2</v>
          </cell>
          <cell r="E1895" t="str">
            <v>17</v>
          </cell>
          <cell r="F1895" t="str">
            <v>PAQ26a28</v>
          </cell>
          <cell r="G1895" t="str">
            <v>B</v>
          </cell>
          <cell r="H1895">
            <v>127.4</v>
          </cell>
        </row>
        <row r="1896">
          <cell r="A1896" t="str">
            <v>4;17;B2;B;PAQ26a28</v>
          </cell>
          <cell r="B1896">
            <v>730069</v>
          </cell>
          <cell r="C1896" t="str">
            <v>B2</v>
          </cell>
          <cell r="D1896" t="str">
            <v>BALEARES AÉREO 2</v>
          </cell>
          <cell r="E1896" t="str">
            <v>17</v>
          </cell>
          <cell r="F1896" t="str">
            <v>PAQ26a28</v>
          </cell>
          <cell r="G1896" t="str">
            <v>B</v>
          </cell>
          <cell r="H1896">
            <v>8</v>
          </cell>
        </row>
        <row r="1897">
          <cell r="A1897" t="str">
            <v>1;17;B2;B;PAQ28a30</v>
          </cell>
          <cell r="B1897">
            <v>730069</v>
          </cell>
          <cell r="C1897" t="str">
            <v>B2</v>
          </cell>
          <cell r="D1897" t="str">
            <v>BALEARES AÉREO 2</v>
          </cell>
          <cell r="E1897" t="str">
            <v>17</v>
          </cell>
          <cell r="F1897" t="str">
            <v>PAQ28a30</v>
          </cell>
          <cell r="G1897" t="str">
            <v>B</v>
          </cell>
          <cell r="H1897">
            <v>136.93</v>
          </cell>
        </row>
        <row r="1898">
          <cell r="A1898" t="str">
            <v>4;17;B2;B;PAQ28a30</v>
          </cell>
          <cell r="B1898">
            <v>730069</v>
          </cell>
          <cell r="C1898" t="str">
            <v>B2</v>
          </cell>
          <cell r="D1898" t="str">
            <v>BALEARES AÉREO 2</v>
          </cell>
          <cell r="E1898" t="str">
            <v>17</v>
          </cell>
          <cell r="F1898" t="str">
            <v>PAQ28a30</v>
          </cell>
          <cell r="G1898" t="str">
            <v>B</v>
          </cell>
          <cell r="H1898">
            <v>8</v>
          </cell>
        </row>
        <row r="1899">
          <cell r="A1899" t="str">
            <v>1;17;B2;B;PAQ30a32</v>
          </cell>
          <cell r="B1899">
            <v>730069</v>
          </cell>
          <cell r="C1899" t="str">
            <v>B2</v>
          </cell>
          <cell r="D1899" t="str">
            <v>BALEARES AÉREO 2</v>
          </cell>
          <cell r="E1899" t="str">
            <v>17</v>
          </cell>
          <cell r="F1899" t="str">
            <v>PAQ30a32</v>
          </cell>
          <cell r="G1899" t="str">
            <v>B</v>
          </cell>
          <cell r="H1899">
            <v>146.46</v>
          </cell>
        </row>
        <row r="1900">
          <cell r="A1900" t="str">
            <v>4;17;B2;B;PAQ30a32</v>
          </cell>
          <cell r="B1900">
            <v>730069</v>
          </cell>
          <cell r="C1900" t="str">
            <v>B2</v>
          </cell>
          <cell r="D1900" t="str">
            <v>BALEARES AÉREO 2</v>
          </cell>
          <cell r="E1900" t="str">
            <v>17</v>
          </cell>
          <cell r="F1900" t="str">
            <v>PAQ30a32</v>
          </cell>
          <cell r="G1900" t="str">
            <v>B</v>
          </cell>
          <cell r="H1900">
            <v>8</v>
          </cell>
        </row>
        <row r="1901">
          <cell r="A1901" t="str">
            <v>4;17;B2;B;PAQ32a34</v>
          </cell>
          <cell r="B1901">
            <v>730069</v>
          </cell>
          <cell r="C1901" t="str">
            <v>B2</v>
          </cell>
          <cell r="D1901" t="str">
            <v>BALEARES AÉREO 2</v>
          </cell>
          <cell r="E1901" t="str">
            <v>17</v>
          </cell>
          <cell r="F1901" t="str">
            <v>PAQ32a34</v>
          </cell>
          <cell r="G1901" t="str">
            <v>B</v>
          </cell>
          <cell r="H1901">
            <v>8</v>
          </cell>
        </row>
        <row r="1902">
          <cell r="A1902" t="str">
            <v>1;17;B2;B;PAQ32a34</v>
          </cell>
          <cell r="B1902">
            <v>730069</v>
          </cell>
          <cell r="C1902" t="str">
            <v>B2</v>
          </cell>
          <cell r="D1902" t="str">
            <v>BALEARES AÉREO 2</v>
          </cell>
          <cell r="E1902" t="str">
            <v>17</v>
          </cell>
          <cell r="F1902" t="str">
            <v>PAQ32a34</v>
          </cell>
          <cell r="G1902" t="str">
            <v>B</v>
          </cell>
          <cell r="H1902">
            <v>155.99</v>
          </cell>
        </row>
        <row r="1903">
          <cell r="A1903" t="str">
            <v>1;17;B2;B;PAQ34a36</v>
          </cell>
          <cell r="B1903">
            <v>730069</v>
          </cell>
          <cell r="C1903" t="str">
            <v>B2</v>
          </cell>
          <cell r="D1903" t="str">
            <v>BALEARES AÉREO 2</v>
          </cell>
          <cell r="E1903" t="str">
            <v>17</v>
          </cell>
          <cell r="F1903" t="str">
            <v>PAQ34a36</v>
          </cell>
          <cell r="G1903" t="str">
            <v>B</v>
          </cell>
          <cell r="H1903">
            <v>165.54</v>
          </cell>
        </row>
        <row r="1904">
          <cell r="A1904" t="str">
            <v>4;17;B2;B;PAQ34a36</v>
          </cell>
          <cell r="B1904">
            <v>730069</v>
          </cell>
          <cell r="C1904" t="str">
            <v>B2</v>
          </cell>
          <cell r="D1904" t="str">
            <v>BALEARES AÉREO 2</v>
          </cell>
          <cell r="E1904" t="str">
            <v>17</v>
          </cell>
          <cell r="F1904" t="str">
            <v>PAQ34a36</v>
          </cell>
          <cell r="G1904" t="str">
            <v>B</v>
          </cell>
          <cell r="H1904">
            <v>8</v>
          </cell>
        </row>
        <row r="1905">
          <cell r="A1905" t="str">
            <v>4;17;B2;B;PAQ36a38</v>
          </cell>
          <cell r="B1905">
            <v>730069</v>
          </cell>
          <cell r="C1905" t="str">
            <v>B2</v>
          </cell>
          <cell r="D1905" t="str">
            <v>BALEARES AÉREO 2</v>
          </cell>
          <cell r="E1905" t="str">
            <v>17</v>
          </cell>
          <cell r="F1905" t="str">
            <v>PAQ36a38</v>
          </cell>
          <cell r="G1905" t="str">
            <v>B</v>
          </cell>
          <cell r="H1905">
            <v>8</v>
          </cell>
        </row>
        <row r="1906">
          <cell r="A1906" t="str">
            <v>1;17;B2;B;PAQ36a38</v>
          </cell>
          <cell r="B1906">
            <v>730069</v>
          </cell>
          <cell r="C1906" t="str">
            <v>B2</v>
          </cell>
          <cell r="D1906" t="str">
            <v>BALEARES AÉREO 2</v>
          </cell>
          <cell r="E1906" t="str">
            <v>17</v>
          </cell>
          <cell r="F1906" t="str">
            <v>PAQ36a38</v>
          </cell>
          <cell r="G1906" t="str">
            <v>B</v>
          </cell>
          <cell r="H1906">
            <v>175.09</v>
          </cell>
        </row>
        <row r="1907">
          <cell r="A1907" t="str">
            <v>1;17;B2;B;PAQ38a40</v>
          </cell>
          <cell r="B1907">
            <v>730069</v>
          </cell>
          <cell r="C1907" t="str">
            <v>B2</v>
          </cell>
          <cell r="D1907" t="str">
            <v>BALEARES AÉREO 2</v>
          </cell>
          <cell r="E1907" t="str">
            <v>17</v>
          </cell>
          <cell r="F1907" t="str">
            <v>PAQ38a40</v>
          </cell>
          <cell r="G1907" t="str">
            <v>B</v>
          </cell>
          <cell r="H1907">
            <v>184.63</v>
          </cell>
        </row>
        <row r="1908">
          <cell r="A1908" t="str">
            <v>4;17;B2;F;</v>
          </cell>
          <cell r="B1908">
            <v>730069</v>
          </cell>
          <cell r="C1908" t="str">
            <v>B2</v>
          </cell>
          <cell r="D1908" t="str">
            <v>BALEARES AÉREO 2</v>
          </cell>
          <cell r="E1908" t="str">
            <v>17</v>
          </cell>
          <cell r="F1908" t="str">
            <v/>
          </cell>
          <cell r="G1908" t="str">
            <v>F</v>
          </cell>
          <cell r="H1908">
            <v>0</v>
          </cell>
        </row>
        <row r="1909">
          <cell r="A1909" t="str">
            <v>4;17;B2;B;PAQ38a40</v>
          </cell>
          <cell r="B1909">
            <v>730069</v>
          </cell>
          <cell r="C1909" t="str">
            <v>B2</v>
          </cell>
          <cell r="D1909" t="str">
            <v>BALEARES AÉREO 2</v>
          </cell>
          <cell r="E1909" t="str">
            <v>17</v>
          </cell>
          <cell r="F1909" t="str">
            <v>PAQ38a40</v>
          </cell>
          <cell r="G1909" t="str">
            <v>B</v>
          </cell>
          <cell r="H1909">
            <v>8</v>
          </cell>
        </row>
        <row r="1910">
          <cell r="A1910" t="str">
            <v>1;17;B2;F;</v>
          </cell>
          <cell r="B1910">
            <v>730069</v>
          </cell>
          <cell r="C1910" t="str">
            <v>B2</v>
          </cell>
          <cell r="D1910" t="str">
            <v>BALEARES AÉREO 2</v>
          </cell>
          <cell r="E1910" t="str">
            <v>17</v>
          </cell>
          <cell r="F1910" t="str">
            <v/>
          </cell>
          <cell r="G1910" t="str">
            <v>F</v>
          </cell>
          <cell r="H1910">
            <v>9.6</v>
          </cell>
        </row>
        <row r="1911">
          <cell r="A1911" t="str">
            <v>4;17;B2;P;</v>
          </cell>
          <cell r="B1911">
            <v>730069</v>
          </cell>
          <cell r="C1911" t="str">
            <v>B2</v>
          </cell>
          <cell r="D1911" t="str">
            <v>BALEARES AÉREO 2</v>
          </cell>
          <cell r="E1911" t="str">
            <v>17</v>
          </cell>
          <cell r="F1911" t="str">
            <v/>
          </cell>
          <cell r="G1911" t="str">
            <v>P</v>
          </cell>
          <cell r="H1911">
            <v>0</v>
          </cell>
        </row>
        <row r="1912">
          <cell r="A1912" t="str">
            <v>1;17;B2;E;</v>
          </cell>
          <cell r="B1912">
            <v>730069</v>
          </cell>
          <cell r="C1912" t="str">
            <v>B2</v>
          </cell>
          <cell r="D1912" t="str">
            <v>BALEARES AÉREO 2</v>
          </cell>
          <cell r="E1912" t="str">
            <v>17</v>
          </cell>
          <cell r="F1912" t="str">
            <v/>
          </cell>
          <cell r="G1912" t="str">
            <v>E</v>
          </cell>
          <cell r="H1912">
            <v>0</v>
          </cell>
        </row>
        <row r="1913">
          <cell r="A1913" t="str">
            <v>1;17;B2;P;</v>
          </cell>
          <cell r="B1913">
            <v>730069</v>
          </cell>
          <cell r="C1913" t="str">
            <v>B2</v>
          </cell>
          <cell r="D1913" t="str">
            <v>BALEARES AÉREO 2</v>
          </cell>
          <cell r="E1913" t="str">
            <v>17</v>
          </cell>
          <cell r="F1913" t="str">
            <v/>
          </cell>
          <cell r="G1913" t="str">
            <v>P</v>
          </cell>
          <cell r="H1913">
            <v>0</v>
          </cell>
        </row>
        <row r="1914">
          <cell r="A1914" t="str">
            <v>4;17;B2;E;</v>
          </cell>
          <cell r="B1914">
            <v>730069</v>
          </cell>
          <cell r="C1914" t="str">
            <v>B2</v>
          </cell>
          <cell r="D1914" t="str">
            <v>BALEARES AÉREO 2</v>
          </cell>
          <cell r="E1914" t="str">
            <v>17</v>
          </cell>
          <cell r="F1914" t="str">
            <v/>
          </cell>
          <cell r="G1914" t="str">
            <v>E</v>
          </cell>
          <cell r="H1914">
            <v>0</v>
          </cell>
        </row>
        <row r="1915">
          <cell r="A1915" t="str">
            <v>4;21;B2;B;BAG</v>
          </cell>
          <cell r="B1915">
            <v>730069</v>
          </cell>
          <cell r="C1915" t="str">
            <v>B2</v>
          </cell>
          <cell r="D1915" t="str">
            <v>BALEARES AÉREO 2</v>
          </cell>
          <cell r="E1915" t="str">
            <v>21</v>
          </cell>
          <cell r="F1915" t="str">
            <v>BAG</v>
          </cell>
          <cell r="G1915" t="str">
            <v>B</v>
          </cell>
          <cell r="H1915">
            <v>8</v>
          </cell>
        </row>
        <row r="1916">
          <cell r="A1916" t="str">
            <v>1;21;B2;B;BAG</v>
          </cell>
          <cell r="B1916">
            <v>730069</v>
          </cell>
          <cell r="C1916" t="str">
            <v>B2</v>
          </cell>
          <cell r="D1916" t="str">
            <v>BALEARES AÉREO 2</v>
          </cell>
          <cell r="E1916" t="str">
            <v>21</v>
          </cell>
          <cell r="F1916" t="str">
            <v>BAG</v>
          </cell>
          <cell r="G1916" t="str">
            <v>B</v>
          </cell>
          <cell r="H1916">
            <v>26.89</v>
          </cell>
        </row>
        <row r="1917">
          <cell r="A1917" t="str">
            <v>4;21;B2;B;PAQ00a02</v>
          </cell>
          <cell r="B1917">
            <v>730069</v>
          </cell>
          <cell r="C1917" t="str">
            <v>B2</v>
          </cell>
          <cell r="D1917" t="str">
            <v>BALEARES AÉREO 2</v>
          </cell>
          <cell r="E1917" t="str">
            <v>21</v>
          </cell>
          <cell r="F1917" t="str">
            <v>PAQ00a02</v>
          </cell>
          <cell r="G1917" t="str">
            <v>B</v>
          </cell>
          <cell r="H1917">
            <v>8</v>
          </cell>
        </row>
        <row r="1918">
          <cell r="A1918" t="str">
            <v>1;21;B2;B;PAQ00a02</v>
          </cell>
          <cell r="B1918">
            <v>730069</v>
          </cell>
          <cell r="C1918" t="str">
            <v>B2</v>
          </cell>
          <cell r="D1918" t="str">
            <v>BALEARES AÉREO 2</v>
          </cell>
          <cell r="E1918" t="str">
            <v>21</v>
          </cell>
          <cell r="F1918" t="str">
            <v>PAQ00a02</v>
          </cell>
          <cell r="G1918" t="str">
            <v>B</v>
          </cell>
          <cell r="H1918">
            <v>30.28</v>
          </cell>
        </row>
        <row r="1919">
          <cell r="A1919" t="str">
            <v>1;21;B2;B;PAQ02a04</v>
          </cell>
          <cell r="B1919">
            <v>730069</v>
          </cell>
          <cell r="C1919" t="str">
            <v>B2</v>
          </cell>
          <cell r="D1919" t="str">
            <v>BALEARES AÉREO 2</v>
          </cell>
          <cell r="E1919" t="str">
            <v>21</v>
          </cell>
          <cell r="F1919" t="str">
            <v>PAQ02a04</v>
          </cell>
          <cell r="G1919" t="str">
            <v>B</v>
          </cell>
          <cell r="H1919">
            <v>43.22</v>
          </cell>
        </row>
        <row r="1920">
          <cell r="A1920" t="str">
            <v>4;21;B2;B;PAQ02a04</v>
          </cell>
          <cell r="B1920">
            <v>730069</v>
          </cell>
          <cell r="C1920" t="str">
            <v>B2</v>
          </cell>
          <cell r="D1920" t="str">
            <v>BALEARES AÉREO 2</v>
          </cell>
          <cell r="E1920" t="str">
            <v>21</v>
          </cell>
          <cell r="F1920" t="str">
            <v>PAQ02a04</v>
          </cell>
          <cell r="G1920" t="str">
            <v>B</v>
          </cell>
          <cell r="H1920">
            <v>8</v>
          </cell>
        </row>
        <row r="1921">
          <cell r="A1921" t="str">
            <v>1;21;B2;B;PAQ04a06</v>
          </cell>
          <cell r="B1921">
            <v>730069</v>
          </cell>
          <cell r="C1921" t="str">
            <v>B2</v>
          </cell>
          <cell r="D1921" t="str">
            <v>BALEARES AÉREO 2</v>
          </cell>
          <cell r="E1921" t="str">
            <v>21</v>
          </cell>
          <cell r="F1921" t="str">
            <v>PAQ04a06</v>
          </cell>
          <cell r="G1921" t="str">
            <v>B</v>
          </cell>
          <cell r="H1921">
            <v>56.49</v>
          </cell>
        </row>
        <row r="1922">
          <cell r="A1922" t="str">
            <v>4;21;B2;B;PAQ04a06</v>
          </cell>
          <cell r="B1922">
            <v>730069</v>
          </cell>
          <cell r="C1922" t="str">
            <v>B2</v>
          </cell>
          <cell r="D1922" t="str">
            <v>BALEARES AÉREO 2</v>
          </cell>
          <cell r="E1922" t="str">
            <v>21</v>
          </cell>
          <cell r="F1922" t="str">
            <v>PAQ04a06</v>
          </cell>
          <cell r="G1922" t="str">
            <v>B</v>
          </cell>
          <cell r="H1922">
            <v>8</v>
          </cell>
        </row>
        <row r="1923">
          <cell r="A1923" t="str">
            <v>4;21;B2;B;PAQ06a08</v>
          </cell>
          <cell r="B1923">
            <v>730069</v>
          </cell>
          <cell r="C1923" t="str">
            <v>B2</v>
          </cell>
          <cell r="D1923" t="str">
            <v>BALEARES AÉREO 2</v>
          </cell>
          <cell r="E1923" t="str">
            <v>21</v>
          </cell>
          <cell r="F1923" t="str">
            <v>PAQ06a08</v>
          </cell>
          <cell r="G1923" t="str">
            <v>B</v>
          </cell>
          <cell r="H1923">
            <v>8</v>
          </cell>
        </row>
        <row r="1924">
          <cell r="A1924" t="str">
            <v>1;21;B2;B;PAQ06a08</v>
          </cell>
          <cell r="B1924">
            <v>730069</v>
          </cell>
          <cell r="C1924" t="str">
            <v>B2</v>
          </cell>
          <cell r="D1924" t="str">
            <v>BALEARES AÉREO 2</v>
          </cell>
          <cell r="E1924" t="str">
            <v>21</v>
          </cell>
          <cell r="F1924" t="str">
            <v>PAQ06a08</v>
          </cell>
          <cell r="G1924" t="str">
            <v>B</v>
          </cell>
          <cell r="H1924">
            <v>69.760000000000005</v>
          </cell>
        </row>
        <row r="1925">
          <cell r="A1925" t="str">
            <v>4;21;B2;B;PAQ08a10</v>
          </cell>
          <cell r="B1925">
            <v>730069</v>
          </cell>
          <cell r="C1925" t="str">
            <v>B2</v>
          </cell>
          <cell r="D1925" t="str">
            <v>BALEARES AÉREO 2</v>
          </cell>
          <cell r="E1925" t="str">
            <v>21</v>
          </cell>
          <cell r="F1925" t="str">
            <v>PAQ08a10</v>
          </cell>
          <cell r="G1925" t="str">
            <v>B</v>
          </cell>
          <cell r="H1925">
            <v>8</v>
          </cell>
        </row>
        <row r="1926">
          <cell r="A1926" t="str">
            <v>1;21;B2;B;PAQ08a10</v>
          </cell>
          <cell r="B1926">
            <v>730069</v>
          </cell>
          <cell r="C1926" t="str">
            <v>B2</v>
          </cell>
          <cell r="D1926" t="str">
            <v>BALEARES AÉREO 2</v>
          </cell>
          <cell r="E1926" t="str">
            <v>21</v>
          </cell>
          <cell r="F1926" t="str">
            <v>PAQ08a10</v>
          </cell>
          <cell r="G1926" t="str">
            <v>B</v>
          </cell>
          <cell r="H1926">
            <v>83.03</v>
          </cell>
        </row>
        <row r="1927">
          <cell r="A1927" t="str">
            <v>4;21;B2;B;PAQ10a12</v>
          </cell>
          <cell r="B1927">
            <v>730069</v>
          </cell>
          <cell r="C1927" t="str">
            <v>B2</v>
          </cell>
          <cell r="D1927" t="str">
            <v>BALEARES AÉREO 2</v>
          </cell>
          <cell r="E1927" t="str">
            <v>21</v>
          </cell>
          <cell r="F1927" t="str">
            <v>PAQ10a12</v>
          </cell>
          <cell r="G1927" t="str">
            <v>B</v>
          </cell>
          <cell r="H1927">
            <v>8</v>
          </cell>
        </row>
        <row r="1928">
          <cell r="A1928" t="str">
            <v>1;21;B2;B;PAQ10a12</v>
          </cell>
          <cell r="B1928">
            <v>730069</v>
          </cell>
          <cell r="C1928" t="str">
            <v>B2</v>
          </cell>
          <cell r="D1928" t="str">
            <v>BALEARES AÉREO 2</v>
          </cell>
          <cell r="E1928" t="str">
            <v>21</v>
          </cell>
          <cell r="F1928" t="str">
            <v>PAQ10a12</v>
          </cell>
          <cell r="G1928" t="str">
            <v>B</v>
          </cell>
          <cell r="H1928">
            <v>96.31</v>
          </cell>
        </row>
        <row r="1929">
          <cell r="A1929" t="str">
            <v>1;21;B2;B;PAQ12a14</v>
          </cell>
          <cell r="B1929">
            <v>730069</v>
          </cell>
          <cell r="C1929" t="str">
            <v>B2</v>
          </cell>
          <cell r="D1929" t="str">
            <v>BALEARES AÉREO 2</v>
          </cell>
          <cell r="E1929" t="str">
            <v>21</v>
          </cell>
          <cell r="F1929" t="str">
            <v>PAQ12a14</v>
          </cell>
          <cell r="G1929" t="str">
            <v>B</v>
          </cell>
          <cell r="H1929">
            <v>109.56</v>
          </cell>
        </row>
        <row r="1930">
          <cell r="A1930" t="str">
            <v>4;21;B2;B;PAQ12a14</v>
          </cell>
          <cell r="B1930">
            <v>730069</v>
          </cell>
          <cell r="C1930" t="str">
            <v>B2</v>
          </cell>
          <cell r="D1930" t="str">
            <v>BALEARES AÉREO 2</v>
          </cell>
          <cell r="E1930" t="str">
            <v>21</v>
          </cell>
          <cell r="F1930" t="str">
            <v>PAQ12a14</v>
          </cell>
          <cell r="G1930" t="str">
            <v>B</v>
          </cell>
          <cell r="H1930">
            <v>8</v>
          </cell>
        </row>
        <row r="1931">
          <cell r="A1931" t="str">
            <v>4;21;B2;B;PAQ14a16</v>
          </cell>
          <cell r="B1931">
            <v>730069</v>
          </cell>
          <cell r="C1931" t="str">
            <v>B2</v>
          </cell>
          <cell r="D1931" t="str">
            <v>BALEARES AÉREO 2</v>
          </cell>
          <cell r="E1931" t="str">
            <v>21</v>
          </cell>
          <cell r="F1931" t="str">
            <v>PAQ14a16</v>
          </cell>
          <cell r="G1931" t="str">
            <v>B</v>
          </cell>
          <cell r="H1931">
            <v>8</v>
          </cell>
        </row>
        <row r="1932">
          <cell r="A1932" t="str">
            <v>1;21;B2;B;PAQ14a16</v>
          </cell>
          <cell r="B1932">
            <v>730069</v>
          </cell>
          <cell r="C1932" t="str">
            <v>B2</v>
          </cell>
          <cell r="D1932" t="str">
            <v>BALEARES AÉREO 2</v>
          </cell>
          <cell r="E1932" t="str">
            <v>21</v>
          </cell>
          <cell r="F1932" t="str">
            <v>PAQ14a16</v>
          </cell>
          <cell r="G1932" t="str">
            <v>B</v>
          </cell>
          <cell r="H1932">
            <v>122.84</v>
          </cell>
        </row>
        <row r="1933">
          <cell r="A1933" t="str">
            <v>1;21;B2;B;PAQ16a18</v>
          </cell>
          <cell r="B1933">
            <v>730069</v>
          </cell>
          <cell r="C1933" t="str">
            <v>B2</v>
          </cell>
          <cell r="D1933" t="str">
            <v>BALEARES AÉREO 2</v>
          </cell>
          <cell r="E1933" t="str">
            <v>21</v>
          </cell>
          <cell r="F1933" t="str">
            <v>PAQ16a18</v>
          </cell>
          <cell r="G1933" t="str">
            <v>B</v>
          </cell>
          <cell r="H1933">
            <v>136.1</v>
          </cell>
        </row>
        <row r="1934">
          <cell r="A1934" t="str">
            <v>4;21;B2;B;PAQ16a18</v>
          </cell>
          <cell r="B1934">
            <v>730069</v>
          </cell>
          <cell r="C1934" t="str">
            <v>B2</v>
          </cell>
          <cell r="D1934" t="str">
            <v>BALEARES AÉREO 2</v>
          </cell>
          <cell r="E1934" t="str">
            <v>21</v>
          </cell>
          <cell r="F1934" t="str">
            <v>PAQ16a18</v>
          </cell>
          <cell r="G1934" t="str">
            <v>B</v>
          </cell>
          <cell r="H1934">
            <v>8</v>
          </cell>
        </row>
        <row r="1935">
          <cell r="A1935" t="str">
            <v>1;21;B2;B;PAQ18a20</v>
          </cell>
          <cell r="B1935">
            <v>730069</v>
          </cell>
          <cell r="C1935" t="str">
            <v>B2</v>
          </cell>
          <cell r="D1935" t="str">
            <v>BALEARES AÉREO 2</v>
          </cell>
          <cell r="E1935" t="str">
            <v>21</v>
          </cell>
          <cell r="F1935" t="str">
            <v>PAQ18a20</v>
          </cell>
          <cell r="G1935" t="str">
            <v>B</v>
          </cell>
          <cell r="H1935">
            <v>149.38</v>
          </cell>
        </row>
        <row r="1936">
          <cell r="A1936" t="str">
            <v>4;21;B2;B;PAQ18a20</v>
          </cell>
          <cell r="B1936">
            <v>730069</v>
          </cell>
          <cell r="C1936" t="str">
            <v>B2</v>
          </cell>
          <cell r="D1936" t="str">
            <v>BALEARES AÉREO 2</v>
          </cell>
          <cell r="E1936" t="str">
            <v>21</v>
          </cell>
          <cell r="F1936" t="str">
            <v>PAQ18a20</v>
          </cell>
          <cell r="G1936" t="str">
            <v>B</v>
          </cell>
          <cell r="H1936">
            <v>8</v>
          </cell>
        </row>
        <row r="1937">
          <cell r="A1937" t="str">
            <v>1;21;B2;B;PAQ20a22</v>
          </cell>
          <cell r="B1937">
            <v>730069</v>
          </cell>
          <cell r="C1937" t="str">
            <v>B2</v>
          </cell>
          <cell r="D1937" t="str">
            <v>BALEARES AÉREO 2</v>
          </cell>
          <cell r="E1937" t="str">
            <v>21</v>
          </cell>
          <cell r="F1937" t="str">
            <v>PAQ20a22</v>
          </cell>
          <cell r="G1937" t="str">
            <v>B</v>
          </cell>
          <cell r="H1937">
            <v>162.65</v>
          </cell>
        </row>
        <row r="1938">
          <cell r="A1938" t="str">
            <v>4;21;B2;B;PAQ20a22</v>
          </cell>
          <cell r="B1938">
            <v>730069</v>
          </cell>
          <cell r="C1938" t="str">
            <v>B2</v>
          </cell>
          <cell r="D1938" t="str">
            <v>BALEARES AÉREO 2</v>
          </cell>
          <cell r="E1938" t="str">
            <v>21</v>
          </cell>
          <cell r="F1938" t="str">
            <v>PAQ20a22</v>
          </cell>
          <cell r="G1938" t="str">
            <v>B</v>
          </cell>
          <cell r="H1938">
            <v>8</v>
          </cell>
        </row>
        <row r="1939">
          <cell r="A1939" t="str">
            <v>4;21;B2;B;PAQ22a24</v>
          </cell>
          <cell r="B1939">
            <v>730069</v>
          </cell>
          <cell r="C1939" t="str">
            <v>B2</v>
          </cell>
          <cell r="D1939" t="str">
            <v>BALEARES AÉREO 2</v>
          </cell>
          <cell r="E1939" t="str">
            <v>21</v>
          </cell>
          <cell r="F1939" t="str">
            <v>PAQ22a24</v>
          </cell>
          <cell r="G1939" t="str">
            <v>B</v>
          </cell>
          <cell r="H1939">
            <v>8</v>
          </cell>
        </row>
        <row r="1940">
          <cell r="A1940" t="str">
            <v>1;21;B2;B;PAQ22a24</v>
          </cell>
          <cell r="B1940">
            <v>730069</v>
          </cell>
          <cell r="C1940" t="str">
            <v>B2</v>
          </cell>
          <cell r="D1940" t="str">
            <v>BALEARES AÉREO 2</v>
          </cell>
          <cell r="E1940" t="str">
            <v>21</v>
          </cell>
          <cell r="F1940" t="str">
            <v>PAQ22a24</v>
          </cell>
          <cell r="G1940" t="str">
            <v>B</v>
          </cell>
          <cell r="H1940">
            <v>175.92</v>
          </cell>
        </row>
        <row r="1941">
          <cell r="A1941" t="str">
            <v>4;21;B2;B;PAQ24a26</v>
          </cell>
          <cell r="B1941">
            <v>730069</v>
          </cell>
          <cell r="C1941" t="str">
            <v>B2</v>
          </cell>
          <cell r="D1941" t="str">
            <v>BALEARES AÉREO 2</v>
          </cell>
          <cell r="E1941" t="str">
            <v>21</v>
          </cell>
          <cell r="F1941" t="str">
            <v>PAQ24a26</v>
          </cell>
          <cell r="G1941" t="str">
            <v>B</v>
          </cell>
          <cell r="H1941">
            <v>8</v>
          </cell>
        </row>
        <row r="1942">
          <cell r="A1942" t="str">
            <v>1;21;B2;B;PAQ24a26</v>
          </cell>
          <cell r="B1942">
            <v>730069</v>
          </cell>
          <cell r="C1942" t="str">
            <v>B2</v>
          </cell>
          <cell r="D1942" t="str">
            <v>BALEARES AÉREO 2</v>
          </cell>
          <cell r="E1942" t="str">
            <v>21</v>
          </cell>
          <cell r="F1942" t="str">
            <v>PAQ24a26</v>
          </cell>
          <cell r="G1942" t="str">
            <v>B</v>
          </cell>
          <cell r="H1942">
            <v>189.19</v>
          </cell>
        </row>
        <row r="1943">
          <cell r="A1943" t="str">
            <v>4;21;B2;B;PAQ26a28</v>
          </cell>
          <cell r="B1943">
            <v>730069</v>
          </cell>
          <cell r="C1943" t="str">
            <v>B2</v>
          </cell>
          <cell r="D1943" t="str">
            <v>BALEARES AÉREO 2</v>
          </cell>
          <cell r="E1943" t="str">
            <v>21</v>
          </cell>
          <cell r="F1943" t="str">
            <v>PAQ26a28</v>
          </cell>
          <cell r="G1943" t="str">
            <v>B</v>
          </cell>
          <cell r="H1943">
            <v>8</v>
          </cell>
        </row>
        <row r="1944">
          <cell r="A1944" t="str">
            <v>1;21;B2;B;PAQ26a28</v>
          </cell>
          <cell r="B1944">
            <v>730069</v>
          </cell>
          <cell r="C1944" t="str">
            <v>B2</v>
          </cell>
          <cell r="D1944" t="str">
            <v>BALEARES AÉREO 2</v>
          </cell>
          <cell r="E1944" t="str">
            <v>21</v>
          </cell>
          <cell r="F1944" t="str">
            <v>PAQ26a28</v>
          </cell>
          <cell r="G1944" t="str">
            <v>B</v>
          </cell>
          <cell r="H1944">
            <v>202.47</v>
          </cell>
        </row>
        <row r="1945">
          <cell r="A1945" t="str">
            <v>4;21;B2;B;PAQ28a30</v>
          </cell>
          <cell r="B1945">
            <v>730069</v>
          </cell>
          <cell r="C1945" t="str">
            <v>B2</v>
          </cell>
          <cell r="D1945" t="str">
            <v>BALEARES AÉREO 2</v>
          </cell>
          <cell r="E1945" t="str">
            <v>21</v>
          </cell>
          <cell r="F1945" t="str">
            <v>PAQ28a30</v>
          </cell>
          <cell r="G1945" t="str">
            <v>B</v>
          </cell>
          <cell r="H1945">
            <v>8</v>
          </cell>
        </row>
        <row r="1946">
          <cell r="A1946" t="str">
            <v>1;21;B2;B;PAQ28a30</v>
          </cell>
          <cell r="B1946">
            <v>730069</v>
          </cell>
          <cell r="C1946" t="str">
            <v>B2</v>
          </cell>
          <cell r="D1946" t="str">
            <v>BALEARES AÉREO 2</v>
          </cell>
          <cell r="E1946" t="str">
            <v>21</v>
          </cell>
          <cell r="F1946" t="str">
            <v>PAQ28a30</v>
          </cell>
          <cell r="G1946" t="str">
            <v>B</v>
          </cell>
          <cell r="H1946">
            <v>215.73</v>
          </cell>
        </row>
        <row r="1947">
          <cell r="A1947" t="str">
            <v>4;21;B2;B;PAQ30a32</v>
          </cell>
          <cell r="B1947">
            <v>730069</v>
          </cell>
          <cell r="C1947" t="str">
            <v>B2</v>
          </cell>
          <cell r="D1947" t="str">
            <v>BALEARES AÉREO 2</v>
          </cell>
          <cell r="E1947" t="str">
            <v>21</v>
          </cell>
          <cell r="F1947" t="str">
            <v>PAQ30a32</v>
          </cell>
          <cell r="G1947" t="str">
            <v>B</v>
          </cell>
          <cell r="H1947">
            <v>8</v>
          </cell>
        </row>
        <row r="1948">
          <cell r="A1948" t="str">
            <v>1;21;B2;B;PAQ30a32</v>
          </cell>
          <cell r="B1948">
            <v>730069</v>
          </cell>
          <cell r="C1948" t="str">
            <v>B2</v>
          </cell>
          <cell r="D1948" t="str">
            <v>BALEARES AÉREO 2</v>
          </cell>
          <cell r="E1948" t="str">
            <v>21</v>
          </cell>
          <cell r="F1948" t="str">
            <v>PAQ30a32</v>
          </cell>
          <cell r="G1948" t="str">
            <v>B</v>
          </cell>
          <cell r="H1948">
            <v>229.01</v>
          </cell>
        </row>
        <row r="1949">
          <cell r="A1949" t="str">
            <v>1;21;B2;B;PAQ32a34</v>
          </cell>
          <cell r="B1949">
            <v>730069</v>
          </cell>
          <cell r="C1949" t="str">
            <v>B2</v>
          </cell>
          <cell r="D1949" t="str">
            <v>BALEARES AÉREO 2</v>
          </cell>
          <cell r="E1949" t="str">
            <v>21</v>
          </cell>
          <cell r="F1949" t="str">
            <v>PAQ32a34</v>
          </cell>
          <cell r="G1949" t="str">
            <v>B</v>
          </cell>
          <cell r="H1949">
            <v>242.27</v>
          </cell>
        </row>
        <row r="1950">
          <cell r="A1950" t="str">
            <v>4;21;B2;B;PAQ32a34</v>
          </cell>
          <cell r="B1950">
            <v>730069</v>
          </cell>
          <cell r="C1950" t="str">
            <v>B2</v>
          </cell>
          <cell r="D1950" t="str">
            <v>BALEARES AÉREO 2</v>
          </cell>
          <cell r="E1950" t="str">
            <v>21</v>
          </cell>
          <cell r="F1950" t="str">
            <v>PAQ32a34</v>
          </cell>
          <cell r="G1950" t="str">
            <v>B</v>
          </cell>
          <cell r="H1950">
            <v>8</v>
          </cell>
        </row>
        <row r="1951">
          <cell r="A1951" t="str">
            <v>4;21;B2;B;PAQ34a36</v>
          </cell>
          <cell r="B1951">
            <v>730069</v>
          </cell>
          <cell r="C1951" t="str">
            <v>B2</v>
          </cell>
          <cell r="D1951" t="str">
            <v>BALEARES AÉREO 2</v>
          </cell>
          <cell r="E1951" t="str">
            <v>21</v>
          </cell>
          <cell r="F1951" t="str">
            <v>PAQ34a36</v>
          </cell>
          <cell r="G1951" t="str">
            <v>B</v>
          </cell>
          <cell r="H1951">
            <v>8</v>
          </cell>
        </row>
        <row r="1952">
          <cell r="A1952" t="str">
            <v>1;21;B2;B;PAQ34a36</v>
          </cell>
          <cell r="B1952">
            <v>730069</v>
          </cell>
          <cell r="C1952" t="str">
            <v>B2</v>
          </cell>
          <cell r="D1952" t="str">
            <v>BALEARES AÉREO 2</v>
          </cell>
          <cell r="E1952" t="str">
            <v>21</v>
          </cell>
          <cell r="F1952" t="str">
            <v>PAQ34a36</v>
          </cell>
          <cell r="G1952" t="str">
            <v>B</v>
          </cell>
          <cell r="H1952">
            <v>255.54</v>
          </cell>
        </row>
        <row r="1953">
          <cell r="A1953" t="str">
            <v>1;21;B2;B;PAQ36a38</v>
          </cell>
          <cell r="B1953">
            <v>730069</v>
          </cell>
          <cell r="C1953" t="str">
            <v>B2</v>
          </cell>
          <cell r="D1953" t="str">
            <v>BALEARES AÉREO 2</v>
          </cell>
          <cell r="E1953" t="str">
            <v>21</v>
          </cell>
          <cell r="F1953" t="str">
            <v>PAQ36a38</v>
          </cell>
          <cell r="G1953" t="str">
            <v>B</v>
          </cell>
          <cell r="H1953">
            <v>268.81</v>
          </cell>
        </row>
        <row r="1954">
          <cell r="A1954" t="str">
            <v>4;21;B2;B;PAQ36a38</v>
          </cell>
          <cell r="B1954">
            <v>730069</v>
          </cell>
          <cell r="C1954" t="str">
            <v>B2</v>
          </cell>
          <cell r="D1954" t="str">
            <v>BALEARES AÉREO 2</v>
          </cell>
          <cell r="E1954" t="str">
            <v>21</v>
          </cell>
          <cell r="F1954" t="str">
            <v>PAQ36a38</v>
          </cell>
          <cell r="G1954" t="str">
            <v>B</v>
          </cell>
          <cell r="H1954">
            <v>8</v>
          </cell>
        </row>
        <row r="1955">
          <cell r="A1955" t="str">
            <v>1;21;B2;B;PAQ38a40</v>
          </cell>
          <cell r="B1955">
            <v>730069</v>
          </cell>
          <cell r="C1955" t="str">
            <v>B2</v>
          </cell>
          <cell r="D1955" t="str">
            <v>BALEARES AÉREO 2</v>
          </cell>
          <cell r="E1955" t="str">
            <v>21</v>
          </cell>
          <cell r="F1955" t="str">
            <v>PAQ38a40</v>
          </cell>
          <cell r="G1955" t="str">
            <v>B</v>
          </cell>
          <cell r="H1955">
            <v>282.08999999999997</v>
          </cell>
        </row>
        <row r="1956">
          <cell r="A1956" t="str">
            <v>4;21;B2;F;</v>
          </cell>
          <cell r="B1956">
            <v>730069</v>
          </cell>
          <cell r="C1956" t="str">
            <v>B2</v>
          </cell>
          <cell r="D1956" t="str">
            <v>BALEARES AÉREO 2</v>
          </cell>
          <cell r="E1956" t="str">
            <v>21</v>
          </cell>
          <cell r="F1956" t="str">
            <v/>
          </cell>
          <cell r="G1956" t="str">
            <v>F</v>
          </cell>
          <cell r="H1956">
            <v>0</v>
          </cell>
        </row>
        <row r="1957">
          <cell r="A1957" t="str">
            <v>1;21;B2;F;</v>
          </cell>
          <cell r="B1957">
            <v>730069</v>
          </cell>
          <cell r="C1957" t="str">
            <v>B2</v>
          </cell>
          <cell r="D1957" t="str">
            <v>BALEARES AÉREO 2</v>
          </cell>
          <cell r="E1957" t="str">
            <v>21</v>
          </cell>
          <cell r="F1957" t="str">
            <v/>
          </cell>
          <cell r="G1957" t="str">
            <v>F</v>
          </cell>
          <cell r="H1957">
            <v>13.28</v>
          </cell>
        </row>
        <row r="1958">
          <cell r="A1958" t="str">
            <v>4;21;B2;B;PAQ38a40</v>
          </cell>
          <cell r="B1958">
            <v>730069</v>
          </cell>
          <cell r="C1958" t="str">
            <v>B2</v>
          </cell>
          <cell r="D1958" t="str">
            <v>BALEARES AÉREO 2</v>
          </cell>
          <cell r="E1958" t="str">
            <v>21</v>
          </cell>
          <cell r="F1958" t="str">
            <v>PAQ38a40</v>
          </cell>
          <cell r="G1958" t="str">
            <v>B</v>
          </cell>
          <cell r="H1958">
            <v>8</v>
          </cell>
        </row>
        <row r="1959">
          <cell r="A1959" t="str">
            <v>4;21;B2;E;</v>
          </cell>
          <cell r="B1959">
            <v>730069</v>
          </cell>
          <cell r="C1959" t="str">
            <v>B2</v>
          </cell>
          <cell r="D1959" t="str">
            <v>BALEARES AÉREO 2</v>
          </cell>
          <cell r="E1959" t="str">
            <v>21</v>
          </cell>
          <cell r="F1959" t="str">
            <v/>
          </cell>
          <cell r="G1959" t="str">
            <v>E</v>
          </cell>
          <cell r="H1959">
            <v>0</v>
          </cell>
        </row>
        <row r="1960">
          <cell r="A1960" t="str">
            <v>4;21;B2;P;</v>
          </cell>
          <cell r="B1960">
            <v>730069</v>
          </cell>
          <cell r="C1960" t="str">
            <v>B2</v>
          </cell>
          <cell r="D1960" t="str">
            <v>BALEARES AÉREO 2</v>
          </cell>
          <cell r="E1960" t="str">
            <v>21</v>
          </cell>
          <cell r="F1960" t="str">
            <v/>
          </cell>
          <cell r="G1960" t="str">
            <v>P</v>
          </cell>
          <cell r="H1960">
            <v>0</v>
          </cell>
        </row>
        <row r="1961">
          <cell r="A1961" t="str">
            <v>1;21;B2;P;</v>
          </cell>
          <cell r="B1961">
            <v>730069</v>
          </cell>
          <cell r="C1961" t="str">
            <v>B2</v>
          </cell>
          <cell r="D1961" t="str">
            <v>BALEARES AÉREO 2</v>
          </cell>
          <cell r="E1961" t="str">
            <v>21</v>
          </cell>
          <cell r="F1961" t="str">
            <v/>
          </cell>
          <cell r="G1961" t="str">
            <v>P</v>
          </cell>
          <cell r="H1961">
            <v>0</v>
          </cell>
        </row>
        <row r="1962">
          <cell r="A1962" t="str">
            <v>1;21;B2;E;</v>
          </cell>
          <cell r="B1962">
            <v>730069</v>
          </cell>
          <cell r="C1962" t="str">
            <v>B2</v>
          </cell>
          <cell r="D1962" t="str">
            <v>BALEARES AÉREO 2</v>
          </cell>
          <cell r="E1962" t="str">
            <v>21</v>
          </cell>
          <cell r="F1962" t="str">
            <v/>
          </cell>
          <cell r="G1962" t="str">
            <v>E</v>
          </cell>
          <cell r="H1962">
            <v>0</v>
          </cell>
        </row>
        <row r="1963">
          <cell r="A1963" t="str">
            <v>4;27;B2;B;PAQ00a02</v>
          </cell>
          <cell r="B1963">
            <v>730069</v>
          </cell>
          <cell r="C1963" t="str">
            <v>B2</v>
          </cell>
          <cell r="D1963" t="str">
            <v>BALEARES AÉREO 2</v>
          </cell>
          <cell r="E1963" t="str">
            <v>27</v>
          </cell>
          <cell r="F1963" t="str">
            <v>PAQ00a02</v>
          </cell>
          <cell r="G1963" t="str">
            <v>B</v>
          </cell>
          <cell r="H1963">
            <v>8</v>
          </cell>
        </row>
        <row r="1964">
          <cell r="A1964" t="str">
            <v>1;27;B2;B;PAQ00a02</v>
          </cell>
          <cell r="B1964">
            <v>730069</v>
          </cell>
          <cell r="C1964" t="str">
            <v>B2</v>
          </cell>
          <cell r="D1964" t="str">
            <v>BALEARES AÉREO 2</v>
          </cell>
          <cell r="E1964" t="str">
            <v>27</v>
          </cell>
          <cell r="F1964" t="str">
            <v>PAQ00a02</v>
          </cell>
          <cell r="G1964" t="str">
            <v>B</v>
          </cell>
          <cell r="H1964">
            <v>18.91</v>
          </cell>
        </row>
        <row r="1965">
          <cell r="A1965" t="str">
            <v>4;27;B2;B;PAQ02a04</v>
          </cell>
          <cell r="B1965">
            <v>730069</v>
          </cell>
          <cell r="C1965" t="str">
            <v>B2</v>
          </cell>
          <cell r="D1965" t="str">
            <v>BALEARES AÉREO 2</v>
          </cell>
          <cell r="E1965" t="str">
            <v>27</v>
          </cell>
          <cell r="F1965" t="str">
            <v>PAQ02a04</v>
          </cell>
          <cell r="G1965" t="str">
            <v>B</v>
          </cell>
          <cell r="H1965">
            <v>8</v>
          </cell>
        </row>
        <row r="1966">
          <cell r="A1966" t="str">
            <v>1;27;B2;B;PAQ02a04</v>
          </cell>
          <cell r="B1966">
            <v>730069</v>
          </cell>
          <cell r="C1966" t="str">
            <v>B2</v>
          </cell>
          <cell r="D1966" t="str">
            <v>BALEARES AÉREO 2</v>
          </cell>
          <cell r="E1966" t="str">
            <v>27</v>
          </cell>
          <cell r="F1966" t="str">
            <v>PAQ02a04</v>
          </cell>
          <cell r="G1966" t="str">
            <v>B</v>
          </cell>
          <cell r="H1966">
            <v>27.72</v>
          </cell>
        </row>
        <row r="1967">
          <cell r="A1967" t="str">
            <v>4;27;B2;B;PAQ04a06</v>
          </cell>
          <cell r="B1967">
            <v>730069</v>
          </cell>
          <cell r="C1967" t="str">
            <v>B2</v>
          </cell>
          <cell r="D1967" t="str">
            <v>BALEARES AÉREO 2</v>
          </cell>
          <cell r="E1967" t="str">
            <v>27</v>
          </cell>
          <cell r="F1967" t="str">
            <v>PAQ04a06</v>
          </cell>
          <cell r="G1967" t="str">
            <v>B</v>
          </cell>
          <cell r="H1967">
            <v>8</v>
          </cell>
        </row>
        <row r="1968">
          <cell r="A1968" t="str">
            <v>1;27;B2;B;PAQ04a06</v>
          </cell>
          <cell r="B1968">
            <v>730069</v>
          </cell>
          <cell r="C1968" t="str">
            <v>B2</v>
          </cell>
          <cell r="D1968" t="str">
            <v>BALEARES AÉREO 2</v>
          </cell>
          <cell r="E1968" t="str">
            <v>27</v>
          </cell>
          <cell r="F1968" t="str">
            <v>PAQ04a06</v>
          </cell>
          <cell r="G1968" t="str">
            <v>B</v>
          </cell>
          <cell r="H1968">
            <v>37.07</v>
          </cell>
        </row>
        <row r="1969">
          <cell r="A1969" t="str">
            <v>1;27;B2;B;PAQ06a08</v>
          </cell>
          <cell r="B1969">
            <v>730069</v>
          </cell>
          <cell r="C1969" t="str">
            <v>B2</v>
          </cell>
          <cell r="D1969" t="str">
            <v>BALEARES AÉREO 2</v>
          </cell>
          <cell r="E1969" t="str">
            <v>27</v>
          </cell>
          <cell r="F1969" t="str">
            <v>PAQ06a08</v>
          </cell>
          <cell r="G1969" t="str">
            <v>B</v>
          </cell>
          <cell r="H1969">
            <v>44.95</v>
          </cell>
        </row>
        <row r="1970">
          <cell r="A1970" t="str">
            <v>4;27;B2;B;PAQ06a08</v>
          </cell>
          <cell r="B1970">
            <v>730069</v>
          </cell>
          <cell r="C1970" t="str">
            <v>B2</v>
          </cell>
          <cell r="D1970" t="str">
            <v>BALEARES AÉREO 2</v>
          </cell>
          <cell r="E1970" t="str">
            <v>27</v>
          </cell>
          <cell r="F1970" t="str">
            <v>PAQ06a08</v>
          </cell>
          <cell r="G1970" t="str">
            <v>B</v>
          </cell>
          <cell r="H1970">
            <v>8</v>
          </cell>
        </row>
        <row r="1971">
          <cell r="A1971" t="str">
            <v>4;27;B2;B;PAQ08a10</v>
          </cell>
          <cell r="B1971">
            <v>730069</v>
          </cell>
          <cell r="C1971" t="str">
            <v>B2</v>
          </cell>
          <cell r="D1971" t="str">
            <v>BALEARES AÉREO 2</v>
          </cell>
          <cell r="E1971" t="str">
            <v>27</v>
          </cell>
          <cell r="F1971" t="str">
            <v>PAQ08a10</v>
          </cell>
          <cell r="G1971" t="str">
            <v>B</v>
          </cell>
          <cell r="H1971">
            <v>8</v>
          </cell>
        </row>
        <row r="1972">
          <cell r="A1972" t="str">
            <v>1;27;B2;B;PAQ08a10</v>
          </cell>
          <cell r="B1972">
            <v>730069</v>
          </cell>
          <cell r="C1972" t="str">
            <v>B2</v>
          </cell>
          <cell r="D1972" t="str">
            <v>BALEARES AÉREO 2</v>
          </cell>
          <cell r="E1972" t="str">
            <v>27</v>
          </cell>
          <cell r="F1972" t="str">
            <v>PAQ08a10</v>
          </cell>
          <cell r="G1972" t="str">
            <v>B</v>
          </cell>
          <cell r="H1972">
            <v>52.65</v>
          </cell>
        </row>
        <row r="1973">
          <cell r="A1973" t="str">
            <v>4;27;B2;B;PAQ10a12</v>
          </cell>
          <cell r="B1973">
            <v>730069</v>
          </cell>
          <cell r="C1973" t="str">
            <v>B2</v>
          </cell>
          <cell r="D1973" t="str">
            <v>BALEARES AÉREO 2</v>
          </cell>
          <cell r="E1973" t="str">
            <v>27</v>
          </cell>
          <cell r="F1973" t="str">
            <v>PAQ10a12</v>
          </cell>
          <cell r="G1973" t="str">
            <v>B</v>
          </cell>
          <cell r="H1973">
            <v>8</v>
          </cell>
        </row>
        <row r="1974">
          <cell r="A1974" t="str">
            <v>1;27;B2;B;PAQ10a12</v>
          </cell>
          <cell r="B1974">
            <v>730069</v>
          </cell>
          <cell r="C1974" t="str">
            <v>B2</v>
          </cell>
          <cell r="D1974" t="str">
            <v>BALEARES AÉREO 2</v>
          </cell>
          <cell r="E1974" t="str">
            <v>27</v>
          </cell>
          <cell r="F1974" t="str">
            <v>PAQ10a12</v>
          </cell>
          <cell r="G1974" t="str">
            <v>B</v>
          </cell>
          <cell r="H1974">
            <v>62.25</v>
          </cell>
        </row>
        <row r="1975">
          <cell r="A1975" t="str">
            <v>1;27;B2;B;PAQ12a14</v>
          </cell>
          <cell r="B1975">
            <v>730069</v>
          </cell>
          <cell r="C1975" t="str">
            <v>B2</v>
          </cell>
          <cell r="D1975" t="str">
            <v>BALEARES AÉREO 2</v>
          </cell>
          <cell r="E1975" t="str">
            <v>27</v>
          </cell>
          <cell r="F1975" t="str">
            <v>PAQ12a14</v>
          </cell>
          <cell r="G1975" t="str">
            <v>B</v>
          </cell>
          <cell r="H1975">
            <v>71.849999999999994</v>
          </cell>
        </row>
        <row r="1976">
          <cell r="A1976" t="str">
            <v>4;27;B2;B;PAQ12a14</v>
          </cell>
          <cell r="B1976">
            <v>730069</v>
          </cell>
          <cell r="C1976" t="str">
            <v>B2</v>
          </cell>
          <cell r="D1976" t="str">
            <v>BALEARES AÉREO 2</v>
          </cell>
          <cell r="E1976" t="str">
            <v>27</v>
          </cell>
          <cell r="F1976" t="str">
            <v>PAQ12a14</v>
          </cell>
          <cell r="G1976" t="str">
            <v>B</v>
          </cell>
          <cell r="H1976">
            <v>8</v>
          </cell>
        </row>
        <row r="1977">
          <cell r="A1977" t="str">
            <v>4;27;B2;B;PAQ14a16</v>
          </cell>
          <cell r="B1977">
            <v>730069</v>
          </cell>
          <cell r="C1977" t="str">
            <v>B2</v>
          </cell>
          <cell r="D1977" t="str">
            <v>BALEARES AÉREO 2</v>
          </cell>
          <cell r="E1977" t="str">
            <v>27</v>
          </cell>
          <cell r="F1977" t="str">
            <v>PAQ14a16</v>
          </cell>
          <cell r="G1977" t="str">
            <v>B</v>
          </cell>
          <cell r="H1977">
            <v>8</v>
          </cell>
        </row>
        <row r="1978">
          <cell r="A1978" t="str">
            <v>1;27;B2;B;PAQ14a16</v>
          </cell>
          <cell r="B1978">
            <v>730069</v>
          </cell>
          <cell r="C1978" t="str">
            <v>B2</v>
          </cell>
          <cell r="D1978" t="str">
            <v>BALEARES AÉREO 2</v>
          </cell>
          <cell r="E1978" t="str">
            <v>27</v>
          </cell>
          <cell r="F1978" t="str">
            <v>PAQ14a16</v>
          </cell>
          <cell r="G1978" t="str">
            <v>B</v>
          </cell>
          <cell r="H1978">
            <v>81.45</v>
          </cell>
        </row>
        <row r="1979">
          <cell r="A1979" t="str">
            <v>4;27;B2;B;PAQ16a18</v>
          </cell>
          <cell r="B1979">
            <v>730069</v>
          </cell>
          <cell r="C1979" t="str">
            <v>B2</v>
          </cell>
          <cell r="D1979" t="str">
            <v>BALEARES AÉREO 2</v>
          </cell>
          <cell r="E1979" t="str">
            <v>27</v>
          </cell>
          <cell r="F1979" t="str">
            <v>PAQ16a18</v>
          </cell>
          <cell r="G1979" t="str">
            <v>B</v>
          </cell>
          <cell r="H1979">
            <v>8</v>
          </cell>
        </row>
        <row r="1980">
          <cell r="A1980" t="str">
            <v>1;27;B2;B;PAQ16a18</v>
          </cell>
          <cell r="B1980">
            <v>730069</v>
          </cell>
          <cell r="C1980" t="str">
            <v>B2</v>
          </cell>
          <cell r="D1980" t="str">
            <v>BALEARES AÉREO 2</v>
          </cell>
          <cell r="E1980" t="str">
            <v>27</v>
          </cell>
          <cell r="F1980" t="str">
            <v>PAQ16a18</v>
          </cell>
          <cell r="G1980" t="str">
            <v>B</v>
          </cell>
          <cell r="H1980">
            <v>91.05</v>
          </cell>
        </row>
        <row r="1981">
          <cell r="A1981" t="str">
            <v>1;27;B2;B;PAQ18a20</v>
          </cell>
          <cell r="B1981">
            <v>730069</v>
          </cell>
          <cell r="C1981" t="str">
            <v>B2</v>
          </cell>
          <cell r="D1981" t="str">
            <v>BALEARES AÉREO 2</v>
          </cell>
          <cell r="E1981" t="str">
            <v>27</v>
          </cell>
          <cell r="F1981" t="str">
            <v>PAQ18a20</v>
          </cell>
          <cell r="G1981" t="str">
            <v>B</v>
          </cell>
          <cell r="H1981">
            <v>100.65</v>
          </cell>
        </row>
        <row r="1982">
          <cell r="A1982" t="str">
            <v>4;27;B2;B;PAQ18a20</v>
          </cell>
          <cell r="B1982">
            <v>730069</v>
          </cell>
          <cell r="C1982" t="str">
            <v>B2</v>
          </cell>
          <cell r="D1982" t="str">
            <v>BALEARES AÉREO 2</v>
          </cell>
          <cell r="E1982" t="str">
            <v>27</v>
          </cell>
          <cell r="F1982" t="str">
            <v>PAQ18a20</v>
          </cell>
          <cell r="G1982" t="str">
            <v>B</v>
          </cell>
          <cell r="H1982">
            <v>8</v>
          </cell>
        </row>
        <row r="1983">
          <cell r="A1983" t="str">
            <v>4;27;B2;B;PAQ20a22</v>
          </cell>
          <cell r="B1983">
            <v>730069</v>
          </cell>
          <cell r="C1983" t="str">
            <v>B2</v>
          </cell>
          <cell r="D1983" t="str">
            <v>BALEARES AÉREO 2</v>
          </cell>
          <cell r="E1983" t="str">
            <v>27</v>
          </cell>
          <cell r="F1983" t="str">
            <v>PAQ20a22</v>
          </cell>
          <cell r="G1983" t="str">
            <v>B</v>
          </cell>
          <cell r="H1983">
            <v>8</v>
          </cell>
        </row>
        <row r="1984">
          <cell r="A1984" t="str">
            <v>1;27;B2;B;PAQ20a22</v>
          </cell>
          <cell r="B1984">
            <v>730069</v>
          </cell>
          <cell r="C1984" t="str">
            <v>B2</v>
          </cell>
          <cell r="D1984" t="str">
            <v>BALEARES AÉREO 2</v>
          </cell>
          <cell r="E1984" t="str">
            <v>27</v>
          </cell>
          <cell r="F1984" t="str">
            <v>PAQ20a22</v>
          </cell>
          <cell r="G1984" t="str">
            <v>B</v>
          </cell>
          <cell r="H1984">
            <v>110.25</v>
          </cell>
        </row>
        <row r="1985">
          <cell r="A1985" t="str">
            <v>4;27;B2;B;PAQ22a24</v>
          </cell>
          <cell r="B1985">
            <v>730069</v>
          </cell>
          <cell r="C1985" t="str">
            <v>B2</v>
          </cell>
          <cell r="D1985" t="str">
            <v>BALEARES AÉREO 2</v>
          </cell>
          <cell r="E1985" t="str">
            <v>27</v>
          </cell>
          <cell r="F1985" t="str">
            <v>PAQ22a24</v>
          </cell>
          <cell r="G1985" t="str">
            <v>B</v>
          </cell>
          <cell r="H1985">
            <v>8</v>
          </cell>
        </row>
        <row r="1986">
          <cell r="A1986" t="str">
            <v>1;27;B2;B;PAQ22a24</v>
          </cell>
          <cell r="B1986">
            <v>730069</v>
          </cell>
          <cell r="C1986" t="str">
            <v>B2</v>
          </cell>
          <cell r="D1986" t="str">
            <v>BALEARES AÉREO 2</v>
          </cell>
          <cell r="E1986" t="str">
            <v>27</v>
          </cell>
          <cell r="F1986" t="str">
            <v>PAQ22a24</v>
          </cell>
          <cell r="G1986" t="str">
            <v>B</v>
          </cell>
          <cell r="H1986">
            <v>119.85</v>
          </cell>
        </row>
        <row r="1987">
          <cell r="A1987" t="str">
            <v>4;27;B2;B;PAQ24a26</v>
          </cell>
          <cell r="B1987">
            <v>730069</v>
          </cell>
          <cell r="C1987" t="str">
            <v>B2</v>
          </cell>
          <cell r="D1987" t="str">
            <v>BALEARES AÉREO 2</v>
          </cell>
          <cell r="E1987" t="str">
            <v>27</v>
          </cell>
          <cell r="F1987" t="str">
            <v>PAQ24a26</v>
          </cell>
          <cell r="G1987" t="str">
            <v>B</v>
          </cell>
          <cell r="H1987">
            <v>8</v>
          </cell>
        </row>
        <row r="1988">
          <cell r="A1988" t="str">
            <v>1;27;B2;B;PAQ24a26</v>
          </cell>
          <cell r="B1988">
            <v>730069</v>
          </cell>
          <cell r="C1988" t="str">
            <v>B2</v>
          </cell>
          <cell r="D1988" t="str">
            <v>BALEARES AÉREO 2</v>
          </cell>
          <cell r="E1988" t="str">
            <v>27</v>
          </cell>
          <cell r="F1988" t="str">
            <v>PAQ24a26</v>
          </cell>
          <cell r="G1988" t="str">
            <v>B</v>
          </cell>
          <cell r="H1988">
            <v>129.44999999999999</v>
          </cell>
        </row>
        <row r="1989">
          <cell r="A1989" t="str">
            <v>1;27;B2;B;PAQ26a28</v>
          </cell>
          <cell r="B1989">
            <v>730069</v>
          </cell>
          <cell r="C1989" t="str">
            <v>B2</v>
          </cell>
          <cell r="D1989" t="str">
            <v>BALEARES AÉREO 2</v>
          </cell>
          <cell r="E1989" t="str">
            <v>27</v>
          </cell>
          <cell r="F1989" t="str">
            <v>PAQ26a28</v>
          </cell>
          <cell r="G1989" t="str">
            <v>B</v>
          </cell>
          <cell r="H1989">
            <v>139.05000000000001</v>
          </cell>
        </row>
        <row r="1990">
          <cell r="A1990" t="str">
            <v>4;27;B2;B;PAQ26a28</v>
          </cell>
          <cell r="B1990">
            <v>730069</v>
          </cell>
          <cell r="C1990" t="str">
            <v>B2</v>
          </cell>
          <cell r="D1990" t="str">
            <v>BALEARES AÉREO 2</v>
          </cell>
          <cell r="E1990" t="str">
            <v>27</v>
          </cell>
          <cell r="F1990" t="str">
            <v>PAQ26a28</v>
          </cell>
          <cell r="G1990" t="str">
            <v>B</v>
          </cell>
          <cell r="H1990">
            <v>8</v>
          </cell>
        </row>
        <row r="1991">
          <cell r="A1991" t="str">
            <v>4;27;B2;B;PAQ28a30</v>
          </cell>
          <cell r="B1991">
            <v>730069</v>
          </cell>
          <cell r="C1991" t="str">
            <v>B2</v>
          </cell>
          <cell r="D1991" t="str">
            <v>BALEARES AÉREO 2</v>
          </cell>
          <cell r="E1991" t="str">
            <v>27</v>
          </cell>
          <cell r="F1991" t="str">
            <v>PAQ28a30</v>
          </cell>
          <cell r="G1991" t="str">
            <v>B</v>
          </cell>
          <cell r="H1991">
            <v>8</v>
          </cell>
        </row>
        <row r="1992">
          <cell r="A1992" t="str">
            <v>1;27;B2;B;PAQ28a30</v>
          </cell>
          <cell r="B1992">
            <v>730069</v>
          </cell>
          <cell r="C1992" t="str">
            <v>B2</v>
          </cell>
          <cell r="D1992" t="str">
            <v>BALEARES AÉREO 2</v>
          </cell>
          <cell r="E1992" t="str">
            <v>27</v>
          </cell>
          <cell r="F1992" t="str">
            <v>PAQ28a30</v>
          </cell>
          <cell r="G1992" t="str">
            <v>B</v>
          </cell>
          <cell r="H1992">
            <v>148.65</v>
          </cell>
        </row>
        <row r="1993">
          <cell r="A1993" t="str">
            <v>1;27;B2;B;PAQ30a32</v>
          </cell>
          <cell r="B1993">
            <v>730069</v>
          </cell>
          <cell r="C1993" t="str">
            <v>B2</v>
          </cell>
          <cell r="D1993" t="str">
            <v>BALEARES AÉREO 2</v>
          </cell>
          <cell r="E1993" t="str">
            <v>27</v>
          </cell>
          <cell r="F1993" t="str">
            <v>PAQ30a32</v>
          </cell>
          <cell r="G1993" t="str">
            <v>B</v>
          </cell>
          <cell r="H1993">
            <v>158.25</v>
          </cell>
        </row>
        <row r="1994">
          <cell r="A1994" t="str">
            <v>4;27;B2;B;PAQ30a32</v>
          </cell>
          <cell r="B1994">
            <v>730069</v>
          </cell>
          <cell r="C1994" t="str">
            <v>B2</v>
          </cell>
          <cell r="D1994" t="str">
            <v>BALEARES AÉREO 2</v>
          </cell>
          <cell r="E1994" t="str">
            <v>27</v>
          </cell>
          <cell r="F1994" t="str">
            <v>PAQ30a32</v>
          </cell>
          <cell r="G1994" t="str">
            <v>B</v>
          </cell>
          <cell r="H1994">
            <v>8</v>
          </cell>
        </row>
        <row r="1995">
          <cell r="A1995" t="str">
            <v>4;27;B2;B;PAQ32a34</v>
          </cell>
          <cell r="B1995">
            <v>730069</v>
          </cell>
          <cell r="C1995" t="str">
            <v>B2</v>
          </cell>
          <cell r="D1995" t="str">
            <v>BALEARES AÉREO 2</v>
          </cell>
          <cell r="E1995" t="str">
            <v>27</v>
          </cell>
          <cell r="F1995" t="str">
            <v>PAQ32a34</v>
          </cell>
          <cell r="G1995" t="str">
            <v>B</v>
          </cell>
          <cell r="H1995">
            <v>8</v>
          </cell>
        </row>
        <row r="1996">
          <cell r="A1996" t="str">
            <v>1;27;B2;B;PAQ32a34</v>
          </cell>
          <cell r="B1996">
            <v>730069</v>
          </cell>
          <cell r="C1996" t="str">
            <v>B2</v>
          </cell>
          <cell r="D1996" t="str">
            <v>BALEARES AÉREO 2</v>
          </cell>
          <cell r="E1996" t="str">
            <v>27</v>
          </cell>
          <cell r="F1996" t="str">
            <v>PAQ32a34</v>
          </cell>
          <cell r="G1996" t="str">
            <v>B</v>
          </cell>
          <cell r="H1996">
            <v>167.85</v>
          </cell>
        </row>
        <row r="1997">
          <cell r="A1997" t="str">
            <v>4;27;B2;B;PAQ34a36</v>
          </cell>
          <cell r="B1997">
            <v>730069</v>
          </cell>
          <cell r="C1997" t="str">
            <v>B2</v>
          </cell>
          <cell r="D1997" t="str">
            <v>BALEARES AÉREO 2</v>
          </cell>
          <cell r="E1997" t="str">
            <v>27</v>
          </cell>
          <cell r="F1997" t="str">
            <v>PAQ34a36</v>
          </cell>
          <cell r="G1997" t="str">
            <v>B</v>
          </cell>
          <cell r="H1997">
            <v>8</v>
          </cell>
        </row>
        <row r="1998">
          <cell r="A1998" t="str">
            <v>1;27;B2;B;PAQ34a36</v>
          </cell>
          <cell r="B1998">
            <v>730069</v>
          </cell>
          <cell r="C1998" t="str">
            <v>B2</v>
          </cell>
          <cell r="D1998" t="str">
            <v>BALEARES AÉREO 2</v>
          </cell>
          <cell r="E1998" t="str">
            <v>27</v>
          </cell>
          <cell r="F1998" t="str">
            <v>PAQ34a36</v>
          </cell>
          <cell r="G1998" t="str">
            <v>B</v>
          </cell>
          <cell r="H1998">
            <v>177.45</v>
          </cell>
        </row>
        <row r="1999">
          <cell r="A1999" t="str">
            <v>1;27;B2;B;PAQ36a38</v>
          </cell>
          <cell r="B1999">
            <v>730069</v>
          </cell>
          <cell r="C1999" t="str">
            <v>B2</v>
          </cell>
          <cell r="D1999" t="str">
            <v>BALEARES AÉREO 2</v>
          </cell>
          <cell r="E1999" t="str">
            <v>27</v>
          </cell>
          <cell r="F1999" t="str">
            <v>PAQ36a38</v>
          </cell>
          <cell r="G1999" t="str">
            <v>B</v>
          </cell>
          <cell r="H1999">
            <v>187.05</v>
          </cell>
        </row>
        <row r="2000">
          <cell r="A2000" t="str">
            <v>4;27;B2;B;PAQ36a38</v>
          </cell>
          <cell r="B2000">
            <v>730069</v>
          </cell>
          <cell r="C2000" t="str">
            <v>B2</v>
          </cell>
          <cell r="D2000" t="str">
            <v>BALEARES AÉREO 2</v>
          </cell>
          <cell r="E2000" t="str">
            <v>27</v>
          </cell>
          <cell r="F2000" t="str">
            <v>PAQ36a38</v>
          </cell>
          <cell r="G2000" t="str">
            <v>B</v>
          </cell>
          <cell r="H2000">
            <v>8</v>
          </cell>
        </row>
        <row r="2001">
          <cell r="A2001" t="str">
            <v>4;27;B2;F;</v>
          </cell>
          <cell r="B2001">
            <v>730069</v>
          </cell>
          <cell r="C2001" t="str">
            <v>B2</v>
          </cell>
          <cell r="D2001" t="str">
            <v>BALEARES AÉREO 2</v>
          </cell>
          <cell r="E2001" t="str">
            <v>27</v>
          </cell>
          <cell r="F2001" t="str">
            <v/>
          </cell>
          <cell r="G2001" t="str">
            <v>F</v>
          </cell>
          <cell r="H2001">
            <v>0</v>
          </cell>
        </row>
        <row r="2002">
          <cell r="A2002" t="str">
            <v>1;27;B2;B;PAQ38a40</v>
          </cell>
          <cell r="B2002">
            <v>730069</v>
          </cell>
          <cell r="C2002" t="str">
            <v>B2</v>
          </cell>
          <cell r="D2002" t="str">
            <v>BALEARES AÉREO 2</v>
          </cell>
          <cell r="E2002" t="str">
            <v>27</v>
          </cell>
          <cell r="F2002" t="str">
            <v>PAQ38a40</v>
          </cell>
          <cell r="G2002" t="str">
            <v>B</v>
          </cell>
          <cell r="H2002">
            <v>196.65</v>
          </cell>
        </row>
        <row r="2003">
          <cell r="A2003" t="str">
            <v>1;27;B2;F;</v>
          </cell>
          <cell r="B2003">
            <v>730069</v>
          </cell>
          <cell r="C2003" t="str">
            <v>B2</v>
          </cell>
          <cell r="D2003" t="str">
            <v>BALEARES AÉREO 2</v>
          </cell>
          <cell r="E2003" t="str">
            <v>27</v>
          </cell>
          <cell r="F2003" t="str">
            <v/>
          </cell>
          <cell r="G2003" t="str">
            <v>F</v>
          </cell>
          <cell r="H2003">
            <v>9.6</v>
          </cell>
        </row>
        <row r="2004">
          <cell r="A2004" t="str">
            <v>4;27;B2;B;PAQ38a40</v>
          </cell>
          <cell r="B2004">
            <v>730069</v>
          </cell>
          <cell r="C2004" t="str">
            <v>B2</v>
          </cell>
          <cell r="D2004" t="str">
            <v>BALEARES AÉREO 2</v>
          </cell>
          <cell r="E2004" t="str">
            <v>27</v>
          </cell>
          <cell r="F2004" t="str">
            <v>PAQ38a40</v>
          </cell>
          <cell r="G2004" t="str">
            <v>B</v>
          </cell>
          <cell r="H2004">
            <v>8</v>
          </cell>
        </row>
        <row r="2005">
          <cell r="A2005" t="str">
            <v>1;27;B2;P;</v>
          </cell>
          <cell r="B2005">
            <v>730069</v>
          </cell>
          <cell r="C2005" t="str">
            <v>B2</v>
          </cell>
          <cell r="D2005" t="str">
            <v>BALEARES AÉREO 2</v>
          </cell>
          <cell r="E2005" t="str">
            <v>27</v>
          </cell>
          <cell r="F2005" t="str">
            <v/>
          </cell>
          <cell r="G2005" t="str">
            <v>P</v>
          </cell>
          <cell r="H2005">
            <v>0</v>
          </cell>
        </row>
        <row r="2006">
          <cell r="A2006" t="str">
            <v>4;27;B2;P;</v>
          </cell>
          <cell r="B2006">
            <v>730069</v>
          </cell>
          <cell r="C2006" t="str">
            <v>B2</v>
          </cell>
          <cell r="D2006" t="str">
            <v>BALEARES AÉREO 2</v>
          </cell>
          <cell r="E2006" t="str">
            <v>27</v>
          </cell>
          <cell r="F2006" t="str">
            <v/>
          </cell>
          <cell r="G2006" t="str">
            <v>P</v>
          </cell>
          <cell r="H2006">
            <v>0</v>
          </cell>
        </row>
        <row r="2007">
          <cell r="A2007" t="str">
            <v>1;27;B2;E;</v>
          </cell>
          <cell r="B2007">
            <v>730069</v>
          </cell>
          <cell r="C2007" t="str">
            <v>B2</v>
          </cell>
          <cell r="D2007" t="str">
            <v>BALEARES AÉREO 2</v>
          </cell>
          <cell r="E2007" t="str">
            <v>27</v>
          </cell>
          <cell r="F2007" t="str">
            <v/>
          </cell>
          <cell r="G2007" t="str">
            <v>E</v>
          </cell>
          <cell r="H2007">
            <v>0</v>
          </cell>
        </row>
        <row r="2008">
          <cell r="A2008" t="str">
            <v>4;27;B2;E;</v>
          </cell>
          <cell r="B2008">
            <v>730069</v>
          </cell>
          <cell r="C2008" t="str">
            <v>B2</v>
          </cell>
          <cell r="D2008" t="str">
            <v>BALEARES AÉREO 2</v>
          </cell>
          <cell r="E2008" t="str">
            <v>27</v>
          </cell>
          <cell r="F2008" t="str">
            <v/>
          </cell>
          <cell r="G2008" t="str">
            <v>E</v>
          </cell>
          <cell r="H2008">
            <v>0</v>
          </cell>
        </row>
        <row r="2009">
          <cell r="A2009" t="str">
            <v>1;33;B2;B;PAQ00a02</v>
          </cell>
          <cell r="B2009">
            <v>730069</v>
          </cell>
          <cell r="C2009" t="str">
            <v>B2</v>
          </cell>
          <cell r="D2009" t="str">
            <v>BALEARES AÉREO 2</v>
          </cell>
          <cell r="E2009" t="str">
            <v>33</v>
          </cell>
          <cell r="F2009" t="str">
            <v>PAQ00a02</v>
          </cell>
          <cell r="G2009" t="str">
            <v>B</v>
          </cell>
          <cell r="H2009">
            <v>28.37</v>
          </cell>
        </row>
        <row r="2010">
          <cell r="A2010" t="str">
            <v>4;33;B2;B;PAQ00a02</v>
          </cell>
          <cell r="B2010">
            <v>730069</v>
          </cell>
          <cell r="C2010" t="str">
            <v>B2</v>
          </cell>
          <cell r="D2010" t="str">
            <v>BALEARES AÉREO 2</v>
          </cell>
          <cell r="E2010" t="str">
            <v>33</v>
          </cell>
          <cell r="F2010" t="str">
            <v>PAQ00a02</v>
          </cell>
          <cell r="G2010" t="str">
            <v>B</v>
          </cell>
          <cell r="H2010">
            <v>8</v>
          </cell>
        </row>
        <row r="2011">
          <cell r="A2011" t="str">
            <v>4;33;B2;B;PAQ02a04</v>
          </cell>
          <cell r="B2011">
            <v>730069</v>
          </cell>
          <cell r="C2011" t="str">
            <v>B2</v>
          </cell>
          <cell r="D2011" t="str">
            <v>BALEARES AÉREO 2</v>
          </cell>
          <cell r="E2011" t="str">
            <v>33</v>
          </cell>
          <cell r="F2011" t="str">
            <v>PAQ02a04</v>
          </cell>
          <cell r="G2011" t="str">
            <v>B</v>
          </cell>
          <cell r="H2011">
            <v>8</v>
          </cell>
        </row>
        <row r="2012">
          <cell r="A2012" t="str">
            <v>1;33;B2;B;PAQ02a04</v>
          </cell>
          <cell r="B2012">
            <v>730069</v>
          </cell>
          <cell r="C2012" t="str">
            <v>B2</v>
          </cell>
          <cell r="D2012" t="str">
            <v>BALEARES AÉREO 2</v>
          </cell>
          <cell r="E2012" t="str">
            <v>33</v>
          </cell>
          <cell r="F2012" t="str">
            <v>PAQ02a04</v>
          </cell>
          <cell r="G2012" t="str">
            <v>B</v>
          </cell>
          <cell r="H2012">
            <v>41.58</v>
          </cell>
        </row>
        <row r="2013">
          <cell r="A2013" t="str">
            <v>1;33;B2;B;PAQ04a06</v>
          </cell>
          <cell r="B2013">
            <v>730069</v>
          </cell>
          <cell r="C2013" t="str">
            <v>B2</v>
          </cell>
          <cell r="D2013" t="str">
            <v>BALEARES AÉREO 2</v>
          </cell>
          <cell r="E2013" t="str">
            <v>33</v>
          </cell>
          <cell r="F2013" t="str">
            <v>PAQ04a06</v>
          </cell>
          <cell r="G2013" t="str">
            <v>B</v>
          </cell>
          <cell r="H2013">
            <v>55.61</v>
          </cell>
        </row>
        <row r="2014">
          <cell r="A2014" t="str">
            <v>4;33;B2;B;PAQ04a06</v>
          </cell>
          <cell r="B2014">
            <v>730069</v>
          </cell>
          <cell r="C2014" t="str">
            <v>B2</v>
          </cell>
          <cell r="D2014" t="str">
            <v>BALEARES AÉREO 2</v>
          </cell>
          <cell r="E2014" t="str">
            <v>33</v>
          </cell>
          <cell r="F2014" t="str">
            <v>PAQ04a06</v>
          </cell>
          <cell r="G2014" t="str">
            <v>B</v>
          </cell>
          <cell r="H2014">
            <v>8</v>
          </cell>
        </row>
        <row r="2015">
          <cell r="A2015" t="str">
            <v>4;33;B2;B;PAQ06a08</v>
          </cell>
          <cell r="B2015">
            <v>730069</v>
          </cell>
          <cell r="C2015" t="str">
            <v>B2</v>
          </cell>
          <cell r="D2015" t="str">
            <v>BALEARES AÉREO 2</v>
          </cell>
          <cell r="E2015" t="str">
            <v>33</v>
          </cell>
          <cell r="F2015" t="str">
            <v>PAQ06a08</v>
          </cell>
          <cell r="G2015" t="str">
            <v>B</v>
          </cell>
          <cell r="H2015">
            <v>8</v>
          </cell>
        </row>
        <row r="2016">
          <cell r="A2016" t="str">
            <v>1;33;B2;B;PAQ06a08</v>
          </cell>
          <cell r="B2016">
            <v>730069</v>
          </cell>
          <cell r="C2016" t="str">
            <v>B2</v>
          </cell>
          <cell r="D2016" t="str">
            <v>BALEARES AÉREO 2</v>
          </cell>
          <cell r="E2016" t="str">
            <v>33</v>
          </cell>
          <cell r="F2016" t="str">
            <v>PAQ06a08</v>
          </cell>
          <cell r="G2016" t="str">
            <v>B</v>
          </cell>
          <cell r="H2016">
            <v>67.41</v>
          </cell>
        </row>
        <row r="2017">
          <cell r="A2017" t="str">
            <v>4;33;B2;B;PAQ08a10</v>
          </cell>
          <cell r="B2017">
            <v>730069</v>
          </cell>
          <cell r="C2017" t="str">
            <v>B2</v>
          </cell>
          <cell r="D2017" t="str">
            <v>BALEARES AÉREO 2</v>
          </cell>
          <cell r="E2017" t="str">
            <v>33</v>
          </cell>
          <cell r="F2017" t="str">
            <v>PAQ08a10</v>
          </cell>
          <cell r="G2017" t="str">
            <v>B</v>
          </cell>
          <cell r="H2017">
            <v>8</v>
          </cell>
        </row>
        <row r="2018">
          <cell r="A2018" t="str">
            <v>1;33;B2;B;PAQ08a10</v>
          </cell>
          <cell r="B2018">
            <v>730069</v>
          </cell>
          <cell r="C2018" t="str">
            <v>B2</v>
          </cell>
          <cell r="D2018" t="str">
            <v>BALEARES AÉREO 2</v>
          </cell>
          <cell r="E2018" t="str">
            <v>33</v>
          </cell>
          <cell r="F2018" t="str">
            <v>PAQ08a10</v>
          </cell>
          <cell r="G2018" t="str">
            <v>B</v>
          </cell>
          <cell r="H2018">
            <v>78.98</v>
          </cell>
        </row>
        <row r="2019">
          <cell r="A2019" t="str">
            <v>4;33;B2;B;PAQ10a12</v>
          </cell>
          <cell r="B2019">
            <v>730069</v>
          </cell>
          <cell r="C2019" t="str">
            <v>B2</v>
          </cell>
          <cell r="D2019" t="str">
            <v>BALEARES AÉREO 2</v>
          </cell>
          <cell r="E2019" t="str">
            <v>33</v>
          </cell>
          <cell r="F2019" t="str">
            <v>PAQ10a12</v>
          </cell>
          <cell r="G2019" t="str">
            <v>B</v>
          </cell>
          <cell r="H2019">
            <v>8</v>
          </cell>
        </row>
        <row r="2020">
          <cell r="A2020" t="str">
            <v>1;33;B2;B;PAQ10a12</v>
          </cell>
          <cell r="B2020">
            <v>730069</v>
          </cell>
          <cell r="C2020" t="str">
            <v>B2</v>
          </cell>
          <cell r="D2020" t="str">
            <v>BALEARES AÉREO 2</v>
          </cell>
          <cell r="E2020" t="str">
            <v>33</v>
          </cell>
          <cell r="F2020" t="str">
            <v>PAQ10a12</v>
          </cell>
          <cell r="G2020" t="str">
            <v>B</v>
          </cell>
          <cell r="H2020">
            <v>93.38</v>
          </cell>
        </row>
        <row r="2021">
          <cell r="A2021" t="str">
            <v>4;33;B2;B;PAQ12a14</v>
          </cell>
          <cell r="B2021">
            <v>730069</v>
          </cell>
          <cell r="C2021" t="str">
            <v>B2</v>
          </cell>
          <cell r="D2021" t="str">
            <v>BALEARES AÉREO 2</v>
          </cell>
          <cell r="E2021" t="str">
            <v>33</v>
          </cell>
          <cell r="F2021" t="str">
            <v>PAQ12a14</v>
          </cell>
          <cell r="G2021" t="str">
            <v>B</v>
          </cell>
          <cell r="H2021">
            <v>8</v>
          </cell>
        </row>
        <row r="2022">
          <cell r="A2022" t="str">
            <v>1;33;B2;B;PAQ12a14</v>
          </cell>
          <cell r="B2022">
            <v>730069</v>
          </cell>
          <cell r="C2022" t="str">
            <v>B2</v>
          </cell>
          <cell r="D2022" t="str">
            <v>BALEARES AÉREO 2</v>
          </cell>
          <cell r="E2022" t="str">
            <v>33</v>
          </cell>
          <cell r="F2022" t="str">
            <v>PAQ12a14</v>
          </cell>
          <cell r="G2022" t="str">
            <v>B</v>
          </cell>
          <cell r="H2022">
            <v>107.78</v>
          </cell>
        </row>
        <row r="2023">
          <cell r="A2023" t="str">
            <v>1;33;B2;B;PAQ14a16</v>
          </cell>
          <cell r="B2023">
            <v>730069</v>
          </cell>
          <cell r="C2023" t="str">
            <v>B2</v>
          </cell>
          <cell r="D2023" t="str">
            <v>BALEARES AÉREO 2</v>
          </cell>
          <cell r="E2023" t="str">
            <v>33</v>
          </cell>
          <cell r="F2023" t="str">
            <v>PAQ14a16</v>
          </cell>
          <cell r="G2023" t="str">
            <v>B</v>
          </cell>
          <cell r="H2023">
            <v>122.18</v>
          </cell>
        </row>
        <row r="2024">
          <cell r="A2024" t="str">
            <v>4;33;B2;B;PAQ14a16</v>
          </cell>
          <cell r="B2024">
            <v>730069</v>
          </cell>
          <cell r="C2024" t="str">
            <v>B2</v>
          </cell>
          <cell r="D2024" t="str">
            <v>BALEARES AÉREO 2</v>
          </cell>
          <cell r="E2024" t="str">
            <v>33</v>
          </cell>
          <cell r="F2024" t="str">
            <v>PAQ14a16</v>
          </cell>
          <cell r="G2024" t="str">
            <v>B</v>
          </cell>
          <cell r="H2024">
            <v>8</v>
          </cell>
        </row>
        <row r="2025">
          <cell r="A2025" t="str">
            <v>4;33;B2;B;PAQ16a18</v>
          </cell>
          <cell r="B2025">
            <v>730069</v>
          </cell>
          <cell r="C2025" t="str">
            <v>B2</v>
          </cell>
          <cell r="D2025" t="str">
            <v>BALEARES AÉREO 2</v>
          </cell>
          <cell r="E2025" t="str">
            <v>33</v>
          </cell>
          <cell r="F2025" t="str">
            <v>PAQ16a18</v>
          </cell>
          <cell r="G2025" t="str">
            <v>B</v>
          </cell>
          <cell r="H2025">
            <v>8</v>
          </cell>
        </row>
        <row r="2026">
          <cell r="A2026" t="str">
            <v>1;33;B2;B;PAQ16a18</v>
          </cell>
          <cell r="B2026">
            <v>730069</v>
          </cell>
          <cell r="C2026" t="str">
            <v>B2</v>
          </cell>
          <cell r="D2026" t="str">
            <v>BALEARES AÉREO 2</v>
          </cell>
          <cell r="E2026" t="str">
            <v>33</v>
          </cell>
          <cell r="F2026" t="str">
            <v>PAQ16a18</v>
          </cell>
          <cell r="G2026" t="str">
            <v>B</v>
          </cell>
          <cell r="H2026">
            <v>136.58000000000001</v>
          </cell>
        </row>
        <row r="2027">
          <cell r="A2027" t="str">
            <v>1;33;B2;B;PAQ18a20</v>
          </cell>
          <cell r="B2027">
            <v>730069</v>
          </cell>
          <cell r="C2027" t="str">
            <v>B2</v>
          </cell>
          <cell r="D2027" t="str">
            <v>BALEARES AÉREO 2</v>
          </cell>
          <cell r="E2027" t="str">
            <v>33</v>
          </cell>
          <cell r="F2027" t="str">
            <v>PAQ18a20</v>
          </cell>
          <cell r="G2027" t="str">
            <v>B</v>
          </cell>
          <cell r="H2027">
            <v>150.97999999999999</v>
          </cell>
        </row>
        <row r="2028">
          <cell r="A2028" t="str">
            <v>4;33;B2;B;PAQ18a20</v>
          </cell>
          <cell r="B2028">
            <v>730069</v>
          </cell>
          <cell r="C2028" t="str">
            <v>B2</v>
          </cell>
          <cell r="D2028" t="str">
            <v>BALEARES AÉREO 2</v>
          </cell>
          <cell r="E2028" t="str">
            <v>33</v>
          </cell>
          <cell r="F2028" t="str">
            <v>PAQ18a20</v>
          </cell>
          <cell r="G2028" t="str">
            <v>B</v>
          </cell>
          <cell r="H2028">
            <v>8</v>
          </cell>
        </row>
        <row r="2029">
          <cell r="A2029" t="str">
            <v>1;33;B2;B;PAQ20a22</v>
          </cell>
          <cell r="B2029">
            <v>730069</v>
          </cell>
          <cell r="C2029" t="str">
            <v>B2</v>
          </cell>
          <cell r="D2029" t="str">
            <v>BALEARES AÉREO 2</v>
          </cell>
          <cell r="E2029" t="str">
            <v>33</v>
          </cell>
          <cell r="F2029" t="str">
            <v>PAQ20a22</v>
          </cell>
          <cell r="G2029" t="str">
            <v>B</v>
          </cell>
          <cell r="H2029">
            <v>165.38</v>
          </cell>
        </row>
        <row r="2030">
          <cell r="A2030" t="str">
            <v>4;33;B2;B;PAQ20a22</v>
          </cell>
          <cell r="B2030">
            <v>730069</v>
          </cell>
          <cell r="C2030" t="str">
            <v>B2</v>
          </cell>
          <cell r="D2030" t="str">
            <v>BALEARES AÉREO 2</v>
          </cell>
          <cell r="E2030" t="str">
            <v>33</v>
          </cell>
          <cell r="F2030" t="str">
            <v>PAQ20a22</v>
          </cell>
          <cell r="G2030" t="str">
            <v>B</v>
          </cell>
          <cell r="H2030">
            <v>8</v>
          </cell>
        </row>
        <row r="2031">
          <cell r="A2031" t="str">
            <v>4;33;B2;B;PAQ22a24</v>
          </cell>
          <cell r="B2031">
            <v>730069</v>
          </cell>
          <cell r="C2031" t="str">
            <v>B2</v>
          </cell>
          <cell r="D2031" t="str">
            <v>BALEARES AÉREO 2</v>
          </cell>
          <cell r="E2031" t="str">
            <v>33</v>
          </cell>
          <cell r="F2031" t="str">
            <v>PAQ22a24</v>
          </cell>
          <cell r="G2031" t="str">
            <v>B</v>
          </cell>
          <cell r="H2031">
            <v>8</v>
          </cell>
        </row>
        <row r="2032">
          <cell r="A2032" t="str">
            <v>1;33;B2;B;PAQ22a24</v>
          </cell>
          <cell r="B2032">
            <v>730069</v>
          </cell>
          <cell r="C2032" t="str">
            <v>B2</v>
          </cell>
          <cell r="D2032" t="str">
            <v>BALEARES AÉREO 2</v>
          </cell>
          <cell r="E2032" t="str">
            <v>33</v>
          </cell>
          <cell r="F2032" t="str">
            <v>PAQ22a24</v>
          </cell>
          <cell r="G2032" t="str">
            <v>B</v>
          </cell>
          <cell r="H2032">
            <v>179.78</v>
          </cell>
        </row>
        <row r="2033">
          <cell r="A2033" t="str">
            <v>4;33;B2;B;PAQ24a26</v>
          </cell>
          <cell r="B2033">
            <v>730069</v>
          </cell>
          <cell r="C2033" t="str">
            <v>B2</v>
          </cell>
          <cell r="D2033" t="str">
            <v>BALEARES AÉREO 2</v>
          </cell>
          <cell r="E2033" t="str">
            <v>33</v>
          </cell>
          <cell r="F2033" t="str">
            <v>PAQ24a26</v>
          </cell>
          <cell r="G2033" t="str">
            <v>B</v>
          </cell>
          <cell r="H2033">
            <v>8</v>
          </cell>
        </row>
        <row r="2034">
          <cell r="A2034" t="str">
            <v>1;33;B2;B;PAQ24a26</v>
          </cell>
          <cell r="B2034">
            <v>730069</v>
          </cell>
          <cell r="C2034" t="str">
            <v>B2</v>
          </cell>
          <cell r="D2034" t="str">
            <v>BALEARES AÉREO 2</v>
          </cell>
          <cell r="E2034" t="str">
            <v>33</v>
          </cell>
          <cell r="F2034" t="str">
            <v>PAQ24a26</v>
          </cell>
          <cell r="G2034" t="str">
            <v>B</v>
          </cell>
          <cell r="H2034">
            <v>194.18</v>
          </cell>
        </row>
        <row r="2035">
          <cell r="A2035" t="str">
            <v>1;33;B2;B;PAQ26a28</v>
          </cell>
          <cell r="B2035">
            <v>730069</v>
          </cell>
          <cell r="C2035" t="str">
            <v>B2</v>
          </cell>
          <cell r="D2035" t="str">
            <v>BALEARES AÉREO 2</v>
          </cell>
          <cell r="E2035" t="str">
            <v>33</v>
          </cell>
          <cell r="F2035" t="str">
            <v>PAQ26a28</v>
          </cell>
          <cell r="G2035" t="str">
            <v>B</v>
          </cell>
          <cell r="H2035">
            <v>208.58</v>
          </cell>
        </row>
        <row r="2036">
          <cell r="A2036" t="str">
            <v>4;33;B2;B;PAQ26a28</v>
          </cell>
          <cell r="B2036">
            <v>730069</v>
          </cell>
          <cell r="C2036" t="str">
            <v>B2</v>
          </cell>
          <cell r="D2036" t="str">
            <v>BALEARES AÉREO 2</v>
          </cell>
          <cell r="E2036" t="str">
            <v>33</v>
          </cell>
          <cell r="F2036" t="str">
            <v>PAQ26a28</v>
          </cell>
          <cell r="G2036" t="str">
            <v>B</v>
          </cell>
          <cell r="H2036">
            <v>8</v>
          </cell>
        </row>
        <row r="2037">
          <cell r="A2037" t="str">
            <v>4;33;B2;B;PAQ28a30</v>
          </cell>
          <cell r="B2037">
            <v>730069</v>
          </cell>
          <cell r="C2037" t="str">
            <v>B2</v>
          </cell>
          <cell r="D2037" t="str">
            <v>BALEARES AÉREO 2</v>
          </cell>
          <cell r="E2037" t="str">
            <v>33</v>
          </cell>
          <cell r="F2037" t="str">
            <v>PAQ28a30</v>
          </cell>
          <cell r="G2037" t="str">
            <v>B</v>
          </cell>
          <cell r="H2037">
            <v>8</v>
          </cell>
        </row>
        <row r="2038">
          <cell r="A2038" t="str">
            <v>1;33;B2;B;PAQ28a30</v>
          </cell>
          <cell r="B2038">
            <v>730069</v>
          </cell>
          <cell r="C2038" t="str">
            <v>B2</v>
          </cell>
          <cell r="D2038" t="str">
            <v>BALEARES AÉREO 2</v>
          </cell>
          <cell r="E2038" t="str">
            <v>33</v>
          </cell>
          <cell r="F2038" t="str">
            <v>PAQ28a30</v>
          </cell>
          <cell r="G2038" t="str">
            <v>B</v>
          </cell>
          <cell r="H2038">
            <v>222.97</v>
          </cell>
        </row>
        <row r="2039">
          <cell r="A2039" t="str">
            <v>4;33;B2;B;PAQ30a32</v>
          </cell>
          <cell r="B2039">
            <v>730069</v>
          </cell>
          <cell r="C2039" t="str">
            <v>B2</v>
          </cell>
          <cell r="D2039" t="str">
            <v>BALEARES AÉREO 2</v>
          </cell>
          <cell r="E2039" t="str">
            <v>33</v>
          </cell>
          <cell r="F2039" t="str">
            <v>PAQ30a32</v>
          </cell>
          <cell r="G2039" t="str">
            <v>B</v>
          </cell>
          <cell r="H2039">
            <v>8</v>
          </cell>
        </row>
        <row r="2040">
          <cell r="A2040" t="str">
            <v>1;33;B2;B;PAQ30a32</v>
          </cell>
          <cell r="B2040">
            <v>730069</v>
          </cell>
          <cell r="C2040" t="str">
            <v>B2</v>
          </cell>
          <cell r="D2040" t="str">
            <v>BALEARES AÉREO 2</v>
          </cell>
          <cell r="E2040" t="str">
            <v>33</v>
          </cell>
          <cell r="F2040" t="str">
            <v>PAQ30a32</v>
          </cell>
          <cell r="G2040" t="str">
            <v>B</v>
          </cell>
          <cell r="H2040">
            <v>237.37</v>
          </cell>
        </row>
        <row r="2041">
          <cell r="A2041" t="str">
            <v>4;33;B2;B;PAQ32a34</v>
          </cell>
          <cell r="B2041">
            <v>730069</v>
          </cell>
          <cell r="C2041" t="str">
            <v>B2</v>
          </cell>
          <cell r="D2041" t="str">
            <v>BALEARES AÉREO 2</v>
          </cell>
          <cell r="E2041" t="str">
            <v>33</v>
          </cell>
          <cell r="F2041" t="str">
            <v>PAQ32a34</v>
          </cell>
          <cell r="G2041" t="str">
            <v>B</v>
          </cell>
          <cell r="H2041">
            <v>8</v>
          </cell>
        </row>
        <row r="2042">
          <cell r="A2042" t="str">
            <v>1;33;B2;B;PAQ32a34</v>
          </cell>
          <cell r="B2042">
            <v>730069</v>
          </cell>
          <cell r="C2042" t="str">
            <v>B2</v>
          </cell>
          <cell r="D2042" t="str">
            <v>BALEARES AÉREO 2</v>
          </cell>
          <cell r="E2042" t="str">
            <v>33</v>
          </cell>
          <cell r="F2042" t="str">
            <v>PAQ32a34</v>
          </cell>
          <cell r="G2042" t="str">
            <v>B</v>
          </cell>
          <cell r="H2042">
            <v>251.77</v>
          </cell>
        </row>
        <row r="2043">
          <cell r="A2043" t="str">
            <v>1;33;B2;B;PAQ34a36</v>
          </cell>
          <cell r="B2043">
            <v>730069</v>
          </cell>
          <cell r="C2043" t="str">
            <v>B2</v>
          </cell>
          <cell r="D2043" t="str">
            <v>BALEARES AÉREO 2</v>
          </cell>
          <cell r="E2043" t="str">
            <v>33</v>
          </cell>
          <cell r="F2043" t="str">
            <v>PAQ34a36</v>
          </cell>
          <cell r="G2043" t="str">
            <v>B</v>
          </cell>
          <cell r="H2043">
            <v>266.17</v>
          </cell>
        </row>
        <row r="2044">
          <cell r="A2044" t="str">
            <v>4;33;B2;B;PAQ34a36</v>
          </cell>
          <cell r="B2044">
            <v>730069</v>
          </cell>
          <cell r="C2044" t="str">
            <v>B2</v>
          </cell>
          <cell r="D2044" t="str">
            <v>BALEARES AÉREO 2</v>
          </cell>
          <cell r="E2044" t="str">
            <v>33</v>
          </cell>
          <cell r="F2044" t="str">
            <v>PAQ34a36</v>
          </cell>
          <cell r="G2044" t="str">
            <v>B</v>
          </cell>
          <cell r="H2044">
            <v>8</v>
          </cell>
        </row>
        <row r="2045">
          <cell r="A2045" t="str">
            <v>1;33;B2;B;PAQ36a38</v>
          </cell>
          <cell r="B2045">
            <v>730069</v>
          </cell>
          <cell r="C2045" t="str">
            <v>B2</v>
          </cell>
          <cell r="D2045" t="str">
            <v>BALEARES AÉREO 2</v>
          </cell>
          <cell r="E2045" t="str">
            <v>33</v>
          </cell>
          <cell r="F2045" t="str">
            <v>PAQ36a38</v>
          </cell>
          <cell r="G2045" t="str">
            <v>B</v>
          </cell>
          <cell r="H2045">
            <v>280.57</v>
          </cell>
        </row>
        <row r="2046">
          <cell r="A2046" t="str">
            <v>4;33;B2;B;PAQ36a38</v>
          </cell>
          <cell r="B2046">
            <v>730069</v>
          </cell>
          <cell r="C2046" t="str">
            <v>B2</v>
          </cell>
          <cell r="D2046" t="str">
            <v>BALEARES AÉREO 2</v>
          </cell>
          <cell r="E2046" t="str">
            <v>33</v>
          </cell>
          <cell r="F2046" t="str">
            <v>PAQ36a38</v>
          </cell>
          <cell r="G2046" t="str">
            <v>B</v>
          </cell>
          <cell r="H2046">
            <v>8</v>
          </cell>
        </row>
        <row r="2047">
          <cell r="A2047" t="str">
            <v>4;33;B2;B;PAQ38a40</v>
          </cell>
          <cell r="B2047">
            <v>730069</v>
          </cell>
          <cell r="C2047" t="str">
            <v>B2</v>
          </cell>
          <cell r="D2047" t="str">
            <v>BALEARES AÉREO 2</v>
          </cell>
          <cell r="E2047" t="str">
            <v>33</v>
          </cell>
          <cell r="F2047" t="str">
            <v>PAQ38a40</v>
          </cell>
          <cell r="G2047" t="str">
            <v>B</v>
          </cell>
          <cell r="H2047">
            <v>8</v>
          </cell>
        </row>
        <row r="2048">
          <cell r="A2048" t="str">
            <v>4;33;B2;F;</v>
          </cell>
          <cell r="B2048">
            <v>730069</v>
          </cell>
          <cell r="C2048" t="str">
            <v>B2</v>
          </cell>
          <cell r="D2048" t="str">
            <v>BALEARES AÉREO 2</v>
          </cell>
          <cell r="E2048" t="str">
            <v>33</v>
          </cell>
          <cell r="F2048" t="str">
            <v/>
          </cell>
          <cell r="G2048" t="str">
            <v>F</v>
          </cell>
          <cell r="H2048">
            <v>0</v>
          </cell>
        </row>
        <row r="2049">
          <cell r="A2049" t="str">
            <v>1;33;B2;F;</v>
          </cell>
          <cell r="B2049">
            <v>730069</v>
          </cell>
          <cell r="C2049" t="str">
            <v>B2</v>
          </cell>
          <cell r="D2049" t="str">
            <v>BALEARES AÉREO 2</v>
          </cell>
          <cell r="E2049" t="str">
            <v>33</v>
          </cell>
          <cell r="F2049" t="str">
            <v/>
          </cell>
          <cell r="G2049" t="str">
            <v>F</v>
          </cell>
          <cell r="H2049">
            <v>15.17</v>
          </cell>
        </row>
        <row r="2050">
          <cell r="A2050" t="str">
            <v>1;33;B2;B;PAQ38a40</v>
          </cell>
          <cell r="B2050">
            <v>730069</v>
          </cell>
          <cell r="C2050" t="str">
            <v>B2</v>
          </cell>
          <cell r="D2050" t="str">
            <v>BALEARES AÉREO 2</v>
          </cell>
          <cell r="E2050" t="str">
            <v>33</v>
          </cell>
          <cell r="F2050" t="str">
            <v>PAQ38a40</v>
          </cell>
          <cell r="G2050" t="str">
            <v>B</v>
          </cell>
          <cell r="H2050">
            <v>294.97000000000003</v>
          </cell>
        </row>
        <row r="2051">
          <cell r="A2051" t="str">
            <v>4;33;B2;P;</v>
          </cell>
          <cell r="B2051">
            <v>730069</v>
          </cell>
          <cell r="C2051" t="str">
            <v>B2</v>
          </cell>
          <cell r="D2051" t="str">
            <v>BALEARES AÉREO 2</v>
          </cell>
          <cell r="E2051" t="str">
            <v>33</v>
          </cell>
          <cell r="F2051" t="str">
            <v/>
          </cell>
          <cell r="G2051" t="str">
            <v>P</v>
          </cell>
          <cell r="H2051">
            <v>0</v>
          </cell>
        </row>
        <row r="2052">
          <cell r="A2052" t="str">
            <v>4;33;B2;E;</v>
          </cell>
          <cell r="B2052">
            <v>730069</v>
          </cell>
          <cell r="C2052" t="str">
            <v>B2</v>
          </cell>
          <cell r="D2052" t="str">
            <v>BALEARES AÉREO 2</v>
          </cell>
          <cell r="E2052" t="str">
            <v>33</v>
          </cell>
          <cell r="F2052" t="str">
            <v/>
          </cell>
          <cell r="G2052" t="str">
            <v>E</v>
          </cell>
          <cell r="H2052">
            <v>0</v>
          </cell>
        </row>
        <row r="2053">
          <cell r="A2053" t="str">
            <v>1;33;B2;P;</v>
          </cell>
          <cell r="B2053">
            <v>730069</v>
          </cell>
          <cell r="C2053" t="str">
            <v>B2</v>
          </cell>
          <cell r="D2053" t="str">
            <v>BALEARES AÉREO 2</v>
          </cell>
          <cell r="E2053" t="str">
            <v>33</v>
          </cell>
          <cell r="F2053" t="str">
            <v/>
          </cell>
          <cell r="G2053" t="str">
            <v>P</v>
          </cell>
          <cell r="H2053">
            <v>0</v>
          </cell>
        </row>
        <row r="2054">
          <cell r="A2054" t="str">
            <v>1;33;B2;E;</v>
          </cell>
          <cell r="B2054">
            <v>730069</v>
          </cell>
          <cell r="C2054" t="str">
            <v>B2</v>
          </cell>
          <cell r="D2054" t="str">
            <v>BALEARES AÉREO 2</v>
          </cell>
          <cell r="E2054" t="str">
            <v>33</v>
          </cell>
          <cell r="F2054" t="str">
            <v/>
          </cell>
          <cell r="G2054" t="str">
            <v>E</v>
          </cell>
          <cell r="H2054">
            <v>0</v>
          </cell>
        </row>
        <row r="2055">
          <cell r="A2055" t="str">
            <v>1;72;B2;B;48L 15-25</v>
          </cell>
          <cell r="B2055">
            <v>730069</v>
          </cell>
          <cell r="C2055" t="str">
            <v>B2</v>
          </cell>
          <cell r="D2055" t="str">
            <v>BALEARES AÉREO 2</v>
          </cell>
          <cell r="E2055" t="str">
            <v>72</v>
          </cell>
          <cell r="F2055" t="str">
            <v>48L 15-25</v>
          </cell>
          <cell r="G2055" t="str">
            <v>B</v>
          </cell>
          <cell r="H2055">
            <v>139.88999999999999</v>
          </cell>
        </row>
        <row r="2056">
          <cell r="A2056" t="str">
            <v>1;72;B2;B;48LAR</v>
          </cell>
          <cell r="B2056">
            <v>730069</v>
          </cell>
          <cell r="C2056" t="str">
            <v>B2</v>
          </cell>
          <cell r="D2056" t="str">
            <v>BALEARES AÉREO 2</v>
          </cell>
          <cell r="E2056" t="str">
            <v>72</v>
          </cell>
          <cell r="F2056" t="str">
            <v>48LAR</v>
          </cell>
          <cell r="G2056" t="str">
            <v>B</v>
          </cell>
          <cell r="H2056">
            <v>161.03</v>
          </cell>
        </row>
        <row r="2057">
          <cell r="A2057" t="str">
            <v>1;72;B2;B;48M 15-25</v>
          </cell>
          <cell r="B2057">
            <v>730069</v>
          </cell>
          <cell r="C2057" t="str">
            <v>B2</v>
          </cell>
          <cell r="D2057" t="str">
            <v>BALEARES AÉREO 2</v>
          </cell>
          <cell r="E2057" t="str">
            <v>72</v>
          </cell>
          <cell r="F2057" t="str">
            <v>48M 15-25</v>
          </cell>
          <cell r="G2057" t="str">
            <v>B</v>
          </cell>
          <cell r="H2057">
            <v>117.66</v>
          </cell>
        </row>
        <row r="2058">
          <cell r="A2058" t="str">
            <v>1;72;B2;B;48MED</v>
          </cell>
          <cell r="B2058">
            <v>730069</v>
          </cell>
          <cell r="C2058" t="str">
            <v>B2</v>
          </cell>
          <cell r="D2058" t="str">
            <v>BALEARES AÉREO 2</v>
          </cell>
          <cell r="E2058" t="str">
            <v>72</v>
          </cell>
          <cell r="F2058" t="str">
            <v>48MED</v>
          </cell>
          <cell r="G2058" t="str">
            <v>B</v>
          </cell>
          <cell r="H2058">
            <v>122.5</v>
          </cell>
        </row>
        <row r="2059">
          <cell r="A2059" t="str">
            <v>1;72;B2;B;48S 15-25</v>
          </cell>
          <cell r="B2059">
            <v>730069</v>
          </cell>
          <cell r="C2059" t="str">
            <v>B2</v>
          </cell>
          <cell r="D2059" t="str">
            <v>BALEARES AÉREO 2</v>
          </cell>
          <cell r="E2059" t="str">
            <v>72</v>
          </cell>
          <cell r="F2059" t="str">
            <v>48S 15-25</v>
          </cell>
          <cell r="G2059" t="str">
            <v>B</v>
          </cell>
          <cell r="H2059">
            <v>98</v>
          </cell>
        </row>
        <row r="2060">
          <cell r="A2060" t="str">
            <v>1;72;B2;B;48SMA</v>
          </cell>
          <cell r="B2060">
            <v>730069</v>
          </cell>
          <cell r="C2060" t="str">
            <v>B2</v>
          </cell>
          <cell r="D2060" t="str">
            <v>BALEARES AÉREO 2</v>
          </cell>
          <cell r="E2060" t="str">
            <v>72</v>
          </cell>
          <cell r="F2060" t="str">
            <v>48SMA</v>
          </cell>
          <cell r="G2060" t="str">
            <v>B</v>
          </cell>
          <cell r="H2060">
            <v>100.17</v>
          </cell>
        </row>
        <row r="2061">
          <cell r="A2061" t="str">
            <v>1;72;B2;B;96M 15-25</v>
          </cell>
          <cell r="B2061">
            <v>730069</v>
          </cell>
          <cell r="C2061" t="str">
            <v>B2</v>
          </cell>
          <cell r="D2061" t="str">
            <v>BALEARES AÉREO 2</v>
          </cell>
          <cell r="E2061" t="str">
            <v>72</v>
          </cell>
          <cell r="F2061" t="str">
            <v>96M 15-25</v>
          </cell>
          <cell r="G2061" t="str">
            <v>B</v>
          </cell>
          <cell r="H2061">
            <v>171.71</v>
          </cell>
        </row>
        <row r="2062">
          <cell r="A2062" t="str">
            <v>1;72;B2;B;96MED</v>
          </cell>
          <cell r="B2062">
            <v>730069</v>
          </cell>
          <cell r="C2062" t="str">
            <v>B2</v>
          </cell>
          <cell r="D2062" t="str">
            <v>BALEARES AÉREO 2</v>
          </cell>
          <cell r="E2062" t="str">
            <v>72</v>
          </cell>
          <cell r="F2062" t="str">
            <v>96MED</v>
          </cell>
          <cell r="G2062" t="str">
            <v>B</v>
          </cell>
          <cell r="H2062">
            <v>194.75</v>
          </cell>
        </row>
        <row r="2063">
          <cell r="A2063" t="str">
            <v>1;72;B2;B;96S 15-25</v>
          </cell>
          <cell r="B2063">
            <v>730069</v>
          </cell>
          <cell r="C2063" t="str">
            <v>B2</v>
          </cell>
          <cell r="D2063" t="str">
            <v>BALEARES AÉREO 2</v>
          </cell>
          <cell r="E2063" t="str">
            <v>72</v>
          </cell>
          <cell r="F2063" t="str">
            <v>96S 15-25</v>
          </cell>
          <cell r="G2063" t="str">
            <v>B</v>
          </cell>
          <cell r="H2063">
            <v>130.62</v>
          </cell>
        </row>
        <row r="2064">
          <cell r="A2064" t="str">
            <v>1;72;B2;B;96SMA</v>
          </cell>
          <cell r="B2064">
            <v>730069</v>
          </cell>
          <cell r="C2064" t="str">
            <v>B2</v>
          </cell>
          <cell r="D2064" t="str">
            <v>BALEARES AÉREO 2</v>
          </cell>
          <cell r="E2064" t="str">
            <v>72</v>
          </cell>
          <cell r="F2064" t="str">
            <v>96SMA</v>
          </cell>
          <cell r="G2064" t="str">
            <v>B</v>
          </cell>
          <cell r="H2064">
            <v>133.11000000000001</v>
          </cell>
        </row>
        <row r="2065">
          <cell r="A2065" t="str">
            <v>1;73;B2;B;48L 15-25</v>
          </cell>
          <cell r="B2065">
            <v>730069</v>
          </cell>
          <cell r="C2065" t="str">
            <v>B2</v>
          </cell>
          <cell r="D2065" t="str">
            <v>BALEARES AÉREO 2</v>
          </cell>
          <cell r="E2065" t="str">
            <v>73</v>
          </cell>
          <cell r="F2065" t="str">
            <v>48L 15-25</v>
          </cell>
          <cell r="G2065" t="str">
            <v>B</v>
          </cell>
          <cell r="H2065">
            <v>135.65</v>
          </cell>
        </row>
        <row r="2066">
          <cell r="A2066" t="str">
            <v>1;73;B2;B;48LAR</v>
          </cell>
          <cell r="B2066">
            <v>730069</v>
          </cell>
          <cell r="C2066" t="str">
            <v>B2</v>
          </cell>
          <cell r="D2066" t="str">
            <v>BALEARES AÉREO 2</v>
          </cell>
          <cell r="E2066" t="str">
            <v>73</v>
          </cell>
          <cell r="F2066" t="str">
            <v>48LAR</v>
          </cell>
          <cell r="G2066" t="str">
            <v>B</v>
          </cell>
          <cell r="H2066">
            <v>202.36</v>
          </cell>
        </row>
        <row r="2067">
          <cell r="A2067" t="str">
            <v>1;73;B2;B;48M 15-25</v>
          </cell>
          <cell r="B2067">
            <v>730069</v>
          </cell>
          <cell r="C2067" t="str">
            <v>B2</v>
          </cell>
          <cell r="D2067" t="str">
            <v>BALEARES AÉREO 2</v>
          </cell>
          <cell r="E2067" t="str">
            <v>73</v>
          </cell>
          <cell r="F2067" t="str">
            <v>48M 15-25</v>
          </cell>
          <cell r="G2067" t="str">
            <v>B</v>
          </cell>
          <cell r="H2067">
            <v>119.55</v>
          </cell>
        </row>
        <row r="2068">
          <cell r="A2068" t="str">
            <v>1;73;B2;B;48MED</v>
          </cell>
          <cell r="B2068">
            <v>730069</v>
          </cell>
          <cell r="C2068" t="str">
            <v>B2</v>
          </cell>
          <cell r="D2068" t="str">
            <v>BALEARES AÉREO 2</v>
          </cell>
          <cell r="E2068" t="str">
            <v>73</v>
          </cell>
          <cell r="F2068" t="str">
            <v>48MED</v>
          </cell>
          <cell r="G2068" t="str">
            <v>B</v>
          </cell>
          <cell r="H2068">
            <v>165.07</v>
          </cell>
        </row>
        <row r="2069">
          <cell r="A2069" t="str">
            <v>1;73;B2;B;48S 15-25</v>
          </cell>
          <cell r="B2069">
            <v>730069</v>
          </cell>
          <cell r="C2069" t="str">
            <v>B2</v>
          </cell>
          <cell r="D2069" t="str">
            <v>BALEARES AÉREO 2</v>
          </cell>
          <cell r="E2069" t="str">
            <v>73</v>
          </cell>
          <cell r="F2069" t="str">
            <v>48S 15-25</v>
          </cell>
          <cell r="G2069" t="str">
            <v>B</v>
          </cell>
          <cell r="H2069">
            <v>107.34</v>
          </cell>
        </row>
        <row r="2070">
          <cell r="A2070" t="str">
            <v>1;73;B2;B;48SMA</v>
          </cell>
          <cell r="B2070">
            <v>730069</v>
          </cell>
          <cell r="C2070" t="str">
            <v>B2</v>
          </cell>
          <cell r="D2070" t="str">
            <v>BALEARES AÉREO 2</v>
          </cell>
          <cell r="E2070" t="str">
            <v>73</v>
          </cell>
          <cell r="F2070" t="str">
            <v>48SMA</v>
          </cell>
          <cell r="G2070" t="str">
            <v>B</v>
          </cell>
          <cell r="H2070">
            <v>144.26</v>
          </cell>
        </row>
        <row r="2071">
          <cell r="A2071" t="str">
            <v>1;73;B2;B;96M 15-25</v>
          </cell>
          <cell r="B2071">
            <v>730069</v>
          </cell>
          <cell r="C2071" t="str">
            <v>B2</v>
          </cell>
          <cell r="D2071" t="str">
            <v>BALEARES AÉREO 2</v>
          </cell>
          <cell r="E2071" t="str">
            <v>73</v>
          </cell>
          <cell r="F2071" t="str">
            <v>96M 15-25</v>
          </cell>
          <cell r="G2071" t="str">
            <v>B</v>
          </cell>
          <cell r="H2071">
            <v>180.36</v>
          </cell>
        </row>
        <row r="2072">
          <cell r="A2072" t="str">
            <v>1;73;B2;B;96MED</v>
          </cell>
          <cell r="B2072">
            <v>730069</v>
          </cell>
          <cell r="C2072" t="str">
            <v>B2</v>
          </cell>
          <cell r="D2072" t="str">
            <v>BALEARES AÉREO 2</v>
          </cell>
          <cell r="E2072" t="str">
            <v>73</v>
          </cell>
          <cell r="F2072" t="str">
            <v>96MED</v>
          </cell>
          <cell r="G2072" t="str">
            <v>B</v>
          </cell>
          <cell r="H2072">
            <v>240.9</v>
          </cell>
        </row>
        <row r="2073">
          <cell r="A2073" t="str">
            <v>1;73;B2;B;96S 15-25</v>
          </cell>
          <cell r="B2073">
            <v>730069</v>
          </cell>
          <cell r="C2073" t="str">
            <v>B2</v>
          </cell>
          <cell r="D2073" t="str">
            <v>BALEARES AÉREO 2</v>
          </cell>
          <cell r="E2073" t="str">
            <v>73</v>
          </cell>
          <cell r="F2073" t="str">
            <v>96S 15-25</v>
          </cell>
          <cell r="G2073" t="str">
            <v>B</v>
          </cell>
          <cell r="H2073">
            <v>138.04</v>
          </cell>
        </row>
        <row r="2074">
          <cell r="A2074" t="str">
            <v>1;73;B2;B;96SMA</v>
          </cell>
          <cell r="B2074">
            <v>730069</v>
          </cell>
          <cell r="C2074" t="str">
            <v>B2</v>
          </cell>
          <cell r="D2074" t="str">
            <v>BALEARES AÉREO 2</v>
          </cell>
          <cell r="E2074" t="str">
            <v>73</v>
          </cell>
          <cell r="F2074" t="str">
            <v>96SMA</v>
          </cell>
          <cell r="G2074" t="str">
            <v>B</v>
          </cell>
          <cell r="H2074">
            <v>165.59</v>
          </cell>
        </row>
        <row r="2075">
          <cell r="A2075" t="str">
            <v>1;78;B2;B;48L 15-25</v>
          </cell>
          <cell r="B2075">
            <v>730069</v>
          </cell>
          <cell r="C2075" t="str">
            <v>B2</v>
          </cell>
          <cell r="D2075" t="str">
            <v>BALEARES AÉREO 2</v>
          </cell>
          <cell r="E2075" t="str">
            <v>78</v>
          </cell>
          <cell r="F2075" t="str">
            <v>48L 15-25</v>
          </cell>
          <cell r="G2075" t="str">
            <v>B</v>
          </cell>
          <cell r="H2075">
            <v>5</v>
          </cell>
        </row>
        <row r="2076">
          <cell r="A2076" t="str">
            <v>1;78;B2;B;48LAR</v>
          </cell>
          <cell r="B2076">
            <v>730069</v>
          </cell>
          <cell r="C2076" t="str">
            <v>B2</v>
          </cell>
          <cell r="D2076" t="str">
            <v>BALEARES AÉREO 2</v>
          </cell>
          <cell r="E2076" t="str">
            <v>78</v>
          </cell>
          <cell r="F2076" t="str">
            <v>48LAR</v>
          </cell>
          <cell r="G2076" t="str">
            <v>B</v>
          </cell>
          <cell r="H2076">
            <v>5</v>
          </cell>
        </row>
        <row r="2077">
          <cell r="A2077" t="str">
            <v>1;78;B2;B;48M 15-25</v>
          </cell>
          <cell r="B2077">
            <v>730069</v>
          </cell>
          <cell r="C2077" t="str">
            <v>B2</v>
          </cell>
          <cell r="D2077" t="str">
            <v>BALEARES AÉREO 2</v>
          </cell>
          <cell r="E2077" t="str">
            <v>78</v>
          </cell>
          <cell r="F2077" t="str">
            <v>48M 15-25</v>
          </cell>
          <cell r="G2077" t="str">
            <v>B</v>
          </cell>
          <cell r="H2077">
            <v>5</v>
          </cell>
        </row>
        <row r="2078">
          <cell r="A2078" t="str">
            <v>1;78;B2;B;48MED</v>
          </cell>
          <cell r="B2078">
            <v>730069</v>
          </cell>
          <cell r="C2078" t="str">
            <v>B2</v>
          </cell>
          <cell r="D2078" t="str">
            <v>BALEARES AÉREO 2</v>
          </cell>
          <cell r="E2078" t="str">
            <v>78</v>
          </cell>
          <cell r="F2078" t="str">
            <v>48MED</v>
          </cell>
          <cell r="G2078" t="str">
            <v>B</v>
          </cell>
          <cell r="H2078">
            <v>5</v>
          </cell>
        </row>
        <row r="2079">
          <cell r="A2079" t="str">
            <v>1;78;B2;B;48S 15-25</v>
          </cell>
          <cell r="B2079">
            <v>730069</v>
          </cell>
          <cell r="C2079" t="str">
            <v>B2</v>
          </cell>
          <cell r="D2079" t="str">
            <v>BALEARES AÉREO 2</v>
          </cell>
          <cell r="E2079" t="str">
            <v>78</v>
          </cell>
          <cell r="F2079" t="str">
            <v>48S 15-25</v>
          </cell>
          <cell r="G2079" t="str">
            <v>B</v>
          </cell>
          <cell r="H2079">
            <v>5</v>
          </cell>
        </row>
        <row r="2080">
          <cell r="A2080" t="str">
            <v>1;78;B2;B;48SMA</v>
          </cell>
          <cell r="B2080">
            <v>730069</v>
          </cell>
          <cell r="C2080" t="str">
            <v>B2</v>
          </cell>
          <cell r="D2080" t="str">
            <v>BALEARES AÉREO 2</v>
          </cell>
          <cell r="E2080" t="str">
            <v>78</v>
          </cell>
          <cell r="F2080" t="str">
            <v>48SMA</v>
          </cell>
          <cell r="G2080" t="str">
            <v>B</v>
          </cell>
          <cell r="H2080">
            <v>5</v>
          </cell>
        </row>
        <row r="2081">
          <cell r="A2081" t="str">
            <v>1;78;B2;B;96M 15-25</v>
          </cell>
          <cell r="B2081">
            <v>730069</v>
          </cell>
          <cell r="C2081" t="str">
            <v>B2</v>
          </cell>
          <cell r="D2081" t="str">
            <v>BALEARES AÉREO 2</v>
          </cell>
          <cell r="E2081" t="str">
            <v>78</v>
          </cell>
          <cell r="F2081" t="str">
            <v>96M 15-25</v>
          </cell>
          <cell r="G2081" t="str">
            <v>B</v>
          </cell>
          <cell r="H2081">
            <v>5</v>
          </cell>
        </row>
        <row r="2082">
          <cell r="A2082" t="str">
            <v>1;78;B2;B;96MED</v>
          </cell>
          <cell r="B2082">
            <v>730069</v>
          </cell>
          <cell r="C2082" t="str">
            <v>B2</v>
          </cell>
          <cell r="D2082" t="str">
            <v>BALEARES AÉREO 2</v>
          </cell>
          <cell r="E2082" t="str">
            <v>78</v>
          </cell>
          <cell r="F2082" t="str">
            <v>96MED</v>
          </cell>
          <cell r="G2082" t="str">
            <v>B</v>
          </cell>
          <cell r="H2082">
            <v>5</v>
          </cell>
        </row>
        <row r="2083">
          <cell r="A2083" t="str">
            <v>1;78;B2;B;96S 15-25</v>
          </cell>
          <cell r="B2083">
            <v>730069</v>
          </cell>
          <cell r="C2083" t="str">
            <v>B2</v>
          </cell>
          <cell r="D2083" t="str">
            <v>BALEARES AÉREO 2</v>
          </cell>
          <cell r="E2083" t="str">
            <v>78</v>
          </cell>
          <cell r="F2083" t="str">
            <v>96S 15-25</v>
          </cell>
          <cell r="G2083" t="str">
            <v>B</v>
          </cell>
          <cell r="H2083">
            <v>5</v>
          </cell>
        </row>
        <row r="2084">
          <cell r="A2084" t="str">
            <v>1;78;B2;B;96SMA</v>
          </cell>
          <cell r="B2084">
            <v>730069</v>
          </cell>
          <cell r="C2084" t="str">
            <v>B2</v>
          </cell>
          <cell r="D2084" t="str">
            <v>BALEARES AÉREO 2</v>
          </cell>
          <cell r="E2084" t="str">
            <v>78</v>
          </cell>
          <cell r="F2084" t="str">
            <v>96SMA</v>
          </cell>
          <cell r="G2084" t="str">
            <v>B</v>
          </cell>
          <cell r="H2084">
            <v>5</v>
          </cell>
        </row>
        <row r="2085">
          <cell r="A2085" t="str">
            <v>1;79;B2;B;48L 15-25</v>
          </cell>
          <cell r="B2085">
            <v>730069</v>
          </cell>
          <cell r="C2085" t="str">
            <v>B2</v>
          </cell>
          <cell r="D2085" t="str">
            <v>BALEARES AÉREO 2</v>
          </cell>
          <cell r="E2085" t="str">
            <v>79</v>
          </cell>
          <cell r="F2085" t="str">
            <v>48L 15-25</v>
          </cell>
          <cell r="G2085" t="str">
            <v>B</v>
          </cell>
          <cell r="H2085">
            <v>0</v>
          </cell>
        </row>
        <row r="2086">
          <cell r="A2086" t="str">
            <v>1;79;B2;B;48LAR</v>
          </cell>
          <cell r="B2086">
            <v>730069</v>
          </cell>
          <cell r="C2086" t="str">
            <v>B2</v>
          </cell>
          <cell r="D2086" t="str">
            <v>BALEARES AÉREO 2</v>
          </cell>
          <cell r="E2086" t="str">
            <v>79</v>
          </cell>
          <cell r="F2086" t="str">
            <v>48LAR</v>
          </cell>
          <cell r="G2086" t="str">
            <v>B</v>
          </cell>
          <cell r="H2086">
            <v>0</v>
          </cell>
        </row>
        <row r="2087">
          <cell r="A2087" t="str">
            <v>1;79;B2;B;48M 15-25</v>
          </cell>
          <cell r="B2087">
            <v>730069</v>
          </cell>
          <cell r="C2087" t="str">
            <v>B2</v>
          </cell>
          <cell r="D2087" t="str">
            <v>BALEARES AÉREO 2</v>
          </cell>
          <cell r="E2087" t="str">
            <v>79</v>
          </cell>
          <cell r="F2087" t="str">
            <v>48M 15-25</v>
          </cell>
          <cell r="G2087" t="str">
            <v>B</v>
          </cell>
          <cell r="H2087">
            <v>0</v>
          </cell>
        </row>
        <row r="2088">
          <cell r="A2088" t="str">
            <v>1;79;B2;B;48MED</v>
          </cell>
          <cell r="B2088">
            <v>730069</v>
          </cell>
          <cell r="C2088" t="str">
            <v>B2</v>
          </cell>
          <cell r="D2088" t="str">
            <v>BALEARES AÉREO 2</v>
          </cell>
          <cell r="E2088" t="str">
            <v>79</v>
          </cell>
          <cell r="F2088" t="str">
            <v>48MED</v>
          </cell>
          <cell r="G2088" t="str">
            <v>B</v>
          </cell>
          <cell r="H2088">
            <v>0</v>
          </cell>
        </row>
        <row r="2089">
          <cell r="A2089" t="str">
            <v>1;79;B2;B;48S 15-25</v>
          </cell>
          <cell r="B2089">
            <v>730069</v>
          </cell>
          <cell r="C2089" t="str">
            <v>B2</v>
          </cell>
          <cell r="D2089" t="str">
            <v>BALEARES AÉREO 2</v>
          </cell>
          <cell r="E2089" t="str">
            <v>79</v>
          </cell>
          <cell r="F2089" t="str">
            <v>48S 15-25</v>
          </cell>
          <cell r="G2089" t="str">
            <v>B</v>
          </cell>
          <cell r="H2089">
            <v>0</v>
          </cell>
        </row>
        <row r="2090">
          <cell r="A2090" t="str">
            <v>1;79;B2;B;48SMA</v>
          </cell>
          <cell r="B2090">
            <v>730069</v>
          </cell>
          <cell r="C2090" t="str">
            <v>B2</v>
          </cell>
          <cell r="D2090" t="str">
            <v>BALEARES AÉREO 2</v>
          </cell>
          <cell r="E2090" t="str">
            <v>79</v>
          </cell>
          <cell r="F2090" t="str">
            <v>48SMA</v>
          </cell>
          <cell r="G2090" t="str">
            <v>B</v>
          </cell>
          <cell r="H2090">
            <v>0</v>
          </cell>
        </row>
        <row r="2091">
          <cell r="A2091" t="str">
            <v>1;79;B2;B;96M 15-25</v>
          </cell>
          <cell r="B2091">
            <v>730069</v>
          </cell>
          <cell r="C2091" t="str">
            <v>B2</v>
          </cell>
          <cell r="D2091" t="str">
            <v>BALEARES AÉREO 2</v>
          </cell>
          <cell r="E2091" t="str">
            <v>79</v>
          </cell>
          <cell r="F2091" t="str">
            <v>96M 15-25</v>
          </cell>
          <cell r="G2091" t="str">
            <v>B</v>
          </cell>
          <cell r="H2091">
            <v>0</v>
          </cell>
        </row>
        <row r="2092">
          <cell r="A2092" t="str">
            <v>1;79;B2;B;96MED</v>
          </cell>
          <cell r="B2092">
            <v>730069</v>
          </cell>
          <cell r="C2092" t="str">
            <v>B2</v>
          </cell>
          <cell r="D2092" t="str">
            <v>BALEARES AÉREO 2</v>
          </cell>
          <cell r="E2092" t="str">
            <v>79</v>
          </cell>
          <cell r="F2092" t="str">
            <v>96MED</v>
          </cell>
          <cell r="G2092" t="str">
            <v>B</v>
          </cell>
          <cell r="H2092">
            <v>0</v>
          </cell>
        </row>
        <row r="2093">
          <cell r="A2093" t="str">
            <v>1;79;B2;B;96S 15-25</v>
          </cell>
          <cell r="B2093">
            <v>730069</v>
          </cell>
          <cell r="C2093" t="str">
            <v>B2</v>
          </cell>
          <cell r="D2093" t="str">
            <v>BALEARES AÉREO 2</v>
          </cell>
          <cell r="E2093" t="str">
            <v>79</v>
          </cell>
          <cell r="F2093" t="str">
            <v>96S 15-25</v>
          </cell>
          <cell r="G2093" t="str">
            <v>B</v>
          </cell>
          <cell r="H2093">
            <v>0</v>
          </cell>
        </row>
        <row r="2094">
          <cell r="A2094" t="str">
            <v>1;79;B2;B;96SMA</v>
          </cell>
          <cell r="B2094">
            <v>730069</v>
          </cell>
          <cell r="C2094" t="str">
            <v>B2</v>
          </cell>
          <cell r="D2094" t="str">
            <v>BALEARES AÉREO 2</v>
          </cell>
          <cell r="E2094" t="str">
            <v>79</v>
          </cell>
          <cell r="F2094" t="str">
            <v>96SMA</v>
          </cell>
          <cell r="G2094" t="str">
            <v>B</v>
          </cell>
          <cell r="H2094">
            <v>0</v>
          </cell>
        </row>
        <row r="2095">
          <cell r="A2095" t="str">
            <v>1;E;C;B;BAG</v>
          </cell>
          <cell r="B2095">
            <v>730069</v>
          </cell>
          <cell r="C2095" t="str">
            <v>C</v>
          </cell>
          <cell r="D2095" t="str">
            <v>CANARIAS</v>
          </cell>
          <cell r="E2095" t="str">
            <v>E</v>
          </cell>
          <cell r="F2095" t="str">
            <v>BAG</v>
          </cell>
          <cell r="G2095" t="str">
            <v>B</v>
          </cell>
          <cell r="H2095">
            <v>0</v>
          </cell>
        </row>
        <row r="2096">
          <cell r="A2096" t="str">
            <v>1;E;C;B;PAQ00a02</v>
          </cell>
          <cell r="B2096">
            <v>730069</v>
          </cell>
          <cell r="C2096" t="str">
            <v>C</v>
          </cell>
          <cell r="D2096" t="str">
            <v>CANARIAS</v>
          </cell>
          <cell r="E2096" t="str">
            <v>E</v>
          </cell>
          <cell r="F2096" t="str">
            <v>PAQ00a02</v>
          </cell>
          <cell r="G2096" t="str">
            <v>B</v>
          </cell>
          <cell r="H2096">
            <v>0</v>
          </cell>
        </row>
        <row r="2097">
          <cell r="A2097" t="str">
            <v>1;E;C;B;PAQ02a04</v>
          </cell>
          <cell r="B2097">
            <v>730069</v>
          </cell>
          <cell r="C2097" t="str">
            <v>C</v>
          </cell>
          <cell r="D2097" t="str">
            <v>CANARIAS</v>
          </cell>
          <cell r="E2097" t="str">
            <v>E</v>
          </cell>
          <cell r="F2097" t="str">
            <v>PAQ02a04</v>
          </cell>
          <cell r="G2097" t="str">
            <v>B</v>
          </cell>
          <cell r="H2097">
            <v>0</v>
          </cell>
        </row>
        <row r="2098">
          <cell r="A2098" t="str">
            <v>1;E;C;B;PAQ04a06</v>
          </cell>
          <cell r="B2098">
            <v>730069</v>
          </cell>
          <cell r="C2098" t="str">
            <v>C</v>
          </cell>
          <cell r="D2098" t="str">
            <v>CANARIAS</v>
          </cell>
          <cell r="E2098" t="str">
            <v>E</v>
          </cell>
          <cell r="F2098" t="str">
            <v>PAQ04a06</v>
          </cell>
          <cell r="G2098" t="str">
            <v>B</v>
          </cell>
          <cell r="H2098">
            <v>0</v>
          </cell>
        </row>
        <row r="2099">
          <cell r="A2099" t="str">
            <v>1;E;C;B;PAQ06a08</v>
          </cell>
          <cell r="B2099">
            <v>730069</v>
          </cell>
          <cell r="C2099" t="str">
            <v>C</v>
          </cell>
          <cell r="D2099" t="str">
            <v>CANARIAS</v>
          </cell>
          <cell r="E2099" t="str">
            <v>E</v>
          </cell>
          <cell r="F2099" t="str">
            <v>PAQ06a08</v>
          </cell>
          <cell r="G2099" t="str">
            <v>B</v>
          </cell>
          <cell r="H2099">
            <v>0</v>
          </cell>
        </row>
        <row r="2100">
          <cell r="A2100" t="str">
            <v>1;E;C;B;PAQ08a10</v>
          </cell>
          <cell r="B2100">
            <v>730069</v>
          </cell>
          <cell r="C2100" t="str">
            <v>C</v>
          </cell>
          <cell r="D2100" t="str">
            <v>CANARIAS</v>
          </cell>
          <cell r="E2100" t="str">
            <v>E</v>
          </cell>
          <cell r="F2100" t="str">
            <v>PAQ08a10</v>
          </cell>
          <cell r="G2100" t="str">
            <v>B</v>
          </cell>
          <cell r="H2100">
            <v>0</v>
          </cell>
        </row>
        <row r="2101">
          <cell r="A2101" t="str">
            <v>1;E;C;B;PAQ10a12</v>
          </cell>
          <cell r="B2101">
            <v>730069</v>
          </cell>
          <cell r="C2101" t="str">
            <v>C</v>
          </cell>
          <cell r="D2101" t="str">
            <v>CANARIAS</v>
          </cell>
          <cell r="E2101" t="str">
            <v>E</v>
          </cell>
          <cell r="F2101" t="str">
            <v>PAQ10a12</v>
          </cell>
          <cell r="G2101" t="str">
            <v>B</v>
          </cell>
          <cell r="H2101">
            <v>0</v>
          </cell>
        </row>
        <row r="2102">
          <cell r="A2102" t="str">
            <v>1;E;C;B;PAQ12a14</v>
          </cell>
          <cell r="B2102">
            <v>730069</v>
          </cell>
          <cell r="C2102" t="str">
            <v>C</v>
          </cell>
          <cell r="D2102" t="str">
            <v>CANARIAS</v>
          </cell>
          <cell r="E2102" t="str">
            <v>E</v>
          </cell>
          <cell r="F2102" t="str">
            <v>PAQ12a14</v>
          </cell>
          <cell r="G2102" t="str">
            <v>B</v>
          </cell>
          <cell r="H2102">
            <v>0</v>
          </cell>
        </row>
        <row r="2103">
          <cell r="A2103" t="str">
            <v>1;E;C;B;PAQ14a16</v>
          </cell>
          <cell r="B2103">
            <v>730069</v>
          </cell>
          <cell r="C2103" t="str">
            <v>C</v>
          </cell>
          <cell r="D2103" t="str">
            <v>CANARIAS</v>
          </cell>
          <cell r="E2103" t="str">
            <v>E</v>
          </cell>
          <cell r="F2103" t="str">
            <v>PAQ14a16</v>
          </cell>
          <cell r="G2103" t="str">
            <v>B</v>
          </cell>
          <cell r="H2103">
            <v>0</v>
          </cell>
        </row>
        <row r="2104">
          <cell r="A2104" t="str">
            <v>1;E;C;B;PAQ16a18</v>
          </cell>
          <cell r="B2104">
            <v>730069</v>
          </cell>
          <cell r="C2104" t="str">
            <v>C</v>
          </cell>
          <cell r="D2104" t="str">
            <v>CANARIAS</v>
          </cell>
          <cell r="E2104" t="str">
            <v>E</v>
          </cell>
          <cell r="F2104" t="str">
            <v>PAQ16a18</v>
          </cell>
          <cell r="G2104" t="str">
            <v>B</v>
          </cell>
          <cell r="H2104">
            <v>0</v>
          </cell>
        </row>
        <row r="2105">
          <cell r="A2105" t="str">
            <v>1;E;C;B;PAQ18a20</v>
          </cell>
          <cell r="B2105">
            <v>730069</v>
          </cell>
          <cell r="C2105" t="str">
            <v>C</v>
          </cell>
          <cell r="D2105" t="str">
            <v>CANARIAS</v>
          </cell>
          <cell r="E2105" t="str">
            <v>E</v>
          </cell>
          <cell r="F2105" t="str">
            <v>PAQ18a20</v>
          </cell>
          <cell r="G2105" t="str">
            <v>B</v>
          </cell>
          <cell r="H2105">
            <v>0</v>
          </cell>
        </row>
        <row r="2106">
          <cell r="A2106" t="str">
            <v>1;E;C;B;PAQ20a22</v>
          </cell>
          <cell r="B2106">
            <v>730069</v>
          </cell>
          <cell r="C2106" t="str">
            <v>C</v>
          </cell>
          <cell r="D2106" t="str">
            <v>CANARIAS</v>
          </cell>
          <cell r="E2106" t="str">
            <v>E</v>
          </cell>
          <cell r="F2106" t="str">
            <v>PAQ20a22</v>
          </cell>
          <cell r="G2106" t="str">
            <v>B</v>
          </cell>
          <cell r="H2106">
            <v>0</v>
          </cell>
        </row>
        <row r="2107">
          <cell r="A2107" t="str">
            <v>1;E;C;B;PAQ22a24</v>
          </cell>
          <cell r="B2107">
            <v>730069</v>
          </cell>
          <cell r="C2107" t="str">
            <v>C</v>
          </cell>
          <cell r="D2107" t="str">
            <v>CANARIAS</v>
          </cell>
          <cell r="E2107" t="str">
            <v>E</v>
          </cell>
          <cell r="F2107" t="str">
            <v>PAQ22a24</v>
          </cell>
          <cell r="G2107" t="str">
            <v>B</v>
          </cell>
          <cell r="H2107">
            <v>0</v>
          </cell>
        </row>
        <row r="2108">
          <cell r="A2108" t="str">
            <v>1;E;C;B;PAQ24a26</v>
          </cell>
          <cell r="B2108">
            <v>730069</v>
          </cell>
          <cell r="C2108" t="str">
            <v>C</v>
          </cell>
          <cell r="D2108" t="str">
            <v>CANARIAS</v>
          </cell>
          <cell r="E2108" t="str">
            <v>E</v>
          </cell>
          <cell r="F2108" t="str">
            <v>PAQ24a26</v>
          </cell>
          <cell r="G2108" t="str">
            <v>B</v>
          </cell>
          <cell r="H2108">
            <v>0</v>
          </cell>
        </row>
        <row r="2109">
          <cell r="A2109" t="str">
            <v>1;E;C;B;PAQ26a28</v>
          </cell>
          <cell r="B2109">
            <v>730069</v>
          </cell>
          <cell r="C2109" t="str">
            <v>C</v>
          </cell>
          <cell r="D2109" t="str">
            <v>CANARIAS</v>
          </cell>
          <cell r="E2109" t="str">
            <v>E</v>
          </cell>
          <cell r="F2109" t="str">
            <v>PAQ26a28</v>
          </cell>
          <cell r="G2109" t="str">
            <v>B</v>
          </cell>
          <cell r="H2109">
            <v>0</v>
          </cell>
        </row>
        <row r="2110">
          <cell r="A2110" t="str">
            <v>1;E;C;B;PAQ28a30</v>
          </cell>
          <cell r="B2110">
            <v>730069</v>
          </cell>
          <cell r="C2110" t="str">
            <v>C</v>
          </cell>
          <cell r="D2110" t="str">
            <v>CANARIAS</v>
          </cell>
          <cell r="E2110" t="str">
            <v>E</v>
          </cell>
          <cell r="F2110" t="str">
            <v>PAQ28a30</v>
          </cell>
          <cell r="G2110" t="str">
            <v>B</v>
          </cell>
          <cell r="H2110">
            <v>0</v>
          </cell>
        </row>
        <row r="2111">
          <cell r="A2111" t="str">
            <v>1;E;C;B;PAQ30a32</v>
          </cell>
          <cell r="B2111">
            <v>730069</v>
          </cell>
          <cell r="C2111" t="str">
            <v>C</v>
          </cell>
          <cell r="D2111" t="str">
            <v>CANARIAS</v>
          </cell>
          <cell r="E2111" t="str">
            <v>E</v>
          </cell>
          <cell r="F2111" t="str">
            <v>PAQ30a32</v>
          </cell>
          <cell r="G2111" t="str">
            <v>B</v>
          </cell>
          <cell r="H2111">
            <v>0</v>
          </cell>
        </row>
        <row r="2112">
          <cell r="A2112" t="str">
            <v>1;E;C;B;PAQ32a34</v>
          </cell>
          <cell r="B2112">
            <v>730069</v>
          </cell>
          <cell r="C2112" t="str">
            <v>C</v>
          </cell>
          <cell r="D2112" t="str">
            <v>CANARIAS</v>
          </cell>
          <cell r="E2112" t="str">
            <v>E</v>
          </cell>
          <cell r="F2112" t="str">
            <v>PAQ32a34</v>
          </cell>
          <cell r="G2112" t="str">
            <v>B</v>
          </cell>
          <cell r="H2112">
            <v>0</v>
          </cell>
        </row>
        <row r="2113">
          <cell r="A2113" t="str">
            <v>1;E;C;B;PAQ34a36</v>
          </cell>
          <cell r="B2113">
            <v>730069</v>
          </cell>
          <cell r="C2113" t="str">
            <v>C</v>
          </cell>
          <cell r="D2113" t="str">
            <v>CANARIAS</v>
          </cell>
          <cell r="E2113" t="str">
            <v>E</v>
          </cell>
          <cell r="F2113" t="str">
            <v>PAQ34a36</v>
          </cell>
          <cell r="G2113" t="str">
            <v>B</v>
          </cell>
          <cell r="H2113">
            <v>0</v>
          </cell>
        </row>
        <row r="2114">
          <cell r="A2114" t="str">
            <v>1;E;C;B;PAQ36a38</v>
          </cell>
          <cell r="B2114">
            <v>730069</v>
          </cell>
          <cell r="C2114" t="str">
            <v>C</v>
          </cell>
          <cell r="D2114" t="str">
            <v>CANARIAS</v>
          </cell>
          <cell r="E2114" t="str">
            <v>E</v>
          </cell>
          <cell r="F2114" t="str">
            <v>PAQ36a38</v>
          </cell>
          <cell r="G2114" t="str">
            <v>B</v>
          </cell>
          <cell r="H2114">
            <v>0</v>
          </cell>
        </row>
        <row r="2115">
          <cell r="A2115" t="str">
            <v>1;E;C;F;</v>
          </cell>
          <cell r="B2115">
            <v>730069</v>
          </cell>
          <cell r="C2115" t="str">
            <v>C</v>
          </cell>
          <cell r="D2115" t="str">
            <v>CANARIAS</v>
          </cell>
          <cell r="E2115" t="str">
            <v>E</v>
          </cell>
          <cell r="F2115" t="str">
            <v/>
          </cell>
          <cell r="G2115" t="str">
            <v>F</v>
          </cell>
          <cell r="H2115">
            <v>0</v>
          </cell>
        </row>
        <row r="2116">
          <cell r="A2116" t="str">
            <v>1;E;C;B;PAQ38a40</v>
          </cell>
          <cell r="B2116">
            <v>730069</v>
          </cell>
          <cell r="C2116" t="str">
            <v>C</v>
          </cell>
          <cell r="D2116" t="str">
            <v>CANARIAS</v>
          </cell>
          <cell r="E2116" t="str">
            <v>E</v>
          </cell>
          <cell r="F2116" t="str">
            <v>PAQ38a40</v>
          </cell>
          <cell r="G2116" t="str">
            <v>B</v>
          </cell>
          <cell r="H2116">
            <v>0</v>
          </cell>
        </row>
        <row r="2117">
          <cell r="A2117" t="str">
            <v>1;E;C;P;</v>
          </cell>
          <cell r="B2117">
            <v>730069</v>
          </cell>
          <cell r="C2117" t="str">
            <v>C</v>
          </cell>
          <cell r="D2117" t="str">
            <v>CANARIAS</v>
          </cell>
          <cell r="E2117" t="str">
            <v>E</v>
          </cell>
          <cell r="F2117" t="str">
            <v/>
          </cell>
          <cell r="G2117" t="str">
            <v>P</v>
          </cell>
          <cell r="H2117">
            <v>0</v>
          </cell>
        </row>
        <row r="2118">
          <cell r="A2118" t="str">
            <v>1;E;C;E;</v>
          </cell>
          <cell r="B2118">
            <v>730069</v>
          </cell>
          <cell r="C2118" t="str">
            <v>C</v>
          </cell>
          <cell r="D2118" t="str">
            <v>CANARIAS</v>
          </cell>
          <cell r="E2118" t="str">
            <v>E</v>
          </cell>
          <cell r="F2118" t="str">
            <v/>
          </cell>
          <cell r="G2118" t="str">
            <v>E</v>
          </cell>
          <cell r="H2118">
            <v>0</v>
          </cell>
        </row>
        <row r="2119">
          <cell r="A2119" t="str">
            <v>1;F;C;B;BAG</v>
          </cell>
          <cell r="B2119">
            <v>730069</v>
          </cell>
          <cell r="C2119" t="str">
            <v>C</v>
          </cell>
          <cell r="D2119" t="str">
            <v>CANARIAS</v>
          </cell>
          <cell r="E2119" t="str">
            <v>F</v>
          </cell>
          <cell r="F2119" t="str">
            <v>BAG</v>
          </cell>
          <cell r="G2119" t="str">
            <v>B</v>
          </cell>
          <cell r="H2119">
            <v>0</v>
          </cell>
        </row>
        <row r="2120">
          <cell r="A2120" t="str">
            <v>1;F;C;B;PAQ00a02</v>
          </cell>
          <cell r="B2120">
            <v>730069</v>
          </cell>
          <cell r="C2120" t="str">
            <v>C</v>
          </cell>
          <cell r="D2120" t="str">
            <v>CANARIAS</v>
          </cell>
          <cell r="E2120" t="str">
            <v>F</v>
          </cell>
          <cell r="F2120" t="str">
            <v>PAQ00a02</v>
          </cell>
          <cell r="G2120" t="str">
            <v>B</v>
          </cell>
          <cell r="H2120">
            <v>0</v>
          </cell>
        </row>
        <row r="2121">
          <cell r="A2121" t="str">
            <v>1;F;C;B;PAQ02a04</v>
          </cell>
          <cell r="B2121">
            <v>730069</v>
          </cell>
          <cell r="C2121" t="str">
            <v>C</v>
          </cell>
          <cell r="D2121" t="str">
            <v>CANARIAS</v>
          </cell>
          <cell r="E2121" t="str">
            <v>F</v>
          </cell>
          <cell r="F2121" t="str">
            <v>PAQ02a04</v>
          </cell>
          <cell r="G2121" t="str">
            <v>B</v>
          </cell>
          <cell r="H2121">
            <v>0</v>
          </cell>
        </row>
        <row r="2122">
          <cell r="A2122" t="str">
            <v>1;F;C;B;PAQ04a06</v>
          </cell>
          <cell r="B2122">
            <v>730069</v>
          </cell>
          <cell r="C2122" t="str">
            <v>C</v>
          </cell>
          <cell r="D2122" t="str">
            <v>CANARIAS</v>
          </cell>
          <cell r="E2122" t="str">
            <v>F</v>
          </cell>
          <cell r="F2122" t="str">
            <v>PAQ04a06</v>
          </cell>
          <cell r="G2122" t="str">
            <v>B</v>
          </cell>
          <cell r="H2122">
            <v>0</v>
          </cell>
        </row>
        <row r="2123">
          <cell r="A2123" t="str">
            <v>1;F;C;B;PAQ06a08</v>
          </cell>
          <cell r="B2123">
            <v>730069</v>
          </cell>
          <cell r="C2123" t="str">
            <v>C</v>
          </cell>
          <cell r="D2123" t="str">
            <v>CANARIAS</v>
          </cell>
          <cell r="E2123" t="str">
            <v>F</v>
          </cell>
          <cell r="F2123" t="str">
            <v>PAQ06a08</v>
          </cell>
          <cell r="G2123" t="str">
            <v>B</v>
          </cell>
          <cell r="H2123">
            <v>0</v>
          </cell>
        </row>
        <row r="2124">
          <cell r="A2124" t="str">
            <v>1;F;C;B;PAQ08a10</v>
          </cell>
          <cell r="B2124">
            <v>730069</v>
          </cell>
          <cell r="C2124" t="str">
            <v>C</v>
          </cell>
          <cell r="D2124" t="str">
            <v>CANARIAS</v>
          </cell>
          <cell r="E2124" t="str">
            <v>F</v>
          </cell>
          <cell r="F2124" t="str">
            <v>PAQ08a10</v>
          </cell>
          <cell r="G2124" t="str">
            <v>B</v>
          </cell>
          <cell r="H2124">
            <v>0</v>
          </cell>
        </row>
        <row r="2125">
          <cell r="A2125" t="str">
            <v>1;F;C;B;PAQ10a12</v>
          </cell>
          <cell r="B2125">
            <v>730069</v>
          </cell>
          <cell r="C2125" t="str">
            <v>C</v>
          </cell>
          <cell r="D2125" t="str">
            <v>CANARIAS</v>
          </cell>
          <cell r="E2125" t="str">
            <v>F</v>
          </cell>
          <cell r="F2125" t="str">
            <v>PAQ10a12</v>
          </cell>
          <cell r="G2125" t="str">
            <v>B</v>
          </cell>
          <cell r="H2125">
            <v>0</v>
          </cell>
        </row>
        <row r="2126">
          <cell r="A2126" t="str">
            <v>1;F;C;B;PAQ12a14</v>
          </cell>
          <cell r="B2126">
            <v>730069</v>
          </cell>
          <cell r="C2126" t="str">
            <v>C</v>
          </cell>
          <cell r="D2126" t="str">
            <v>CANARIAS</v>
          </cell>
          <cell r="E2126" t="str">
            <v>F</v>
          </cell>
          <cell r="F2126" t="str">
            <v>PAQ12a14</v>
          </cell>
          <cell r="G2126" t="str">
            <v>B</v>
          </cell>
          <cell r="H2126">
            <v>0</v>
          </cell>
        </row>
        <row r="2127">
          <cell r="A2127" t="str">
            <v>1;F;C;B;PAQ14a16</v>
          </cell>
          <cell r="B2127">
            <v>730069</v>
          </cell>
          <cell r="C2127" t="str">
            <v>C</v>
          </cell>
          <cell r="D2127" t="str">
            <v>CANARIAS</v>
          </cell>
          <cell r="E2127" t="str">
            <v>F</v>
          </cell>
          <cell r="F2127" t="str">
            <v>PAQ14a16</v>
          </cell>
          <cell r="G2127" t="str">
            <v>B</v>
          </cell>
          <cell r="H2127">
            <v>0</v>
          </cell>
        </row>
        <row r="2128">
          <cell r="A2128" t="str">
            <v>1;F;C;B;PAQ16a18</v>
          </cell>
          <cell r="B2128">
            <v>730069</v>
          </cell>
          <cell r="C2128" t="str">
            <v>C</v>
          </cell>
          <cell r="D2128" t="str">
            <v>CANARIAS</v>
          </cell>
          <cell r="E2128" t="str">
            <v>F</v>
          </cell>
          <cell r="F2128" t="str">
            <v>PAQ16a18</v>
          </cell>
          <cell r="G2128" t="str">
            <v>B</v>
          </cell>
          <cell r="H2128">
            <v>0</v>
          </cell>
        </row>
        <row r="2129">
          <cell r="A2129" t="str">
            <v>1;F;C;B;PAQ18a20</v>
          </cell>
          <cell r="B2129">
            <v>730069</v>
          </cell>
          <cell r="C2129" t="str">
            <v>C</v>
          </cell>
          <cell r="D2129" t="str">
            <v>CANARIAS</v>
          </cell>
          <cell r="E2129" t="str">
            <v>F</v>
          </cell>
          <cell r="F2129" t="str">
            <v>PAQ18a20</v>
          </cell>
          <cell r="G2129" t="str">
            <v>B</v>
          </cell>
          <cell r="H2129">
            <v>0</v>
          </cell>
        </row>
        <row r="2130">
          <cell r="A2130" t="str">
            <v>1;F;C;B;PAQ20a22</v>
          </cell>
          <cell r="B2130">
            <v>730069</v>
          </cell>
          <cell r="C2130" t="str">
            <v>C</v>
          </cell>
          <cell r="D2130" t="str">
            <v>CANARIAS</v>
          </cell>
          <cell r="E2130" t="str">
            <v>F</v>
          </cell>
          <cell r="F2130" t="str">
            <v>PAQ20a22</v>
          </cell>
          <cell r="G2130" t="str">
            <v>B</v>
          </cell>
          <cell r="H2130">
            <v>0</v>
          </cell>
        </row>
        <row r="2131">
          <cell r="A2131" t="str">
            <v>1;F;C;B;PAQ22a24</v>
          </cell>
          <cell r="B2131">
            <v>730069</v>
          </cell>
          <cell r="C2131" t="str">
            <v>C</v>
          </cell>
          <cell r="D2131" t="str">
            <v>CANARIAS</v>
          </cell>
          <cell r="E2131" t="str">
            <v>F</v>
          </cell>
          <cell r="F2131" t="str">
            <v>PAQ22a24</v>
          </cell>
          <cell r="G2131" t="str">
            <v>B</v>
          </cell>
          <cell r="H2131">
            <v>0</v>
          </cell>
        </row>
        <row r="2132">
          <cell r="A2132" t="str">
            <v>1;F;C;B;PAQ24a26</v>
          </cell>
          <cell r="B2132">
            <v>730069</v>
          </cell>
          <cell r="C2132" t="str">
            <v>C</v>
          </cell>
          <cell r="D2132" t="str">
            <v>CANARIAS</v>
          </cell>
          <cell r="E2132" t="str">
            <v>F</v>
          </cell>
          <cell r="F2132" t="str">
            <v>PAQ24a26</v>
          </cell>
          <cell r="G2132" t="str">
            <v>B</v>
          </cell>
          <cell r="H2132">
            <v>0</v>
          </cell>
        </row>
        <row r="2133">
          <cell r="A2133" t="str">
            <v>1;F;C;B;PAQ26a28</v>
          </cell>
          <cell r="B2133">
            <v>730069</v>
          </cell>
          <cell r="C2133" t="str">
            <v>C</v>
          </cell>
          <cell r="D2133" t="str">
            <v>CANARIAS</v>
          </cell>
          <cell r="E2133" t="str">
            <v>F</v>
          </cell>
          <cell r="F2133" t="str">
            <v>PAQ26a28</v>
          </cell>
          <cell r="G2133" t="str">
            <v>B</v>
          </cell>
          <cell r="H2133">
            <v>0</v>
          </cell>
        </row>
        <row r="2134">
          <cell r="A2134" t="str">
            <v>1;F;C;B;PAQ28a30</v>
          </cell>
          <cell r="B2134">
            <v>730069</v>
          </cell>
          <cell r="C2134" t="str">
            <v>C</v>
          </cell>
          <cell r="D2134" t="str">
            <v>CANARIAS</v>
          </cell>
          <cell r="E2134" t="str">
            <v>F</v>
          </cell>
          <cell r="F2134" t="str">
            <v>PAQ28a30</v>
          </cell>
          <cell r="G2134" t="str">
            <v>B</v>
          </cell>
          <cell r="H2134">
            <v>0</v>
          </cell>
        </row>
        <row r="2135">
          <cell r="A2135" t="str">
            <v>1;F;C;B;PAQ30a32</v>
          </cell>
          <cell r="B2135">
            <v>730069</v>
          </cell>
          <cell r="C2135" t="str">
            <v>C</v>
          </cell>
          <cell r="D2135" t="str">
            <v>CANARIAS</v>
          </cell>
          <cell r="E2135" t="str">
            <v>F</v>
          </cell>
          <cell r="F2135" t="str">
            <v>PAQ30a32</v>
          </cell>
          <cell r="G2135" t="str">
            <v>B</v>
          </cell>
          <cell r="H2135">
            <v>0</v>
          </cell>
        </row>
        <row r="2136">
          <cell r="A2136" t="str">
            <v>1;F;C;B;PAQ32a34</v>
          </cell>
          <cell r="B2136">
            <v>730069</v>
          </cell>
          <cell r="C2136" t="str">
            <v>C</v>
          </cell>
          <cell r="D2136" t="str">
            <v>CANARIAS</v>
          </cell>
          <cell r="E2136" t="str">
            <v>F</v>
          </cell>
          <cell r="F2136" t="str">
            <v>PAQ32a34</v>
          </cell>
          <cell r="G2136" t="str">
            <v>B</v>
          </cell>
          <cell r="H2136">
            <v>0</v>
          </cell>
        </row>
        <row r="2137">
          <cell r="A2137" t="str">
            <v>1;F;C;B;PAQ34a36</v>
          </cell>
          <cell r="B2137">
            <v>730069</v>
          </cell>
          <cell r="C2137" t="str">
            <v>C</v>
          </cell>
          <cell r="D2137" t="str">
            <v>CANARIAS</v>
          </cell>
          <cell r="E2137" t="str">
            <v>F</v>
          </cell>
          <cell r="F2137" t="str">
            <v>PAQ34a36</v>
          </cell>
          <cell r="G2137" t="str">
            <v>B</v>
          </cell>
          <cell r="H2137">
            <v>0</v>
          </cell>
        </row>
        <row r="2138">
          <cell r="A2138" t="str">
            <v>1;F;C;B;PAQ36a38</v>
          </cell>
          <cell r="B2138">
            <v>730069</v>
          </cell>
          <cell r="C2138" t="str">
            <v>C</v>
          </cell>
          <cell r="D2138" t="str">
            <v>CANARIAS</v>
          </cell>
          <cell r="E2138" t="str">
            <v>F</v>
          </cell>
          <cell r="F2138" t="str">
            <v>PAQ36a38</v>
          </cell>
          <cell r="G2138" t="str">
            <v>B</v>
          </cell>
          <cell r="H2138">
            <v>0</v>
          </cell>
        </row>
        <row r="2139">
          <cell r="A2139" t="str">
            <v>1;F;C;F;</v>
          </cell>
          <cell r="B2139">
            <v>730069</v>
          </cell>
          <cell r="C2139" t="str">
            <v>C</v>
          </cell>
          <cell r="D2139" t="str">
            <v>CANARIAS</v>
          </cell>
          <cell r="E2139" t="str">
            <v>F</v>
          </cell>
          <cell r="F2139" t="str">
            <v/>
          </cell>
          <cell r="G2139" t="str">
            <v>F</v>
          </cell>
          <cell r="H2139">
            <v>0</v>
          </cell>
        </row>
        <row r="2140">
          <cell r="A2140" t="str">
            <v>1;F;C;B;PAQ38a40</v>
          </cell>
          <cell r="B2140">
            <v>730069</v>
          </cell>
          <cell r="C2140" t="str">
            <v>C</v>
          </cell>
          <cell r="D2140" t="str">
            <v>CANARIAS</v>
          </cell>
          <cell r="E2140" t="str">
            <v>F</v>
          </cell>
          <cell r="F2140" t="str">
            <v>PAQ38a40</v>
          </cell>
          <cell r="G2140" t="str">
            <v>B</v>
          </cell>
          <cell r="H2140">
            <v>0</v>
          </cell>
        </row>
        <row r="2141">
          <cell r="A2141" t="str">
            <v>1;F;C;E;</v>
          </cell>
          <cell r="B2141">
            <v>730069</v>
          </cell>
          <cell r="C2141" t="str">
            <v>C</v>
          </cell>
          <cell r="D2141" t="str">
            <v>CANARIAS</v>
          </cell>
          <cell r="E2141" t="str">
            <v>F</v>
          </cell>
          <cell r="F2141" t="str">
            <v/>
          </cell>
          <cell r="G2141" t="str">
            <v>E</v>
          </cell>
          <cell r="H2141">
            <v>0</v>
          </cell>
        </row>
        <row r="2142">
          <cell r="A2142" t="str">
            <v>1;F;C;P;</v>
          </cell>
          <cell r="B2142">
            <v>730069</v>
          </cell>
          <cell r="C2142" t="str">
            <v>C</v>
          </cell>
          <cell r="D2142" t="str">
            <v>CANARIAS</v>
          </cell>
          <cell r="E2142" t="str">
            <v>F</v>
          </cell>
          <cell r="F2142" t="str">
            <v/>
          </cell>
          <cell r="G2142" t="str">
            <v>P</v>
          </cell>
          <cell r="H2142">
            <v>0</v>
          </cell>
        </row>
        <row r="2143">
          <cell r="A2143" t="str">
            <v>1;G;C;B;BAG</v>
          </cell>
          <cell r="B2143">
            <v>730069</v>
          </cell>
          <cell r="C2143" t="str">
            <v>C</v>
          </cell>
          <cell r="D2143" t="str">
            <v>CANARIAS</v>
          </cell>
          <cell r="E2143" t="str">
            <v>G</v>
          </cell>
          <cell r="F2143" t="str">
            <v>BAG</v>
          </cell>
          <cell r="G2143" t="str">
            <v>B</v>
          </cell>
          <cell r="H2143">
            <v>0</v>
          </cell>
        </row>
        <row r="2144">
          <cell r="A2144" t="str">
            <v>1;G;C;B;PAQ00a02</v>
          </cell>
          <cell r="B2144">
            <v>730069</v>
          </cell>
          <cell r="C2144" t="str">
            <v>C</v>
          </cell>
          <cell r="D2144" t="str">
            <v>CANARIAS</v>
          </cell>
          <cell r="E2144" t="str">
            <v>G</v>
          </cell>
          <cell r="F2144" t="str">
            <v>PAQ00a02</v>
          </cell>
          <cell r="G2144" t="str">
            <v>B</v>
          </cell>
          <cell r="H2144">
            <v>0</v>
          </cell>
        </row>
        <row r="2145">
          <cell r="A2145" t="str">
            <v>1;G;C;B;PAQ02a04</v>
          </cell>
          <cell r="B2145">
            <v>730069</v>
          </cell>
          <cell r="C2145" t="str">
            <v>C</v>
          </cell>
          <cell r="D2145" t="str">
            <v>CANARIAS</v>
          </cell>
          <cell r="E2145" t="str">
            <v>G</v>
          </cell>
          <cell r="F2145" t="str">
            <v>PAQ02a04</v>
          </cell>
          <cell r="G2145" t="str">
            <v>B</v>
          </cell>
          <cell r="H2145">
            <v>0</v>
          </cell>
        </row>
        <row r="2146">
          <cell r="A2146" t="str">
            <v>1;G;C;B;PAQ04a06</v>
          </cell>
          <cell r="B2146">
            <v>730069</v>
          </cell>
          <cell r="C2146" t="str">
            <v>C</v>
          </cell>
          <cell r="D2146" t="str">
            <v>CANARIAS</v>
          </cell>
          <cell r="E2146" t="str">
            <v>G</v>
          </cell>
          <cell r="F2146" t="str">
            <v>PAQ04a06</v>
          </cell>
          <cell r="G2146" t="str">
            <v>B</v>
          </cell>
          <cell r="H2146">
            <v>0</v>
          </cell>
        </row>
        <row r="2147">
          <cell r="A2147" t="str">
            <v>1;G;C;B;PAQ06a08</v>
          </cell>
          <cell r="B2147">
            <v>730069</v>
          </cell>
          <cell r="C2147" t="str">
            <v>C</v>
          </cell>
          <cell r="D2147" t="str">
            <v>CANARIAS</v>
          </cell>
          <cell r="E2147" t="str">
            <v>G</v>
          </cell>
          <cell r="F2147" t="str">
            <v>PAQ06a08</v>
          </cell>
          <cell r="G2147" t="str">
            <v>B</v>
          </cell>
          <cell r="H2147">
            <v>0</v>
          </cell>
        </row>
        <row r="2148">
          <cell r="A2148" t="str">
            <v>1;G;C;B;PAQ08a10</v>
          </cell>
          <cell r="B2148">
            <v>730069</v>
          </cell>
          <cell r="C2148" t="str">
            <v>C</v>
          </cell>
          <cell r="D2148" t="str">
            <v>CANARIAS</v>
          </cell>
          <cell r="E2148" t="str">
            <v>G</v>
          </cell>
          <cell r="F2148" t="str">
            <v>PAQ08a10</v>
          </cell>
          <cell r="G2148" t="str">
            <v>B</v>
          </cell>
          <cell r="H2148">
            <v>0</v>
          </cell>
        </row>
        <row r="2149">
          <cell r="A2149" t="str">
            <v>1;G;C;B;PAQ10a12</v>
          </cell>
          <cell r="B2149">
            <v>730069</v>
          </cell>
          <cell r="C2149" t="str">
            <v>C</v>
          </cell>
          <cell r="D2149" t="str">
            <v>CANARIAS</v>
          </cell>
          <cell r="E2149" t="str">
            <v>G</v>
          </cell>
          <cell r="F2149" t="str">
            <v>PAQ10a12</v>
          </cell>
          <cell r="G2149" t="str">
            <v>B</v>
          </cell>
          <cell r="H2149">
            <v>0</v>
          </cell>
        </row>
        <row r="2150">
          <cell r="A2150" t="str">
            <v>1;G;C;B;PAQ12a14</v>
          </cell>
          <cell r="B2150">
            <v>730069</v>
          </cell>
          <cell r="C2150" t="str">
            <v>C</v>
          </cell>
          <cell r="D2150" t="str">
            <v>CANARIAS</v>
          </cell>
          <cell r="E2150" t="str">
            <v>G</v>
          </cell>
          <cell r="F2150" t="str">
            <v>PAQ12a14</v>
          </cell>
          <cell r="G2150" t="str">
            <v>B</v>
          </cell>
          <cell r="H2150">
            <v>0</v>
          </cell>
        </row>
        <row r="2151">
          <cell r="A2151" t="str">
            <v>1;G;C;B;PAQ14a16</v>
          </cell>
          <cell r="B2151">
            <v>730069</v>
          </cell>
          <cell r="C2151" t="str">
            <v>C</v>
          </cell>
          <cell r="D2151" t="str">
            <v>CANARIAS</v>
          </cell>
          <cell r="E2151" t="str">
            <v>G</v>
          </cell>
          <cell r="F2151" t="str">
            <v>PAQ14a16</v>
          </cell>
          <cell r="G2151" t="str">
            <v>B</v>
          </cell>
          <cell r="H2151">
            <v>0</v>
          </cell>
        </row>
        <row r="2152">
          <cell r="A2152" t="str">
            <v>1;G;C;B;PAQ16a18</v>
          </cell>
          <cell r="B2152">
            <v>730069</v>
          </cell>
          <cell r="C2152" t="str">
            <v>C</v>
          </cell>
          <cell r="D2152" t="str">
            <v>CANARIAS</v>
          </cell>
          <cell r="E2152" t="str">
            <v>G</v>
          </cell>
          <cell r="F2152" t="str">
            <v>PAQ16a18</v>
          </cell>
          <cell r="G2152" t="str">
            <v>B</v>
          </cell>
          <cell r="H2152">
            <v>0</v>
          </cell>
        </row>
        <row r="2153">
          <cell r="A2153" t="str">
            <v>1;G;C;B;PAQ18a20</v>
          </cell>
          <cell r="B2153">
            <v>730069</v>
          </cell>
          <cell r="C2153" t="str">
            <v>C</v>
          </cell>
          <cell r="D2153" t="str">
            <v>CANARIAS</v>
          </cell>
          <cell r="E2153" t="str">
            <v>G</v>
          </cell>
          <cell r="F2153" t="str">
            <v>PAQ18a20</v>
          </cell>
          <cell r="G2153" t="str">
            <v>B</v>
          </cell>
          <cell r="H2153">
            <v>0</v>
          </cell>
        </row>
        <row r="2154">
          <cell r="A2154" t="str">
            <v>1;G;C;B;PAQ20a22</v>
          </cell>
          <cell r="B2154">
            <v>730069</v>
          </cell>
          <cell r="C2154" t="str">
            <v>C</v>
          </cell>
          <cell r="D2154" t="str">
            <v>CANARIAS</v>
          </cell>
          <cell r="E2154" t="str">
            <v>G</v>
          </cell>
          <cell r="F2154" t="str">
            <v>PAQ20a22</v>
          </cell>
          <cell r="G2154" t="str">
            <v>B</v>
          </cell>
          <cell r="H2154">
            <v>0</v>
          </cell>
        </row>
        <row r="2155">
          <cell r="A2155" t="str">
            <v>1;G;C;B;PAQ22a24</v>
          </cell>
          <cell r="B2155">
            <v>730069</v>
          </cell>
          <cell r="C2155" t="str">
            <v>C</v>
          </cell>
          <cell r="D2155" t="str">
            <v>CANARIAS</v>
          </cell>
          <cell r="E2155" t="str">
            <v>G</v>
          </cell>
          <cell r="F2155" t="str">
            <v>PAQ22a24</v>
          </cell>
          <cell r="G2155" t="str">
            <v>B</v>
          </cell>
          <cell r="H2155">
            <v>0</v>
          </cell>
        </row>
        <row r="2156">
          <cell r="A2156" t="str">
            <v>1;G;C;B;PAQ24a26</v>
          </cell>
          <cell r="B2156">
            <v>730069</v>
          </cell>
          <cell r="C2156" t="str">
            <v>C</v>
          </cell>
          <cell r="D2156" t="str">
            <v>CANARIAS</v>
          </cell>
          <cell r="E2156" t="str">
            <v>G</v>
          </cell>
          <cell r="F2156" t="str">
            <v>PAQ24a26</v>
          </cell>
          <cell r="G2156" t="str">
            <v>B</v>
          </cell>
          <cell r="H2156">
            <v>0</v>
          </cell>
        </row>
        <row r="2157">
          <cell r="A2157" t="str">
            <v>1;G;C;B;PAQ26a28</v>
          </cell>
          <cell r="B2157">
            <v>730069</v>
          </cell>
          <cell r="C2157" t="str">
            <v>C</v>
          </cell>
          <cell r="D2157" t="str">
            <v>CANARIAS</v>
          </cell>
          <cell r="E2157" t="str">
            <v>G</v>
          </cell>
          <cell r="F2157" t="str">
            <v>PAQ26a28</v>
          </cell>
          <cell r="G2157" t="str">
            <v>B</v>
          </cell>
          <cell r="H2157">
            <v>0</v>
          </cell>
        </row>
        <row r="2158">
          <cell r="A2158" t="str">
            <v>1;G;C;B;PAQ28a30</v>
          </cell>
          <cell r="B2158">
            <v>730069</v>
          </cell>
          <cell r="C2158" t="str">
            <v>C</v>
          </cell>
          <cell r="D2158" t="str">
            <v>CANARIAS</v>
          </cell>
          <cell r="E2158" t="str">
            <v>G</v>
          </cell>
          <cell r="F2158" t="str">
            <v>PAQ28a30</v>
          </cell>
          <cell r="G2158" t="str">
            <v>B</v>
          </cell>
          <cell r="H2158">
            <v>0</v>
          </cell>
        </row>
        <row r="2159">
          <cell r="A2159" t="str">
            <v>1;G;C;B;PAQ30a32</v>
          </cell>
          <cell r="B2159">
            <v>730069</v>
          </cell>
          <cell r="C2159" t="str">
            <v>C</v>
          </cell>
          <cell r="D2159" t="str">
            <v>CANARIAS</v>
          </cell>
          <cell r="E2159" t="str">
            <v>G</v>
          </cell>
          <cell r="F2159" t="str">
            <v>PAQ30a32</v>
          </cell>
          <cell r="G2159" t="str">
            <v>B</v>
          </cell>
          <cell r="H2159">
            <v>0</v>
          </cell>
        </row>
        <row r="2160">
          <cell r="A2160" t="str">
            <v>1;G;C;B;PAQ32a34</v>
          </cell>
          <cell r="B2160">
            <v>730069</v>
          </cell>
          <cell r="C2160" t="str">
            <v>C</v>
          </cell>
          <cell r="D2160" t="str">
            <v>CANARIAS</v>
          </cell>
          <cell r="E2160" t="str">
            <v>G</v>
          </cell>
          <cell r="F2160" t="str">
            <v>PAQ32a34</v>
          </cell>
          <cell r="G2160" t="str">
            <v>B</v>
          </cell>
          <cell r="H2160">
            <v>0</v>
          </cell>
        </row>
        <row r="2161">
          <cell r="A2161" t="str">
            <v>1;G;C;B;PAQ34a36</v>
          </cell>
          <cell r="B2161">
            <v>730069</v>
          </cell>
          <cell r="C2161" t="str">
            <v>C</v>
          </cell>
          <cell r="D2161" t="str">
            <v>CANARIAS</v>
          </cell>
          <cell r="E2161" t="str">
            <v>G</v>
          </cell>
          <cell r="F2161" t="str">
            <v>PAQ34a36</v>
          </cell>
          <cell r="G2161" t="str">
            <v>B</v>
          </cell>
          <cell r="H2161">
            <v>0</v>
          </cell>
        </row>
        <row r="2162">
          <cell r="A2162" t="str">
            <v>1;G;C;B;PAQ36a38</v>
          </cell>
          <cell r="B2162">
            <v>730069</v>
          </cell>
          <cell r="C2162" t="str">
            <v>C</v>
          </cell>
          <cell r="D2162" t="str">
            <v>CANARIAS</v>
          </cell>
          <cell r="E2162" t="str">
            <v>G</v>
          </cell>
          <cell r="F2162" t="str">
            <v>PAQ36a38</v>
          </cell>
          <cell r="G2162" t="str">
            <v>B</v>
          </cell>
          <cell r="H2162">
            <v>0</v>
          </cell>
        </row>
        <row r="2163">
          <cell r="A2163" t="str">
            <v>1;G;C;F;</v>
          </cell>
          <cell r="B2163">
            <v>730069</v>
          </cell>
          <cell r="C2163" t="str">
            <v>C</v>
          </cell>
          <cell r="D2163" t="str">
            <v>CANARIAS</v>
          </cell>
          <cell r="E2163" t="str">
            <v>G</v>
          </cell>
          <cell r="F2163" t="str">
            <v/>
          </cell>
          <cell r="G2163" t="str">
            <v>F</v>
          </cell>
          <cell r="H2163">
            <v>0</v>
          </cell>
        </row>
        <row r="2164">
          <cell r="A2164" t="str">
            <v>1;G;C;B;PAQ38a40</v>
          </cell>
          <cell r="B2164">
            <v>730069</v>
          </cell>
          <cell r="C2164" t="str">
            <v>C</v>
          </cell>
          <cell r="D2164" t="str">
            <v>CANARIAS</v>
          </cell>
          <cell r="E2164" t="str">
            <v>G</v>
          </cell>
          <cell r="F2164" t="str">
            <v>PAQ38a40</v>
          </cell>
          <cell r="G2164" t="str">
            <v>B</v>
          </cell>
          <cell r="H2164">
            <v>0</v>
          </cell>
        </row>
        <row r="2165">
          <cell r="A2165" t="str">
            <v>1;G;C;P;</v>
          </cell>
          <cell r="B2165">
            <v>730069</v>
          </cell>
          <cell r="C2165" t="str">
            <v>C</v>
          </cell>
          <cell r="D2165" t="str">
            <v>CANARIAS</v>
          </cell>
          <cell r="E2165" t="str">
            <v>G</v>
          </cell>
          <cell r="F2165" t="str">
            <v/>
          </cell>
          <cell r="G2165" t="str">
            <v>P</v>
          </cell>
          <cell r="H2165">
            <v>0</v>
          </cell>
        </row>
        <row r="2166">
          <cell r="A2166" t="str">
            <v>1;G;C;E;</v>
          </cell>
          <cell r="B2166">
            <v>730069</v>
          </cell>
          <cell r="C2166" t="str">
            <v>C</v>
          </cell>
          <cell r="D2166" t="str">
            <v>CANARIAS</v>
          </cell>
          <cell r="E2166" t="str">
            <v>G</v>
          </cell>
          <cell r="F2166" t="str">
            <v/>
          </cell>
          <cell r="G2166" t="str">
            <v>E</v>
          </cell>
          <cell r="H2166">
            <v>0</v>
          </cell>
        </row>
        <row r="2167">
          <cell r="A2167" t="str">
            <v>1;01;C;B;BAG</v>
          </cell>
          <cell r="B2167">
            <v>730069</v>
          </cell>
          <cell r="C2167" t="str">
            <v>C</v>
          </cell>
          <cell r="D2167" t="str">
            <v>CANARIAS</v>
          </cell>
          <cell r="E2167" t="str">
            <v>01</v>
          </cell>
          <cell r="F2167" t="str">
            <v>BAG</v>
          </cell>
          <cell r="G2167" t="str">
            <v>B</v>
          </cell>
          <cell r="H2167">
            <v>21.55</v>
          </cell>
        </row>
        <row r="2168">
          <cell r="A2168" t="str">
            <v>1;01;C;B;DOCS</v>
          </cell>
          <cell r="B2168">
            <v>730069</v>
          </cell>
          <cell r="C2168" t="str">
            <v>C</v>
          </cell>
          <cell r="D2168" t="str">
            <v>CANARIAS</v>
          </cell>
          <cell r="E2168" t="str">
            <v>01</v>
          </cell>
          <cell r="F2168" t="str">
            <v>DOCS</v>
          </cell>
          <cell r="G2168" t="str">
            <v>B</v>
          </cell>
          <cell r="H2168">
            <v>14.2</v>
          </cell>
        </row>
        <row r="2169">
          <cell r="A2169" t="str">
            <v>1;01;C;B;PAQ00a02</v>
          </cell>
          <cell r="B2169">
            <v>730069</v>
          </cell>
          <cell r="C2169" t="str">
            <v>C</v>
          </cell>
          <cell r="D2169" t="str">
            <v>CANARIAS</v>
          </cell>
          <cell r="E2169" t="str">
            <v>01</v>
          </cell>
          <cell r="F2169" t="str">
            <v>PAQ00a02</v>
          </cell>
          <cell r="G2169" t="str">
            <v>B</v>
          </cell>
          <cell r="H2169">
            <v>25.16</v>
          </cell>
        </row>
        <row r="2170">
          <cell r="A2170" t="str">
            <v>1;01;C;B;PAQ02a04</v>
          </cell>
          <cell r="B2170">
            <v>730069</v>
          </cell>
          <cell r="C2170" t="str">
            <v>C</v>
          </cell>
          <cell r="D2170" t="str">
            <v>CANARIAS</v>
          </cell>
          <cell r="E2170" t="str">
            <v>01</v>
          </cell>
          <cell r="F2170" t="str">
            <v>PAQ02a04</v>
          </cell>
          <cell r="G2170" t="str">
            <v>B</v>
          </cell>
          <cell r="H2170">
            <v>42.04</v>
          </cell>
        </row>
        <row r="2171">
          <cell r="A2171" t="str">
            <v>1;01;C;B;PAQ04a06</v>
          </cell>
          <cell r="B2171">
            <v>730069</v>
          </cell>
          <cell r="C2171" t="str">
            <v>C</v>
          </cell>
          <cell r="D2171" t="str">
            <v>CANARIAS</v>
          </cell>
          <cell r="E2171" t="str">
            <v>01</v>
          </cell>
          <cell r="F2171" t="str">
            <v>PAQ04a06</v>
          </cell>
          <cell r="G2171" t="str">
            <v>B</v>
          </cell>
          <cell r="H2171">
            <v>62.04</v>
          </cell>
        </row>
        <row r="2172">
          <cell r="A2172" t="str">
            <v>1;01;C;B;PAQ06a08</v>
          </cell>
          <cell r="B2172">
            <v>730069</v>
          </cell>
          <cell r="C2172" t="str">
            <v>C</v>
          </cell>
          <cell r="D2172" t="str">
            <v>CANARIAS</v>
          </cell>
          <cell r="E2172" t="str">
            <v>01</v>
          </cell>
          <cell r="F2172" t="str">
            <v>PAQ06a08</v>
          </cell>
          <cell r="G2172" t="str">
            <v>B</v>
          </cell>
          <cell r="H2172">
            <v>82.06</v>
          </cell>
        </row>
        <row r="2173">
          <cell r="A2173" t="str">
            <v>1;01;C;B;PAQ08a10</v>
          </cell>
          <cell r="B2173">
            <v>730069</v>
          </cell>
          <cell r="C2173" t="str">
            <v>C</v>
          </cell>
          <cell r="D2173" t="str">
            <v>CANARIAS</v>
          </cell>
          <cell r="E2173" t="str">
            <v>01</v>
          </cell>
          <cell r="F2173" t="str">
            <v>PAQ08a10</v>
          </cell>
          <cell r="G2173" t="str">
            <v>B</v>
          </cell>
          <cell r="H2173">
            <v>102.07</v>
          </cell>
        </row>
        <row r="2174">
          <cell r="A2174" t="str">
            <v>1;01;C;B;PAQ10a12</v>
          </cell>
          <cell r="B2174">
            <v>730069</v>
          </cell>
          <cell r="C2174" t="str">
            <v>C</v>
          </cell>
          <cell r="D2174" t="str">
            <v>CANARIAS</v>
          </cell>
          <cell r="E2174" t="str">
            <v>01</v>
          </cell>
          <cell r="F2174" t="str">
            <v>PAQ10a12</v>
          </cell>
          <cell r="G2174" t="str">
            <v>B</v>
          </cell>
          <cell r="H2174">
            <v>122.08</v>
          </cell>
        </row>
        <row r="2175">
          <cell r="A2175" t="str">
            <v>1;01;C;B;PAQ12a14</v>
          </cell>
          <cell r="B2175">
            <v>730069</v>
          </cell>
          <cell r="C2175" t="str">
            <v>C</v>
          </cell>
          <cell r="D2175" t="str">
            <v>CANARIAS</v>
          </cell>
          <cell r="E2175" t="str">
            <v>01</v>
          </cell>
          <cell r="F2175" t="str">
            <v>PAQ12a14</v>
          </cell>
          <cell r="G2175" t="str">
            <v>B</v>
          </cell>
          <cell r="H2175">
            <v>142.09</v>
          </cell>
        </row>
        <row r="2176">
          <cell r="A2176" t="str">
            <v>1;01;C;B;PAQ14a16</v>
          </cell>
          <cell r="B2176">
            <v>730069</v>
          </cell>
          <cell r="C2176" t="str">
            <v>C</v>
          </cell>
          <cell r="D2176" t="str">
            <v>CANARIAS</v>
          </cell>
          <cell r="E2176" t="str">
            <v>01</v>
          </cell>
          <cell r="F2176" t="str">
            <v>PAQ14a16</v>
          </cell>
          <cell r="G2176" t="str">
            <v>B</v>
          </cell>
          <cell r="H2176">
            <v>162.1</v>
          </cell>
        </row>
        <row r="2177">
          <cell r="A2177" t="str">
            <v>1;01;C;B;PAQ16a18</v>
          </cell>
          <cell r="B2177">
            <v>730069</v>
          </cell>
          <cell r="C2177" t="str">
            <v>C</v>
          </cell>
          <cell r="D2177" t="str">
            <v>CANARIAS</v>
          </cell>
          <cell r="E2177" t="str">
            <v>01</v>
          </cell>
          <cell r="F2177" t="str">
            <v>PAQ16a18</v>
          </cell>
          <cell r="G2177" t="str">
            <v>B</v>
          </cell>
          <cell r="H2177">
            <v>182.11</v>
          </cell>
        </row>
        <row r="2178">
          <cell r="A2178" t="str">
            <v>1;01;C;B;PAQ18a20</v>
          </cell>
          <cell r="B2178">
            <v>730069</v>
          </cell>
          <cell r="C2178" t="str">
            <v>C</v>
          </cell>
          <cell r="D2178" t="str">
            <v>CANARIAS</v>
          </cell>
          <cell r="E2178" t="str">
            <v>01</v>
          </cell>
          <cell r="F2178" t="str">
            <v>PAQ18a20</v>
          </cell>
          <cell r="G2178" t="str">
            <v>B</v>
          </cell>
          <cell r="H2178">
            <v>202.13</v>
          </cell>
        </row>
        <row r="2179">
          <cell r="A2179" t="str">
            <v>1;01;C;B;PAQ20a22</v>
          </cell>
          <cell r="B2179">
            <v>730069</v>
          </cell>
          <cell r="C2179" t="str">
            <v>C</v>
          </cell>
          <cell r="D2179" t="str">
            <v>CANARIAS</v>
          </cell>
          <cell r="E2179" t="str">
            <v>01</v>
          </cell>
          <cell r="F2179" t="str">
            <v>PAQ20a22</v>
          </cell>
          <cell r="G2179" t="str">
            <v>B</v>
          </cell>
          <cell r="H2179">
            <v>222.13</v>
          </cell>
        </row>
        <row r="2180">
          <cell r="A2180" t="str">
            <v>1;01;C;B;PAQ22a24</v>
          </cell>
          <cell r="B2180">
            <v>730069</v>
          </cell>
          <cell r="C2180" t="str">
            <v>C</v>
          </cell>
          <cell r="D2180" t="str">
            <v>CANARIAS</v>
          </cell>
          <cell r="E2180" t="str">
            <v>01</v>
          </cell>
          <cell r="F2180" t="str">
            <v>PAQ22a24</v>
          </cell>
          <cell r="G2180" t="str">
            <v>B</v>
          </cell>
          <cell r="H2180">
            <v>242.14</v>
          </cell>
        </row>
        <row r="2181">
          <cell r="A2181" t="str">
            <v>1;01;C;B;PAQ24a26</v>
          </cell>
          <cell r="B2181">
            <v>730069</v>
          </cell>
          <cell r="C2181" t="str">
            <v>C</v>
          </cell>
          <cell r="D2181" t="str">
            <v>CANARIAS</v>
          </cell>
          <cell r="E2181" t="str">
            <v>01</v>
          </cell>
          <cell r="F2181" t="str">
            <v>PAQ24a26</v>
          </cell>
          <cell r="G2181" t="str">
            <v>B</v>
          </cell>
          <cell r="H2181">
            <v>262.14999999999998</v>
          </cell>
        </row>
        <row r="2182">
          <cell r="A2182" t="str">
            <v>1;01;C;B;PAQ26a28</v>
          </cell>
          <cell r="B2182">
            <v>730069</v>
          </cell>
          <cell r="C2182" t="str">
            <v>C</v>
          </cell>
          <cell r="D2182" t="str">
            <v>CANARIAS</v>
          </cell>
          <cell r="E2182" t="str">
            <v>01</v>
          </cell>
          <cell r="F2182" t="str">
            <v>PAQ26a28</v>
          </cell>
          <cell r="G2182" t="str">
            <v>B</v>
          </cell>
          <cell r="H2182">
            <v>282.17</v>
          </cell>
        </row>
        <row r="2183">
          <cell r="A2183" t="str">
            <v>1;01;C;B;PAQ28a30</v>
          </cell>
          <cell r="B2183">
            <v>730069</v>
          </cell>
          <cell r="C2183" t="str">
            <v>C</v>
          </cell>
          <cell r="D2183" t="str">
            <v>CANARIAS</v>
          </cell>
          <cell r="E2183" t="str">
            <v>01</v>
          </cell>
          <cell r="F2183" t="str">
            <v>PAQ28a30</v>
          </cell>
          <cell r="G2183" t="str">
            <v>B</v>
          </cell>
          <cell r="H2183">
            <v>302.17</v>
          </cell>
        </row>
        <row r="2184">
          <cell r="A2184" t="str">
            <v>1;01;C;B;PAQ30a32</v>
          </cell>
          <cell r="B2184">
            <v>730069</v>
          </cell>
          <cell r="C2184" t="str">
            <v>C</v>
          </cell>
          <cell r="D2184" t="str">
            <v>CANARIAS</v>
          </cell>
          <cell r="E2184" t="str">
            <v>01</v>
          </cell>
          <cell r="F2184" t="str">
            <v>PAQ30a32</v>
          </cell>
          <cell r="G2184" t="str">
            <v>B</v>
          </cell>
          <cell r="H2184">
            <v>322.18</v>
          </cell>
        </row>
        <row r="2185">
          <cell r="A2185" t="str">
            <v>1;01;C;B;PAQ32a34</v>
          </cell>
          <cell r="B2185">
            <v>730069</v>
          </cell>
          <cell r="C2185" t="str">
            <v>C</v>
          </cell>
          <cell r="D2185" t="str">
            <v>CANARIAS</v>
          </cell>
          <cell r="E2185" t="str">
            <v>01</v>
          </cell>
          <cell r="F2185" t="str">
            <v>PAQ32a34</v>
          </cell>
          <cell r="G2185" t="str">
            <v>B</v>
          </cell>
          <cell r="H2185">
            <v>342.2</v>
          </cell>
        </row>
        <row r="2186">
          <cell r="A2186" t="str">
            <v>1;01;C;B;PAQ34a36</v>
          </cell>
          <cell r="B2186">
            <v>730069</v>
          </cell>
          <cell r="C2186" t="str">
            <v>C</v>
          </cell>
          <cell r="D2186" t="str">
            <v>CANARIAS</v>
          </cell>
          <cell r="E2186" t="str">
            <v>01</v>
          </cell>
          <cell r="F2186" t="str">
            <v>PAQ34a36</v>
          </cell>
          <cell r="G2186" t="str">
            <v>B</v>
          </cell>
          <cell r="H2186">
            <v>362.21</v>
          </cell>
        </row>
        <row r="2187">
          <cell r="A2187" t="str">
            <v>1;01;C;B;PAQ36a38</v>
          </cell>
          <cell r="B2187">
            <v>730069</v>
          </cell>
          <cell r="C2187" t="str">
            <v>C</v>
          </cell>
          <cell r="D2187" t="str">
            <v>CANARIAS</v>
          </cell>
          <cell r="E2187" t="str">
            <v>01</v>
          </cell>
          <cell r="F2187" t="str">
            <v>PAQ36a38</v>
          </cell>
          <cell r="G2187" t="str">
            <v>B</v>
          </cell>
          <cell r="H2187">
            <v>382.21</v>
          </cell>
        </row>
        <row r="2188">
          <cell r="A2188" t="str">
            <v>1;01;C;B;PAQ38a40</v>
          </cell>
          <cell r="B2188">
            <v>730069</v>
          </cell>
          <cell r="C2188" t="str">
            <v>C</v>
          </cell>
          <cell r="D2188" t="str">
            <v>CANARIAS</v>
          </cell>
          <cell r="E2188" t="str">
            <v>01</v>
          </cell>
          <cell r="F2188" t="str">
            <v>PAQ38a40</v>
          </cell>
          <cell r="G2188" t="str">
            <v>B</v>
          </cell>
          <cell r="H2188">
            <v>402.22</v>
          </cell>
        </row>
        <row r="2189">
          <cell r="A2189" t="str">
            <v>1;01;C;F;</v>
          </cell>
          <cell r="B2189">
            <v>730069</v>
          </cell>
          <cell r="C2189" t="str">
            <v>C</v>
          </cell>
          <cell r="D2189" t="str">
            <v>CANARIAS</v>
          </cell>
          <cell r="E2189" t="str">
            <v>01</v>
          </cell>
          <cell r="F2189" t="str">
            <v/>
          </cell>
          <cell r="G2189" t="str">
            <v>F</v>
          </cell>
          <cell r="H2189">
            <v>20.010000000000002</v>
          </cell>
        </row>
        <row r="2190">
          <cell r="A2190" t="str">
            <v>1;01;C;E;</v>
          </cell>
          <cell r="B2190">
            <v>730069</v>
          </cell>
          <cell r="C2190" t="str">
            <v>C</v>
          </cell>
          <cell r="D2190" t="str">
            <v>CANARIAS</v>
          </cell>
          <cell r="E2190" t="str">
            <v>01</v>
          </cell>
          <cell r="F2190" t="str">
            <v/>
          </cell>
          <cell r="G2190" t="str">
            <v>E</v>
          </cell>
          <cell r="H2190">
            <v>0</v>
          </cell>
        </row>
        <row r="2191">
          <cell r="A2191" t="str">
            <v>1;01;C;P;</v>
          </cell>
          <cell r="B2191">
            <v>730069</v>
          </cell>
          <cell r="C2191" t="str">
            <v>C</v>
          </cell>
          <cell r="D2191" t="str">
            <v>CANARIAS</v>
          </cell>
          <cell r="E2191" t="str">
            <v>01</v>
          </cell>
          <cell r="F2191" t="str">
            <v/>
          </cell>
          <cell r="G2191" t="str">
            <v>P</v>
          </cell>
          <cell r="H2191">
            <v>0</v>
          </cell>
        </row>
        <row r="2192">
          <cell r="A2192" t="str">
            <v>1;02;C;B;BAG</v>
          </cell>
          <cell r="B2192">
            <v>730069</v>
          </cell>
          <cell r="C2192" t="str">
            <v>C</v>
          </cell>
          <cell r="D2192" t="str">
            <v>CANARIAS</v>
          </cell>
          <cell r="E2192" t="str">
            <v>02</v>
          </cell>
          <cell r="F2192" t="str">
            <v>BAG</v>
          </cell>
          <cell r="G2192" t="str">
            <v>B</v>
          </cell>
          <cell r="H2192">
            <v>19.54</v>
          </cell>
        </row>
        <row r="2193">
          <cell r="A2193" t="str">
            <v>1;02;C;B;DOCS</v>
          </cell>
          <cell r="B2193">
            <v>730069</v>
          </cell>
          <cell r="C2193" t="str">
            <v>C</v>
          </cell>
          <cell r="D2193" t="str">
            <v>CANARIAS</v>
          </cell>
          <cell r="E2193" t="str">
            <v>02</v>
          </cell>
          <cell r="F2193" t="str">
            <v>DOCS</v>
          </cell>
          <cell r="G2193" t="str">
            <v>B</v>
          </cell>
          <cell r="H2193">
            <v>10.19</v>
          </cell>
        </row>
        <row r="2194">
          <cell r="A2194" t="str">
            <v>1;02;C;B;PAQ00a02</v>
          </cell>
          <cell r="B2194">
            <v>730069</v>
          </cell>
          <cell r="C2194" t="str">
            <v>C</v>
          </cell>
          <cell r="D2194" t="str">
            <v>CANARIAS</v>
          </cell>
          <cell r="E2194" t="str">
            <v>02</v>
          </cell>
          <cell r="F2194" t="str">
            <v>PAQ00a02</v>
          </cell>
          <cell r="G2194" t="str">
            <v>B</v>
          </cell>
          <cell r="H2194">
            <v>23.05</v>
          </cell>
        </row>
        <row r="2195">
          <cell r="A2195" t="str">
            <v>1;02;C;B;PAQ02a04</v>
          </cell>
          <cell r="B2195">
            <v>730069</v>
          </cell>
          <cell r="C2195" t="str">
            <v>C</v>
          </cell>
          <cell r="D2195" t="str">
            <v>CANARIAS</v>
          </cell>
          <cell r="E2195" t="str">
            <v>02</v>
          </cell>
          <cell r="F2195" t="str">
            <v>PAQ02a04</v>
          </cell>
          <cell r="G2195" t="str">
            <v>B</v>
          </cell>
          <cell r="H2195">
            <v>37.700000000000003</v>
          </cell>
        </row>
        <row r="2196">
          <cell r="A2196" t="str">
            <v>1;02;C;B;PAQ04a06</v>
          </cell>
          <cell r="B2196">
            <v>730069</v>
          </cell>
          <cell r="C2196" t="str">
            <v>C</v>
          </cell>
          <cell r="D2196" t="str">
            <v>CANARIAS</v>
          </cell>
          <cell r="E2196" t="str">
            <v>02</v>
          </cell>
          <cell r="F2196" t="str">
            <v>PAQ04a06</v>
          </cell>
          <cell r="G2196" t="str">
            <v>B</v>
          </cell>
          <cell r="H2196">
            <v>49.93</v>
          </cell>
        </row>
        <row r="2197">
          <cell r="A2197" t="str">
            <v>1;02;C;B;PAQ06a08</v>
          </cell>
          <cell r="B2197">
            <v>730069</v>
          </cell>
          <cell r="C2197" t="str">
            <v>C</v>
          </cell>
          <cell r="D2197" t="str">
            <v>CANARIAS</v>
          </cell>
          <cell r="E2197" t="str">
            <v>02</v>
          </cell>
          <cell r="F2197" t="str">
            <v>PAQ06a08</v>
          </cell>
          <cell r="G2197" t="str">
            <v>B</v>
          </cell>
          <cell r="H2197">
            <v>62.17</v>
          </cell>
        </row>
        <row r="2198">
          <cell r="A2198" t="str">
            <v>1;02;C;B;PAQ08a10</v>
          </cell>
          <cell r="B2198">
            <v>730069</v>
          </cell>
          <cell r="C2198" t="str">
            <v>C</v>
          </cell>
          <cell r="D2198" t="str">
            <v>CANARIAS</v>
          </cell>
          <cell r="E2198" t="str">
            <v>02</v>
          </cell>
          <cell r="F2198" t="str">
            <v>PAQ08a10</v>
          </cell>
          <cell r="G2198" t="str">
            <v>B</v>
          </cell>
          <cell r="H2198">
            <v>74.400000000000006</v>
          </cell>
        </row>
        <row r="2199">
          <cell r="A2199" t="str">
            <v>1;02;C;B;PAQ10a12</v>
          </cell>
          <cell r="B2199">
            <v>730069</v>
          </cell>
          <cell r="C2199" t="str">
            <v>C</v>
          </cell>
          <cell r="D2199" t="str">
            <v>CANARIAS</v>
          </cell>
          <cell r="E2199" t="str">
            <v>02</v>
          </cell>
          <cell r="F2199" t="str">
            <v>PAQ10a12</v>
          </cell>
          <cell r="G2199" t="str">
            <v>B</v>
          </cell>
          <cell r="H2199">
            <v>86.65</v>
          </cell>
        </row>
        <row r="2200">
          <cell r="A2200" t="str">
            <v>1;02;C;B;PAQ12a14</v>
          </cell>
          <cell r="B2200">
            <v>730069</v>
          </cell>
          <cell r="C2200" t="str">
            <v>C</v>
          </cell>
          <cell r="D2200" t="str">
            <v>CANARIAS</v>
          </cell>
          <cell r="E2200" t="str">
            <v>02</v>
          </cell>
          <cell r="F2200" t="str">
            <v>PAQ12a14</v>
          </cell>
          <cell r="G2200" t="str">
            <v>B</v>
          </cell>
          <cell r="H2200">
            <v>98.88</v>
          </cell>
        </row>
        <row r="2201">
          <cell r="A2201" t="str">
            <v>1;02;C;B;PAQ14a16</v>
          </cell>
          <cell r="B2201">
            <v>730069</v>
          </cell>
          <cell r="C2201" t="str">
            <v>C</v>
          </cell>
          <cell r="D2201" t="str">
            <v>CANARIAS</v>
          </cell>
          <cell r="E2201" t="str">
            <v>02</v>
          </cell>
          <cell r="F2201" t="str">
            <v>PAQ14a16</v>
          </cell>
          <cell r="G2201" t="str">
            <v>B</v>
          </cell>
          <cell r="H2201">
            <v>111.12</v>
          </cell>
        </row>
        <row r="2202">
          <cell r="A2202" t="str">
            <v>1;02;C;B;PAQ16a18</v>
          </cell>
          <cell r="B2202">
            <v>730069</v>
          </cell>
          <cell r="C2202" t="str">
            <v>C</v>
          </cell>
          <cell r="D2202" t="str">
            <v>CANARIAS</v>
          </cell>
          <cell r="E2202" t="str">
            <v>02</v>
          </cell>
          <cell r="F2202" t="str">
            <v>PAQ16a18</v>
          </cell>
          <cell r="G2202" t="str">
            <v>B</v>
          </cell>
          <cell r="H2202">
            <v>123.35</v>
          </cell>
        </row>
        <row r="2203">
          <cell r="A2203" t="str">
            <v>1;02;C;B;PAQ18a20</v>
          </cell>
          <cell r="B2203">
            <v>730069</v>
          </cell>
          <cell r="C2203" t="str">
            <v>C</v>
          </cell>
          <cell r="D2203" t="str">
            <v>CANARIAS</v>
          </cell>
          <cell r="E2203" t="str">
            <v>02</v>
          </cell>
          <cell r="F2203" t="str">
            <v>PAQ18a20</v>
          </cell>
          <cell r="G2203" t="str">
            <v>B</v>
          </cell>
          <cell r="H2203">
            <v>135.6</v>
          </cell>
        </row>
        <row r="2204">
          <cell r="A2204" t="str">
            <v>1;02;C;B;PAQ20a22</v>
          </cell>
          <cell r="B2204">
            <v>730069</v>
          </cell>
          <cell r="C2204" t="str">
            <v>C</v>
          </cell>
          <cell r="D2204" t="str">
            <v>CANARIAS</v>
          </cell>
          <cell r="E2204" t="str">
            <v>02</v>
          </cell>
          <cell r="F2204" t="str">
            <v>PAQ20a22</v>
          </cell>
          <cell r="G2204" t="str">
            <v>B</v>
          </cell>
          <cell r="H2204">
            <v>147.83000000000001</v>
          </cell>
        </row>
        <row r="2205">
          <cell r="A2205" t="str">
            <v>1;02;C;B;PAQ22a24</v>
          </cell>
          <cell r="B2205">
            <v>730069</v>
          </cell>
          <cell r="C2205" t="str">
            <v>C</v>
          </cell>
          <cell r="D2205" t="str">
            <v>CANARIAS</v>
          </cell>
          <cell r="E2205" t="str">
            <v>02</v>
          </cell>
          <cell r="F2205" t="str">
            <v>PAQ22a24</v>
          </cell>
          <cell r="G2205" t="str">
            <v>B</v>
          </cell>
          <cell r="H2205">
            <v>160.07</v>
          </cell>
        </row>
        <row r="2206">
          <cell r="A2206" t="str">
            <v>1;02;C;B;PAQ24a26</v>
          </cell>
          <cell r="B2206">
            <v>730069</v>
          </cell>
          <cell r="C2206" t="str">
            <v>C</v>
          </cell>
          <cell r="D2206" t="str">
            <v>CANARIAS</v>
          </cell>
          <cell r="E2206" t="str">
            <v>02</v>
          </cell>
          <cell r="F2206" t="str">
            <v>PAQ24a26</v>
          </cell>
          <cell r="G2206" t="str">
            <v>B</v>
          </cell>
          <cell r="H2206">
            <v>172.31</v>
          </cell>
        </row>
        <row r="2207">
          <cell r="A2207" t="str">
            <v>1;02;C;B;PAQ26a28</v>
          </cell>
          <cell r="B2207">
            <v>730069</v>
          </cell>
          <cell r="C2207" t="str">
            <v>C</v>
          </cell>
          <cell r="D2207" t="str">
            <v>CANARIAS</v>
          </cell>
          <cell r="E2207" t="str">
            <v>02</v>
          </cell>
          <cell r="F2207" t="str">
            <v>PAQ26a28</v>
          </cell>
          <cell r="G2207" t="str">
            <v>B</v>
          </cell>
          <cell r="H2207">
            <v>184.55</v>
          </cell>
        </row>
        <row r="2208">
          <cell r="A2208" t="str">
            <v>1;02;C;B;PAQ28a30</v>
          </cell>
          <cell r="B2208">
            <v>730069</v>
          </cell>
          <cell r="C2208" t="str">
            <v>C</v>
          </cell>
          <cell r="D2208" t="str">
            <v>CANARIAS</v>
          </cell>
          <cell r="E2208" t="str">
            <v>02</v>
          </cell>
          <cell r="F2208" t="str">
            <v>PAQ28a30</v>
          </cell>
          <cell r="G2208" t="str">
            <v>B</v>
          </cell>
          <cell r="H2208">
            <v>196.78</v>
          </cell>
        </row>
        <row r="2209">
          <cell r="A2209" t="str">
            <v>1;02;C;B;PAQ30a32</v>
          </cell>
          <cell r="B2209">
            <v>730069</v>
          </cell>
          <cell r="C2209" t="str">
            <v>C</v>
          </cell>
          <cell r="D2209" t="str">
            <v>CANARIAS</v>
          </cell>
          <cell r="E2209" t="str">
            <v>02</v>
          </cell>
          <cell r="F2209" t="str">
            <v>PAQ30a32</v>
          </cell>
          <cell r="G2209" t="str">
            <v>B</v>
          </cell>
          <cell r="H2209">
            <v>209.02</v>
          </cell>
        </row>
        <row r="2210">
          <cell r="A2210" t="str">
            <v>1;02;C;B;PAQ32a34</v>
          </cell>
          <cell r="B2210">
            <v>730069</v>
          </cell>
          <cell r="C2210" t="str">
            <v>C</v>
          </cell>
          <cell r="D2210" t="str">
            <v>CANARIAS</v>
          </cell>
          <cell r="E2210" t="str">
            <v>02</v>
          </cell>
          <cell r="F2210" t="str">
            <v>PAQ32a34</v>
          </cell>
          <cell r="G2210" t="str">
            <v>B</v>
          </cell>
          <cell r="H2210">
            <v>221.26</v>
          </cell>
        </row>
        <row r="2211">
          <cell r="A2211" t="str">
            <v>1;02;C;B;PAQ34a36</v>
          </cell>
          <cell r="B2211">
            <v>730069</v>
          </cell>
          <cell r="C2211" t="str">
            <v>C</v>
          </cell>
          <cell r="D2211" t="str">
            <v>CANARIAS</v>
          </cell>
          <cell r="E2211" t="str">
            <v>02</v>
          </cell>
          <cell r="F2211" t="str">
            <v>PAQ34a36</v>
          </cell>
          <cell r="G2211" t="str">
            <v>B</v>
          </cell>
          <cell r="H2211">
            <v>233.5</v>
          </cell>
        </row>
        <row r="2212">
          <cell r="A2212" t="str">
            <v>1;02;C;B;PAQ36a38</v>
          </cell>
          <cell r="B2212">
            <v>730069</v>
          </cell>
          <cell r="C2212" t="str">
            <v>C</v>
          </cell>
          <cell r="D2212" t="str">
            <v>CANARIAS</v>
          </cell>
          <cell r="E2212" t="str">
            <v>02</v>
          </cell>
          <cell r="F2212" t="str">
            <v>PAQ36a38</v>
          </cell>
          <cell r="G2212" t="str">
            <v>B</v>
          </cell>
          <cell r="H2212">
            <v>245.73</v>
          </cell>
        </row>
        <row r="2213">
          <cell r="A2213" t="str">
            <v>1;02;C;B;PAQ38a40</v>
          </cell>
          <cell r="B2213">
            <v>730069</v>
          </cell>
          <cell r="C2213" t="str">
            <v>C</v>
          </cell>
          <cell r="D2213" t="str">
            <v>CANARIAS</v>
          </cell>
          <cell r="E2213" t="str">
            <v>02</v>
          </cell>
          <cell r="F2213" t="str">
            <v>PAQ38a40</v>
          </cell>
          <cell r="G2213" t="str">
            <v>B</v>
          </cell>
          <cell r="H2213">
            <v>257.97000000000003</v>
          </cell>
        </row>
        <row r="2214">
          <cell r="A2214" t="str">
            <v>1;02;C;F;</v>
          </cell>
          <cell r="B2214">
            <v>730069</v>
          </cell>
          <cell r="C2214" t="str">
            <v>C</v>
          </cell>
          <cell r="D2214" t="str">
            <v>CANARIAS</v>
          </cell>
          <cell r="E2214" t="str">
            <v>02</v>
          </cell>
          <cell r="F2214" t="str">
            <v/>
          </cell>
          <cell r="G2214" t="str">
            <v>F</v>
          </cell>
          <cell r="H2214">
            <v>12.24</v>
          </cell>
        </row>
        <row r="2215">
          <cell r="A2215" t="str">
            <v>1;02;C;E;</v>
          </cell>
          <cell r="B2215">
            <v>730069</v>
          </cell>
          <cell r="C2215" t="str">
            <v>C</v>
          </cell>
          <cell r="D2215" t="str">
            <v>CANARIAS</v>
          </cell>
          <cell r="E2215" t="str">
            <v>02</v>
          </cell>
          <cell r="F2215" t="str">
            <v/>
          </cell>
          <cell r="G2215" t="str">
            <v>E</v>
          </cell>
          <cell r="H2215">
            <v>0</v>
          </cell>
        </row>
        <row r="2216">
          <cell r="A2216" t="str">
            <v>1;02;C;P;</v>
          </cell>
          <cell r="B2216">
            <v>730069</v>
          </cell>
          <cell r="C2216" t="str">
            <v>C</v>
          </cell>
          <cell r="D2216" t="str">
            <v>CANARIAS</v>
          </cell>
          <cell r="E2216" t="str">
            <v>02</v>
          </cell>
          <cell r="F2216" t="str">
            <v/>
          </cell>
          <cell r="G2216" t="str">
            <v>P</v>
          </cell>
          <cell r="H2216">
            <v>0</v>
          </cell>
        </row>
        <row r="2217">
          <cell r="A2217" t="str">
            <v>1;04;C;B;BAG</v>
          </cell>
          <cell r="B2217">
            <v>730069</v>
          </cell>
          <cell r="C2217" t="str">
            <v>C</v>
          </cell>
          <cell r="D2217" t="str">
            <v>CANARIAS</v>
          </cell>
          <cell r="E2217" t="str">
            <v>04</v>
          </cell>
          <cell r="F2217" t="str">
            <v>BAG</v>
          </cell>
          <cell r="G2217" t="str">
            <v>B</v>
          </cell>
          <cell r="H2217">
            <v>5.76</v>
          </cell>
        </row>
        <row r="2218">
          <cell r="A2218" t="str">
            <v>1;05;C;B;BAG</v>
          </cell>
          <cell r="B2218">
            <v>730069</v>
          </cell>
          <cell r="C2218" t="str">
            <v>C</v>
          </cell>
          <cell r="D2218" t="str">
            <v>CANARIAS</v>
          </cell>
          <cell r="E2218" t="str">
            <v>05</v>
          </cell>
          <cell r="F2218" t="str">
            <v>BAG</v>
          </cell>
          <cell r="G2218" t="str">
            <v>B</v>
          </cell>
          <cell r="H2218">
            <v>5.76</v>
          </cell>
        </row>
        <row r="2219">
          <cell r="A2219" t="str">
            <v>1;06;C;B;BAG</v>
          </cell>
          <cell r="B2219">
            <v>730069</v>
          </cell>
          <cell r="C2219" t="str">
            <v>C</v>
          </cell>
          <cell r="D2219" t="str">
            <v>CANARIAS</v>
          </cell>
          <cell r="E2219" t="str">
            <v>06</v>
          </cell>
          <cell r="F2219" t="str">
            <v>BAG</v>
          </cell>
          <cell r="G2219" t="str">
            <v>B</v>
          </cell>
          <cell r="H2219">
            <v>0</v>
          </cell>
        </row>
        <row r="2220">
          <cell r="A2220" t="str">
            <v>1;06;C;B;DOCS</v>
          </cell>
          <cell r="B2220">
            <v>730069</v>
          </cell>
          <cell r="C2220" t="str">
            <v>C</v>
          </cell>
          <cell r="D2220" t="str">
            <v>CANARIAS</v>
          </cell>
          <cell r="E2220" t="str">
            <v>06</v>
          </cell>
          <cell r="F2220" t="str">
            <v>DOCS</v>
          </cell>
          <cell r="G2220" t="str">
            <v>B</v>
          </cell>
          <cell r="H2220">
            <v>0</v>
          </cell>
        </row>
        <row r="2221">
          <cell r="A2221" t="str">
            <v>1;06;C;B;PAQ00a02</v>
          </cell>
          <cell r="B2221">
            <v>730069</v>
          </cell>
          <cell r="C2221" t="str">
            <v>C</v>
          </cell>
          <cell r="D2221" t="str">
            <v>CANARIAS</v>
          </cell>
          <cell r="E2221" t="str">
            <v>06</v>
          </cell>
          <cell r="F2221" t="str">
            <v>PAQ00a02</v>
          </cell>
          <cell r="G2221" t="str">
            <v>B</v>
          </cell>
          <cell r="H2221">
            <v>0</v>
          </cell>
        </row>
        <row r="2222">
          <cell r="A2222" t="str">
            <v>1;06;C;B;PAQ02a04</v>
          </cell>
          <cell r="B2222">
            <v>730069</v>
          </cell>
          <cell r="C2222" t="str">
            <v>C</v>
          </cell>
          <cell r="D2222" t="str">
            <v>CANARIAS</v>
          </cell>
          <cell r="E2222" t="str">
            <v>06</v>
          </cell>
          <cell r="F2222" t="str">
            <v>PAQ02a04</v>
          </cell>
          <cell r="G2222" t="str">
            <v>B</v>
          </cell>
          <cell r="H2222">
            <v>0</v>
          </cell>
        </row>
        <row r="2223">
          <cell r="A2223" t="str">
            <v>1;06;C;B;PAQ04a06</v>
          </cell>
          <cell r="B2223">
            <v>730069</v>
          </cell>
          <cell r="C2223" t="str">
            <v>C</v>
          </cell>
          <cell r="D2223" t="str">
            <v>CANARIAS</v>
          </cell>
          <cell r="E2223" t="str">
            <v>06</v>
          </cell>
          <cell r="F2223" t="str">
            <v>PAQ04a06</v>
          </cell>
          <cell r="G2223" t="str">
            <v>B</v>
          </cell>
          <cell r="H2223">
            <v>0</v>
          </cell>
        </row>
        <row r="2224">
          <cell r="A2224" t="str">
            <v>1;06;C;B;PAQ06a08</v>
          </cell>
          <cell r="B2224">
            <v>730069</v>
          </cell>
          <cell r="C2224" t="str">
            <v>C</v>
          </cell>
          <cell r="D2224" t="str">
            <v>CANARIAS</v>
          </cell>
          <cell r="E2224" t="str">
            <v>06</v>
          </cell>
          <cell r="F2224" t="str">
            <v>PAQ06a08</v>
          </cell>
          <cell r="G2224" t="str">
            <v>B</v>
          </cell>
          <cell r="H2224">
            <v>0</v>
          </cell>
        </row>
        <row r="2225">
          <cell r="A2225" t="str">
            <v>1;06;C;B;PAQ08a10</v>
          </cell>
          <cell r="B2225">
            <v>730069</v>
          </cell>
          <cell r="C2225" t="str">
            <v>C</v>
          </cell>
          <cell r="D2225" t="str">
            <v>CANARIAS</v>
          </cell>
          <cell r="E2225" t="str">
            <v>06</v>
          </cell>
          <cell r="F2225" t="str">
            <v>PAQ08a10</v>
          </cell>
          <cell r="G2225" t="str">
            <v>B</v>
          </cell>
          <cell r="H2225">
            <v>0</v>
          </cell>
        </row>
        <row r="2226">
          <cell r="A2226" t="str">
            <v>1;06;C;B;PAQ10a12</v>
          </cell>
          <cell r="B2226">
            <v>730069</v>
          </cell>
          <cell r="C2226" t="str">
            <v>C</v>
          </cell>
          <cell r="D2226" t="str">
            <v>CANARIAS</v>
          </cell>
          <cell r="E2226" t="str">
            <v>06</v>
          </cell>
          <cell r="F2226" t="str">
            <v>PAQ10a12</v>
          </cell>
          <cell r="G2226" t="str">
            <v>B</v>
          </cell>
          <cell r="H2226">
            <v>0</v>
          </cell>
        </row>
        <row r="2227">
          <cell r="A2227" t="str">
            <v>1;06;C;B;PAQ12a14</v>
          </cell>
          <cell r="B2227">
            <v>730069</v>
          </cell>
          <cell r="C2227" t="str">
            <v>C</v>
          </cell>
          <cell r="D2227" t="str">
            <v>CANARIAS</v>
          </cell>
          <cell r="E2227" t="str">
            <v>06</v>
          </cell>
          <cell r="F2227" t="str">
            <v>PAQ12a14</v>
          </cell>
          <cell r="G2227" t="str">
            <v>B</v>
          </cell>
          <cell r="H2227">
            <v>0</v>
          </cell>
        </row>
        <row r="2228">
          <cell r="A2228" t="str">
            <v>1;06;C;B;PAQ14a16</v>
          </cell>
          <cell r="B2228">
            <v>730069</v>
          </cell>
          <cell r="C2228" t="str">
            <v>C</v>
          </cell>
          <cell r="D2228" t="str">
            <v>CANARIAS</v>
          </cell>
          <cell r="E2228" t="str">
            <v>06</v>
          </cell>
          <cell r="F2228" t="str">
            <v>PAQ14a16</v>
          </cell>
          <cell r="G2228" t="str">
            <v>B</v>
          </cell>
          <cell r="H2228">
            <v>0</v>
          </cell>
        </row>
        <row r="2229">
          <cell r="A2229" t="str">
            <v>1;06;C;B;PAQ16a18</v>
          </cell>
          <cell r="B2229">
            <v>730069</v>
          </cell>
          <cell r="C2229" t="str">
            <v>C</v>
          </cell>
          <cell r="D2229" t="str">
            <v>CANARIAS</v>
          </cell>
          <cell r="E2229" t="str">
            <v>06</v>
          </cell>
          <cell r="F2229" t="str">
            <v>PAQ16a18</v>
          </cell>
          <cell r="G2229" t="str">
            <v>B</v>
          </cell>
          <cell r="H2229">
            <v>0</v>
          </cell>
        </row>
        <row r="2230">
          <cell r="A2230" t="str">
            <v>1;06;C;B;PAQ18a20</v>
          </cell>
          <cell r="B2230">
            <v>730069</v>
          </cell>
          <cell r="C2230" t="str">
            <v>C</v>
          </cell>
          <cell r="D2230" t="str">
            <v>CANARIAS</v>
          </cell>
          <cell r="E2230" t="str">
            <v>06</v>
          </cell>
          <cell r="F2230" t="str">
            <v>PAQ18a20</v>
          </cell>
          <cell r="G2230" t="str">
            <v>B</v>
          </cell>
          <cell r="H2230">
            <v>0</v>
          </cell>
        </row>
        <row r="2231">
          <cell r="A2231" t="str">
            <v>1;06;C;B;PAQ20a22</v>
          </cell>
          <cell r="B2231">
            <v>730069</v>
          </cell>
          <cell r="C2231" t="str">
            <v>C</v>
          </cell>
          <cell r="D2231" t="str">
            <v>CANARIAS</v>
          </cell>
          <cell r="E2231" t="str">
            <v>06</v>
          </cell>
          <cell r="F2231" t="str">
            <v>PAQ20a22</v>
          </cell>
          <cell r="G2231" t="str">
            <v>B</v>
          </cell>
          <cell r="H2231">
            <v>0</v>
          </cell>
        </row>
        <row r="2232">
          <cell r="A2232" t="str">
            <v>1;06;C;B;PAQ22a24</v>
          </cell>
          <cell r="B2232">
            <v>730069</v>
          </cell>
          <cell r="C2232" t="str">
            <v>C</v>
          </cell>
          <cell r="D2232" t="str">
            <v>CANARIAS</v>
          </cell>
          <cell r="E2232" t="str">
            <v>06</v>
          </cell>
          <cell r="F2232" t="str">
            <v>PAQ22a24</v>
          </cell>
          <cell r="G2232" t="str">
            <v>B</v>
          </cell>
          <cell r="H2232">
            <v>0</v>
          </cell>
        </row>
        <row r="2233">
          <cell r="A2233" t="str">
            <v>1;06;C;B;PAQ24a26</v>
          </cell>
          <cell r="B2233">
            <v>730069</v>
          </cell>
          <cell r="C2233" t="str">
            <v>C</v>
          </cell>
          <cell r="D2233" t="str">
            <v>CANARIAS</v>
          </cell>
          <cell r="E2233" t="str">
            <v>06</v>
          </cell>
          <cell r="F2233" t="str">
            <v>PAQ24a26</v>
          </cell>
          <cell r="G2233" t="str">
            <v>B</v>
          </cell>
          <cell r="H2233">
            <v>0</v>
          </cell>
        </row>
        <row r="2234">
          <cell r="A2234" t="str">
            <v>1;06;C;B;PAQ26a28</v>
          </cell>
          <cell r="B2234">
            <v>730069</v>
          </cell>
          <cell r="C2234" t="str">
            <v>C</v>
          </cell>
          <cell r="D2234" t="str">
            <v>CANARIAS</v>
          </cell>
          <cell r="E2234" t="str">
            <v>06</v>
          </cell>
          <cell r="F2234" t="str">
            <v>PAQ26a28</v>
          </cell>
          <cell r="G2234" t="str">
            <v>B</v>
          </cell>
          <cell r="H2234">
            <v>0</v>
          </cell>
        </row>
        <row r="2235">
          <cell r="A2235" t="str">
            <v>1;06;C;B;PAQ28a30</v>
          </cell>
          <cell r="B2235">
            <v>730069</v>
          </cell>
          <cell r="C2235" t="str">
            <v>C</v>
          </cell>
          <cell r="D2235" t="str">
            <v>CANARIAS</v>
          </cell>
          <cell r="E2235" t="str">
            <v>06</v>
          </cell>
          <cell r="F2235" t="str">
            <v>PAQ28a30</v>
          </cell>
          <cell r="G2235" t="str">
            <v>B</v>
          </cell>
          <cell r="H2235">
            <v>0</v>
          </cell>
        </row>
        <row r="2236">
          <cell r="A2236" t="str">
            <v>1;06;C;B;PAQ30a32</v>
          </cell>
          <cell r="B2236">
            <v>730069</v>
          </cell>
          <cell r="C2236" t="str">
            <v>C</v>
          </cell>
          <cell r="D2236" t="str">
            <v>CANARIAS</v>
          </cell>
          <cell r="E2236" t="str">
            <v>06</v>
          </cell>
          <cell r="F2236" t="str">
            <v>PAQ30a32</v>
          </cell>
          <cell r="G2236" t="str">
            <v>B</v>
          </cell>
          <cell r="H2236">
            <v>0</v>
          </cell>
        </row>
        <row r="2237">
          <cell r="A2237" t="str">
            <v>1;06;C;B;PAQ32a34</v>
          </cell>
          <cell r="B2237">
            <v>730069</v>
          </cell>
          <cell r="C2237" t="str">
            <v>C</v>
          </cell>
          <cell r="D2237" t="str">
            <v>CANARIAS</v>
          </cell>
          <cell r="E2237" t="str">
            <v>06</v>
          </cell>
          <cell r="F2237" t="str">
            <v>PAQ32a34</v>
          </cell>
          <cell r="G2237" t="str">
            <v>B</v>
          </cell>
          <cell r="H2237">
            <v>0</v>
          </cell>
        </row>
        <row r="2238">
          <cell r="A2238" t="str">
            <v>1;06;C;B;PAQ34a36</v>
          </cell>
          <cell r="B2238">
            <v>730069</v>
          </cell>
          <cell r="C2238" t="str">
            <v>C</v>
          </cell>
          <cell r="D2238" t="str">
            <v>CANARIAS</v>
          </cell>
          <cell r="E2238" t="str">
            <v>06</v>
          </cell>
          <cell r="F2238" t="str">
            <v>PAQ34a36</v>
          </cell>
          <cell r="G2238" t="str">
            <v>B</v>
          </cell>
          <cell r="H2238">
            <v>0</v>
          </cell>
        </row>
        <row r="2239">
          <cell r="A2239" t="str">
            <v>1;06;C;B;PAQ36a38</v>
          </cell>
          <cell r="B2239">
            <v>730069</v>
          </cell>
          <cell r="C2239" t="str">
            <v>C</v>
          </cell>
          <cell r="D2239" t="str">
            <v>CANARIAS</v>
          </cell>
          <cell r="E2239" t="str">
            <v>06</v>
          </cell>
          <cell r="F2239" t="str">
            <v>PAQ36a38</v>
          </cell>
          <cell r="G2239" t="str">
            <v>B</v>
          </cell>
          <cell r="H2239">
            <v>0</v>
          </cell>
        </row>
        <row r="2240">
          <cell r="A2240" t="str">
            <v>1;06;C;B;PAQ38a40</v>
          </cell>
          <cell r="B2240">
            <v>730069</v>
          </cell>
          <cell r="C2240" t="str">
            <v>C</v>
          </cell>
          <cell r="D2240" t="str">
            <v>CANARIAS</v>
          </cell>
          <cell r="E2240" t="str">
            <v>06</v>
          </cell>
          <cell r="F2240" t="str">
            <v>PAQ38a40</v>
          </cell>
          <cell r="G2240" t="str">
            <v>B</v>
          </cell>
          <cell r="H2240">
            <v>0</v>
          </cell>
        </row>
        <row r="2241">
          <cell r="A2241" t="str">
            <v>1;06;C;F;</v>
          </cell>
          <cell r="B2241">
            <v>730069</v>
          </cell>
          <cell r="C2241" t="str">
            <v>C</v>
          </cell>
          <cell r="D2241" t="str">
            <v>CANARIAS</v>
          </cell>
          <cell r="E2241" t="str">
            <v>06</v>
          </cell>
          <cell r="F2241" t="str">
            <v/>
          </cell>
          <cell r="G2241" t="str">
            <v>F</v>
          </cell>
          <cell r="H2241">
            <v>0</v>
          </cell>
        </row>
        <row r="2242">
          <cell r="A2242" t="str">
            <v>1;06;C;E;</v>
          </cell>
          <cell r="B2242">
            <v>730069</v>
          </cell>
          <cell r="C2242" t="str">
            <v>C</v>
          </cell>
          <cell r="D2242" t="str">
            <v>CANARIAS</v>
          </cell>
          <cell r="E2242" t="str">
            <v>06</v>
          </cell>
          <cell r="F2242" t="str">
            <v/>
          </cell>
          <cell r="G2242" t="str">
            <v>E</v>
          </cell>
          <cell r="H2242">
            <v>0</v>
          </cell>
        </row>
        <row r="2243">
          <cell r="A2243" t="str">
            <v>1;06;C;P;</v>
          </cell>
          <cell r="B2243">
            <v>730069</v>
          </cell>
          <cell r="C2243" t="str">
            <v>C</v>
          </cell>
          <cell r="D2243" t="str">
            <v>CANARIAS</v>
          </cell>
          <cell r="E2243" t="str">
            <v>06</v>
          </cell>
          <cell r="F2243" t="str">
            <v/>
          </cell>
          <cell r="G2243" t="str">
            <v>P</v>
          </cell>
          <cell r="H2243">
            <v>0</v>
          </cell>
        </row>
        <row r="2244">
          <cell r="A2244" t="str">
            <v>1;07;C;B;BAG</v>
          </cell>
          <cell r="B2244">
            <v>730069</v>
          </cell>
          <cell r="C2244" t="str">
            <v>C</v>
          </cell>
          <cell r="D2244" t="str">
            <v>CANARIAS</v>
          </cell>
          <cell r="E2244" t="str">
            <v>07</v>
          </cell>
          <cell r="F2244" t="str">
            <v>BAG</v>
          </cell>
          <cell r="G2244" t="str">
            <v>B</v>
          </cell>
          <cell r="H2244">
            <v>0</v>
          </cell>
        </row>
        <row r="2245">
          <cell r="A2245" t="str">
            <v>1;07;C;B;DOCS</v>
          </cell>
          <cell r="B2245">
            <v>730069</v>
          </cell>
          <cell r="C2245" t="str">
            <v>C</v>
          </cell>
          <cell r="D2245" t="str">
            <v>CANARIAS</v>
          </cell>
          <cell r="E2245" t="str">
            <v>07</v>
          </cell>
          <cell r="F2245" t="str">
            <v>DOCS</v>
          </cell>
          <cell r="G2245" t="str">
            <v>B</v>
          </cell>
          <cell r="H2245">
            <v>0</v>
          </cell>
        </row>
        <row r="2246">
          <cell r="A2246" t="str">
            <v>1;07;C;B;PAQ00a02</v>
          </cell>
          <cell r="B2246">
            <v>730069</v>
          </cell>
          <cell r="C2246" t="str">
            <v>C</v>
          </cell>
          <cell r="D2246" t="str">
            <v>CANARIAS</v>
          </cell>
          <cell r="E2246" t="str">
            <v>07</v>
          </cell>
          <cell r="F2246" t="str">
            <v>PAQ00a02</v>
          </cell>
          <cell r="G2246" t="str">
            <v>B</v>
          </cell>
          <cell r="H2246">
            <v>0</v>
          </cell>
        </row>
        <row r="2247">
          <cell r="A2247" t="str">
            <v>1;07;C;B;PAQ02a04</v>
          </cell>
          <cell r="B2247">
            <v>730069</v>
          </cell>
          <cell r="C2247" t="str">
            <v>C</v>
          </cell>
          <cell r="D2247" t="str">
            <v>CANARIAS</v>
          </cell>
          <cell r="E2247" t="str">
            <v>07</v>
          </cell>
          <cell r="F2247" t="str">
            <v>PAQ02a04</v>
          </cell>
          <cell r="G2247" t="str">
            <v>B</v>
          </cell>
          <cell r="H2247">
            <v>0</v>
          </cell>
        </row>
        <row r="2248">
          <cell r="A2248" t="str">
            <v>1;07;C;B;PAQ04a06</v>
          </cell>
          <cell r="B2248">
            <v>730069</v>
          </cell>
          <cell r="C2248" t="str">
            <v>C</v>
          </cell>
          <cell r="D2248" t="str">
            <v>CANARIAS</v>
          </cell>
          <cell r="E2248" t="str">
            <v>07</v>
          </cell>
          <cell r="F2248" t="str">
            <v>PAQ04a06</v>
          </cell>
          <cell r="G2248" t="str">
            <v>B</v>
          </cell>
          <cell r="H2248">
            <v>0</v>
          </cell>
        </row>
        <row r="2249">
          <cell r="A2249" t="str">
            <v>1;07;C;B;PAQ06a08</v>
          </cell>
          <cell r="B2249">
            <v>730069</v>
          </cell>
          <cell r="C2249" t="str">
            <v>C</v>
          </cell>
          <cell r="D2249" t="str">
            <v>CANARIAS</v>
          </cell>
          <cell r="E2249" t="str">
            <v>07</v>
          </cell>
          <cell r="F2249" t="str">
            <v>PAQ06a08</v>
          </cell>
          <cell r="G2249" t="str">
            <v>B</v>
          </cell>
          <cell r="H2249">
            <v>0</v>
          </cell>
        </row>
        <row r="2250">
          <cell r="A2250" t="str">
            <v>1;07;C;B;PAQ08a10</v>
          </cell>
          <cell r="B2250">
            <v>730069</v>
          </cell>
          <cell r="C2250" t="str">
            <v>C</v>
          </cell>
          <cell r="D2250" t="str">
            <v>CANARIAS</v>
          </cell>
          <cell r="E2250" t="str">
            <v>07</v>
          </cell>
          <cell r="F2250" t="str">
            <v>PAQ08a10</v>
          </cell>
          <cell r="G2250" t="str">
            <v>B</v>
          </cell>
          <cell r="H2250">
            <v>0</v>
          </cell>
        </row>
        <row r="2251">
          <cell r="A2251" t="str">
            <v>1;07;C;B;PAQ10a12</v>
          </cell>
          <cell r="B2251">
            <v>730069</v>
          </cell>
          <cell r="C2251" t="str">
            <v>C</v>
          </cell>
          <cell r="D2251" t="str">
            <v>CANARIAS</v>
          </cell>
          <cell r="E2251" t="str">
            <v>07</v>
          </cell>
          <cell r="F2251" t="str">
            <v>PAQ10a12</v>
          </cell>
          <cell r="G2251" t="str">
            <v>B</v>
          </cell>
          <cell r="H2251">
            <v>0</v>
          </cell>
        </row>
        <row r="2252">
          <cell r="A2252" t="str">
            <v>1;07;C;B;PAQ12a14</v>
          </cell>
          <cell r="B2252">
            <v>730069</v>
          </cell>
          <cell r="C2252" t="str">
            <v>C</v>
          </cell>
          <cell r="D2252" t="str">
            <v>CANARIAS</v>
          </cell>
          <cell r="E2252" t="str">
            <v>07</v>
          </cell>
          <cell r="F2252" t="str">
            <v>PAQ12a14</v>
          </cell>
          <cell r="G2252" t="str">
            <v>B</v>
          </cell>
          <cell r="H2252">
            <v>0</v>
          </cell>
        </row>
        <row r="2253">
          <cell r="A2253" t="str">
            <v>1;07;C;B;PAQ14a16</v>
          </cell>
          <cell r="B2253">
            <v>730069</v>
          </cell>
          <cell r="C2253" t="str">
            <v>C</v>
          </cell>
          <cell r="D2253" t="str">
            <v>CANARIAS</v>
          </cell>
          <cell r="E2253" t="str">
            <v>07</v>
          </cell>
          <cell r="F2253" t="str">
            <v>PAQ14a16</v>
          </cell>
          <cell r="G2253" t="str">
            <v>B</v>
          </cell>
          <cell r="H2253">
            <v>0</v>
          </cell>
        </row>
        <row r="2254">
          <cell r="A2254" t="str">
            <v>1;07;C;B;PAQ16a18</v>
          </cell>
          <cell r="B2254">
            <v>730069</v>
          </cell>
          <cell r="C2254" t="str">
            <v>C</v>
          </cell>
          <cell r="D2254" t="str">
            <v>CANARIAS</v>
          </cell>
          <cell r="E2254" t="str">
            <v>07</v>
          </cell>
          <cell r="F2254" t="str">
            <v>PAQ16a18</v>
          </cell>
          <cell r="G2254" t="str">
            <v>B</v>
          </cell>
          <cell r="H2254">
            <v>0</v>
          </cell>
        </row>
        <row r="2255">
          <cell r="A2255" t="str">
            <v>1;07;C;B;PAQ18a20</v>
          </cell>
          <cell r="B2255">
            <v>730069</v>
          </cell>
          <cell r="C2255" t="str">
            <v>C</v>
          </cell>
          <cell r="D2255" t="str">
            <v>CANARIAS</v>
          </cell>
          <cell r="E2255" t="str">
            <v>07</v>
          </cell>
          <cell r="F2255" t="str">
            <v>PAQ18a20</v>
          </cell>
          <cell r="G2255" t="str">
            <v>B</v>
          </cell>
          <cell r="H2255">
            <v>0</v>
          </cell>
        </row>
        <row r="2256">
          <cell r="A2256" t="str">
            <v>1;07;C;B;PAQ20a22</v>
          </cell>
          <cell r="B2256">
            <v>730069</v>
          </cell>
          <cell r="C2256" t="str">
            <v>C</v>
          </cell>
          <cell r="D2256" t="str">
            <v>CANARIAS</v>
          </cell>
          <cell r="E2256" t="str">
            <v>07</v>
          </cell>
          <cell r="F2256" t="str">
            <v>PAQ20a22</v>
          </cell>
          <cell r="G2256" t="str">
            <v>B</v>
          </cell>
          <cell r="H2256">
            <v>0</v>
          </cell>
        </row>
        <row r="2257">
          <cell r="A2257" t="str">
            <v>1;07;C;B;PAQ22a24</v>
          </cell>
          <cell r="B2257">
            <v>730069</v>
          </cell>
          <cell r="C2257" t="str">
            <v>C</v>
          </cell>
          <cell r="D2257" t="str">
            <v>CANARIAS</v>
          </cell>
          <cell r="E2257" t="str">
            <v>07</v>
          </cell>
          <cell r="F2257" t="str">
            <v>PAQ22a24</v>
          </cell>
          <cell r="G2257" t="str">
            <v>B</v>
          </cell>
          <cell r="H2257">
            <v>0</v>
          </cell>
        </row>
        <row r="2258">
          <cell r="A2258" t="str">
            <v>1;07;C;B;PAQ24a26</v>
          </cell>
          <cell r="B2258">
            <v>730069</v>
          </cell>
          <cell r="C2258" t="str">
            <v>C</v>
          </cell>
          <cell r="D2258" t="str">
            <v>CANARIAS</v>
          </cell>
          <cell r="E2258" t="str">
            <v>07</v>
          </cell>
          <cell r="F2258" t="str">
            <v>PAQ24a26</v>
          </cell>
          <cell r="G2258" t="str">
            <v>B</v>
          </cell>
          <cell r="H2258">
            <v>0</v>
          </cell>
        </row>
        <row r="2259">
          <cell r="A2259" t="str">
            <v>1;07;C;B;PAQ26a28</v>
          </cell>
          <cell r="B2259">
            <v>730069</v>
          </cell>
          <cell r="C2259" t="str">
            <v>C</v>
          </cell>
          <cell r="D2259" t="str">
            <v>CANARIAS</v>
          </cell>
          <cell r="E2259" t="str">
            <v>07</v>
          </cell>
          <cell r="F2259" t="str">
            <v>PAQ26a28</v>
          </cell>
          <cell r="G2259" t="str">
            <v>B</v>
          </cell>
          <cell r="H2259">
            <v>0</v>
          </cell>
        </row>
        <row r="2260">
          <cell r="A2260" t="str">
            <v>1;07;C;B;PAQ28a30</v>
          </cell>
          <cell r="B2260">
            <v>730069</v>
          </cell>
          <cell r="C2260" t="str">
            <v>C</v>
          </cell>
          <cell r="D2260" t="str">
            <v>CANARIAS</v>
          </cell>
          <cell r="E2260" t="str">
            <v>07</v>
          </cell>
          <cell r="F2260" t="str">
            <v>PAQ28a30</v>
          </cell>
          <cell r="G2260" t="str">
            <v>B</v>
          </cell>
          <cell r="H2260">
            <v>0</v>
          </cell>
        </row>
        <row r="2261">
          <cell r="A2261" t="str">
            <v>1;07;C;B;PAQ30a32</v>
          </cell>
          <cell r="B2261">
            <v>730069</v>
          </cell>
          <cell r="C2261" t="str">
            <v>C</v>
          </cell>
          <cell r="D2261" t="str">
            <v>CANARIAS</v>
          </cell>
          <cell r="E2261" t="str">
            <v>07</v>
          </cell>
          <cell r="F2261" t="str">
            <v>PAQ30a32</v>
          </cell>
          <cell r="G2261" t="str">
            <v>B</v>
          </cell>
          <cell r="H2261">
            <v>0</v>
          </cell>
        </row>
        <row r="2262">
          <cell r="A2262" t="str">
            <v>1;07;C;B;PAQ32a34</v>
          </cell>
          <cell r="B2262">
            <v>730069</v>
          </cell>
          <cell r="C2262" t="str">
            <v>C</v>
          </cell>
          <cell r="D2262" t="str">
            <v>CANARIAS</v>
          </cell>
          <cell r="E2262" t="str">
            <v>07</v>
          </cell>
          <cell r="F2262" t="str">
            <v>PAQ32a34</v>
          </cell>
          <cell r="G2262" t="str">
            <v>B</v>
          </cell>
          <cell r="H2262">
            <v>0</v>
          </cell>
        </row>
        <row r="2263">
          <cell r="A2263" t="str">
            <v>1;07;C;B;PAQ34a36</v>
          </cell>
          <cell r="B2263">
            <v>730069</v>
          </cell>
          <cell r="C2263" t="str">
            <v>C</v>
          </cell>
          <cell r="D2263" t="str">
            <v>CANARIAS</v>
          </cell>
          <cell r="E2263" t="str">
            <v>07</v>
          </cell>
          <cell r="F2263" t="str">
            <v>PAQ34a36</v>
          </cell>
          <cell r="G2263" t="str">
            <v>B</v>
          </cell>
          <cell r="H2263">
            <v>0</v>
          </cell>
        </row>
        <row r="2264">
          <cell r="A2264" t="str">
            <v>1;07;C;B;PAQ36a38</v>
          </cell>
          <cell r="B2264">
            <v>730069</v>
          </cell>
          <cell r="C2264" t="str">
            <v>C</v>
          </cell>
          <cell r="D2264" t="str">
            <v>CANARIAS</v>
          </cell>
          <cell r="E2264" t="str">
            <v>07</v>
          </cell>
          <cell r="F2264" t="str">
            <v>PAQ36a38</v>
          </cell>
          <cell r="G2264" t="str">
            <v>B</v>
          </cell>
          <cell r="H2264">
            <v>0</v>
          </cell>
        </row>
        <row r="2265">
          <cell r="A2265" t="str">
            <v>1;07;C;B;PAQ38a40</v>
          </cell>
          <cell r="B2265">
            <v>730069</v>
          </cell>
          <cell r="C2265" t="str">
            <v>C</v>
          </cell>
          <cell r="D2265" t="str">
            <v>CANARIAS</v>
          </cell>
          <cell r="E2265" t="str">
            <v>07</v>
          </cell>
          <cell r="F2265" t="str">
            <v>PAQ38a40</v>
          </cell>
          <cell r="G2265" t="str">
            <v>B</v>
          </cell>
          <cell r="H2265">
            <v>0</v>
          </cell>
        </row>
        <row r="2266">
          <cell r="A2266" t="str">
            <v>1;07;C;F;</v>
          </cell>
          <cell r="B2266">
            <v>730069</v>
          </cell>
          <cell r="C2266" t="str">
            <v>C</v>
          </cell>
          <cell r="D2266" t="str">
            <v>CANARIAS</v>
          </cell>
          <cell r="E2266" t="str">
            <v>07</v>
          </cell>
          <cell r="F2266" t="str">
            <v/>
          </cell>
          <cell r="G2266" t="str">
            <v>F</v>
          </cell>
          <cell r="H2266">
            <v>0</v>
          </cell>
        </row>
        <row r="2267">
          <cell r="A2267" t="str">
            <v>1;07;C;E;</v>
          </cell>
          <cell r="B2267">
            <v>730069</v>
          </cell>
          <cell r="C2267" t="str">
            <v>C</v>
          </cell>
          <cell r="D2267" t="str">
            <v>CANARIAS</v>
          </cell>
          <cell r="E2267" t="str">
            <v>07</v>
          </cell>
          <cell r="F2267" t="str">
            <v/>
          </cell>
          <cell r="G2267" t="str">
            <v>E</v>
          </cell>
          <cell r="H2267">
            <v>0</v>
          </cell>
        </row>
        <row r="2268">
          <cell r="A2268" t="str">
            <v>1;07;C;P;</v>
          </cell>
          <cell r="B2268">
            <v>730069</v>
          </cell>
          <cell r="C2268" t="str">
            <v>C</v>
          </cell>
          <cell r="D2268" t="str">
            <v>CANARIAS</v>
          </cell>
          <cell r="E2268" t="str">
            <v>07</v>
          </cell>
          <cell r="F2268" t="str">
            <v/>
          </cell>
          <cell r="G2268" t="str">
            <v>P</v>
          </cell>
          <cell r="H2268">
            <v>0</v>
          </cell>
        </row>
        <row r="2269">
          <cell r="A2269" t="str">
            <v>1;10;C;B;BAG</v>
          </cell>
          <cell r="B2269">
            <v>730069</v>
          </cell>
          <cell r="C2269" t="str">
            <v>C</v>
          </cell>
          <cell r="D2269" t="str">
            <v>CANARIAS</v>
          </cell>
          <cell r="E2269" t="str">
            <v>10</v>
          </cell>
          <cell r="F2269" t="str">
            <v>BAG</v>
          </cell>
          <cell r="G2269" t="str">
            <v>B</v>
          </cell>
          <cell r="H2269">
            <v>1.7</v>
          </cell>
        </row>
        <row r="2270">
          <cell r="A2270" t="str">
            <v>1;10;C;B;DOCS</v>
          </cell>
          <cell r="B2270">
            <v>730069</v>
          </cell>
          <cell r="C2270" t="str">
            <v>C</v>
          </cell>
          <cell r="D2270" t="str">
            <v>CANARIAS</v>
          </cell>
          <cell r="E2270" t="str">
            <v>10</v>
          </cell>
          <cell r="F2270" t="str">
            <v>DOCS</v>
          </cell>
          <cell r="G2270" t="str">
            <v>B</v>
          </cell>
          <cell r="H2270">
            <v>1.7</v>
          </cell>
        </row>
        <row r="2271">
          <cell r="A2271" t="str">
            <v>1;13;C;B;PAQ00a02</v>
          </cell>
          <cell r="B2271">
            <v>730069</v>
          </cell>
          <cell r="C2271" t="str">
            <v>C</v>
          </cell>
          <cell r="D2271" t="str">
            <v>CANARIAS</v>
          </cell>
          <cell r="E2271" t="str">
            <v>13</v>
          </cell>
          <cell r="F2271" t="str">
            <v>PAQ00a02</v>
          </cell>
          <cell r="G2271" t="str">
            <v>B</v>
          </cell>
          <cell r="H2271">
            <v>0</v>
          </cell>
        </row>
        <row r="2272">
          <cell r="A2272" t="str">
            <v>1;13;C;B;PAQ02a04</v>
          </cell>
          <cell r="B2272">
            <v>730069</v>
          </cell>
          <cell r="C2272" t="str">
            <v>C</v>
          </cell>
          <cell r="D2272" t="str">
            <v>CANARIAS</v>
          </cell>
          <cell r="E2272" t="str">
            <v>13</v>
          </cell>
          <cell r="F2272" t="str">
            <v>PAQ02a04</v>
          </cell>
          <cell r="G2272" t="str">
            <v>B</v>
          </cell>
          <cell r="H2272">
            <v>0</v>
          </cell>
        </row>
        <row r="2273">
          <cell r="A2273" t="str">
            <v>1;13;C;B;PAQ04a06</v>
          </cell>
          <cell r="B2273">
            <v>730069</v>
          </cell>
          <cell r="C2273" t="str">
            <v>C</v>
          </cell>
          <cell r="D2273" t="str">
            <v>CANARIAS</v>
          </cell>
          <cell r="E2273" t="str">
            <v>13</v>
          </cell>
          <cell r="F2273" t="str">
            <v>PAQ04a06</v>
          </cell>
          <cell r="G2273" t="str">
            <v>B</v>
          </cell>
          <cell r="H2273">
            <v>0</v>
          </cell>
        </row>
        <row r="2274">
          <cell r="A2274" t="str">
            <v>1;13;C;B;PAQ06a08</v>
          </cell>
          <cell r="B2274">
            <v>730069</v>
          </cell>
          <cell r="C2274" t="str">
            <v>C</v>
          </cell>
          <cell r="D2274" t="str">
            <v>CANARIAS</v>
          </cell>
          <cell r="E2274" t="str">
            <v>13</v>
          </cell>
          <cell r="F2274" t="str">
            <v>PAQ06a08</v>
          </cell>
          <cell r="G2274" t="str">
            <v>B</v>
          </cell>
          <cell r="H2274">
            <v>0</v>
          </cell>
        </row>
        <row r="2275">
          <cell r="A2275" t="str">
            <v>1;13;C;B;PAQ08a10</v>
          </cell>
          <cell r="B2275">
            <v>730069</v>
          </cell>
          <cell r="C2275" t="str">
            <v>C</v>
          </cell>
          <cell r="D2275" t="str">
            <v>CANARIAS</v>
          </cell>
          <cell r="E2275" t="str">
            <v>13</v>
          </cell>
          <cell r="F2275" t="str">
            <v>PAQ08a10</v>
          </cell>
          <cell r="G2275" t="str">
            <v>B</v>
          </cell>
          <cell r="H2275">
            <v>0</v>
          </cell>
        </row>
        <row r="2276">
          <cell r="A2276" t="str">
            <v>1;13;C;B;PAQ10a12</v>
          </cell>
          <cell r="B2276">
            <v>730069</v>
          </cell>
          <cell r="C2276" t="str">
            <v>C</v>
          </cell>
          <cell r="D2276" t="str">
            <v>CANARIAS</v>
          </cell>
          <cell r="E2276" t="str">
            <v>13</v>
          </cell>
          <cell r="F2276" t="str">
            <v>PAQ10a12</v>
          </cell>
          <cell r="G2276" t="str">
            <v>B</v>
          </cell>
          <cell r="H2276">
            <v>0</v>
          </cell>
        </row>
        <row r="2277">
          <cell r="A2277" t="str">
            <v>1;13;C;B;PAQ12a14</v>
          </cell>
          <cell r="B2277">
            <v>730069</v>
          </cell>
          <cell r="C2277" t="str">
            <v>C</v>
          </cell>
          <cell r="D2277" t="str">
            <v>CANARIAS</v>
          </cell>
          <cell r="E2277" t="str">
            <v>13</v>
          </cell>
          <cell r="F2277" t="str">
            <v>PAQ12a14</v>
          </cell>
          <cell r="G2277" t="str">
            <v>B</v>
          </cell>
          <cell r="H2277">
            <v>0</v>
          </cell>
        </row>
        <row r="2278">
          <cell r="A2278" t="str">
            <v>1;13;C;B;PAQ14a16</v>
          </cell>
          <cell r="B2278">
            <v>730069</v>
          </cell>
          <cell r="C2278" t="str">
            <v>C</v>
          </cell>
          <cell r="D2278" t="str">
            <v>CANARIAS</v>
          </cell>
          <cell r="E2278" t="str">
            <v>13</v>
          </cell>
          <cell r="F2278" t="str">
            <v>PAQ14a16</v>
          </cell>
          <cell r="G2278" t="str">
            <v>B</v>
          </cell>
          <cell r="H2278">
            <v>0</v>
          </cell>
        </row>
        <row r="2279">
          <cell r="A2279" t="str">
            <v>1;13;C;B;PAQ16a18</v>
          </cell>
          <cell r="B2279">
            <v>730069</v>
          </cell>
          <cell r="C2279" t="str">
            <v>C</v>
          </cell>
          <cell r="D2279" t="str">
            <v>CANARIAS</v>
          </cell>
          <cell r="E2279" t="str">
            <v>13</v>
          </cell>
          <cell r="F2279" t="str">
            <v>PAQ16a18</v>
          </cell>
          <cell r="G2279" t="str">
            <v>B</v>
          </cell>
          <cell r="H2279">
            <v>0</v>
          </cell>
        </row>
        <row r="2280">
          <cell r="A2280" t="str">
            <v>1;13;C;B;PAQ18a20</v>
          </cell>
          <cell r="B2280">
            <v>730069</v>
          </cell>
          <cell r="C2280" t="str">
            <v>C</v>
          </cell>
          <cell r="D2280" t="str">
            <v>CANARIAS</v>
          </cell>
          <cell r="E2280" t="str">
            <v>13</v>
          </cell>
          <cell r="F2280" t="str">
            <v>PAQ18a20</v>
          </cell>
          <cell r="G2280" t="str">
            <v>B</v>
          </cell>
          <cell r="H2280">
            <v>0</v>
          </cell>
        </row>
        <row r="2281">
          <cell r="A2281" t="str">
            <v>1;13;C;B;PAQ20a22</v>
          </cell>
          <cell r="B2281">
            <v>730069</v>
          </cell>
          <cell r="C2281" t="str">
            <v>C</v>
          </cell>
          <cell r="D2281" t="str">
            <v>CANARIAS</v>
          </cell>
          <cell r="E2281" t="str">
            <v>13</v>
          </cell>
          <cell r="F2281" t="str">
            <v>PAQ20a22</v>
          </cell>
          <cell r="G2281" t="str">
            <v>B</v>
          </cell>
          <cell r="H2281">
            <v>0</v>
          </cell>
        </row>
        <row r="2282">
          <cell r="A2282" t="str">
            <v>1;13;C;B;PAQ22a24</v>
          </cell>
          <cell r="B2282">
            <v>730069</v>
          </cell>
          <cell r="C2282" t="str">
            <v>C</v>
          </cell>
          <cell r="D2282" t="str">
            <v>CANARIAS</v>
          </cell>
          <cell r="E2282" t="str">
            <v>13</v>
          </cell>
          <cell r="F2282" t="str">
            <v>PAQ22a24</v>
          </cell>
          <cell r="G2282" t="str">
            <v>B</v>
          </cell>
          <cell r="H2282">
            <v>0</v>
          </cell>
        </row>
        <row r="2283">
          <cell r="A2283" t="str">
            <v>1;13;C;B;PAQ24a26</v>
          </cell>
          <cell r="B2283">
            <v>730069</v>
          </cell>
          <cell r="C2283" t="str">
            <v>C</v>
          </cell>
          <cell r="D2283" t="str">
            <v>CANARIAS</v>
          </cell>
          <cell r="E2283" t="str">
            <v>13</v>
          </cell>
          <cell r="F2283" t="str">
            <v>PAQ24a26</v>
          </cell>
          <cell r="G2283" t="str">
            <v>B</v>
          </cell>
          <cell r="H2283">
            <v>0</v>
          </cell>
        </row>
        <row r="2284">
          <cell r="A2284" t="str">
            <v>1;13;C;B;PAQ26a28</v>
          </cell>
          <cell r="B2284">
            <v>730069</v>
          </cell>
          <cell r="C2284" t="str">
            <v>C</v>
          </cell>
          <cell r="D2284" t="str">
            <v>CANARIAS</v>
          </cell>
          <cell r="E2284" t="str">
            <v>13</v>
          </cell>
          <cell r="F2284" t="str">
            <v>PAQ26a28</v>
          </cell>
          <cell r="G2284" t="str">
            <v>B</v>
          </cell>
          <cell r="H2284">
            <v>0</v>
          </cell>
        </row>
        <row r="2285">
          <cell r="A2285" t="str">
            <v>1;13;C;B;PAQ28a30</v>
          </cell>
          <cell r="B2285">
            <v>730069</v>
          </cell>
          <cell r="C2285" t="str">
            <v>C</v>
          </cell>
          <cell r="D2285" t="str">
            <v>CANARIAS</v>
          </cell>
          <cell r="E2285" t="str">
            <v>13</v>
          </cell>
          <cell r="F2285" t="str">
            <v>PAQ28a30</v>
          </cell>
          <cell r="G2285" t="str">
            <v>B</v>
          </cell>
          <cell r="H2285">
            <v>0</v>
          </cell>
        </row>
        <row r="2286">
          <cell r="A2286" t="str">
            <v>1;13;C;B;PAQ30a32</v>
          </cell>
          <cell r="B2286">
            <v>730069</v>
          </cell>
          <cell r="C2286" t="str">
            <v>C</v>
          </cell>
          <cell r="D2286" t="str">
            <v>CANARIAS</v>
          </cell>
          <cell r="E2286" t="str">
            <v>13</v>
          </cell>
          <cell r="F2286" t="str">
            <v>PAQ30a32</v>
          </cell>
          <cell r="G2286" t="str">
            <v>B</v>
          </cell>
          <cell r="H2286">
            <v>0</v>
          </cell>
        </row>
        <row r="2287">
          <cell r="A2287" t="str">
            <v>1;13;C;B;PAQ32a34</v>
          </cell>
          <cell r="B2287">
            <v>730069</v>
          </cell>
          <cell r="C2287" t="str">
            <v>C</v>
          </cell>
          <cell r="D2287" t="str">
            <v>CANARIAS</v>
          </cell>
          <cell r="E2287" t="str">
            <v>13</v>
          </cell>
          <cell r="F2287" t="str">
            <v>PAQ32a34</v>
          </cell>
          <cell r="G2287" t="str">
            <v>B</v>
          </cell>
          <cell r="H2287">
            <v>0</v>
          </cell>
        </row>
        <row r="2288">
          <cell r="A2288" t="str">
            <v>1;13;C;B;PAQ34a36</v>
          </cell>
          <cell r="B2288">
            <v>730069</v>
          </cell>
          <cell r="C2288" t="str">
            <v>C</v>
          </cell>
          <cell r="D2288" t="str">
            <v>CANARIAS</v>
          </cell>
          <cell r="E2288" t="str">
            <v>13</v>
          </cell>
          <cell r="F2288" t="str">
            <v>PAQ34a36</v>
          </cell>
          <cell r="G2288" t="str">
            <v>B</v>
          </cell>
          <cell r="H2288">
            <v>0</v>
          </cell>
        </row>
        <row r="2289">
          <cell r="A2289" t="str">
            <v>1;13;C;B;PAQ36a38</v>
          </cell>
          <cell r="B2289">
            <v>730069</v>
          </cell>
          <cell r="C2289" t="str">
            <v>C</v>
          </cell>
          <cell r="D2289" t="str">
            <v>CANARIAS</v>
          </cell>
          <cell r="E2289" t="str">
            <v>13</v>
          </cell>
          <cell r="F2289" t="str">
            <v>PAQ36a38</v>
          </cell>
          <cell r="G2289" t="str">
            <v>B</v>
          </cell>
          <cell r="H2289">
            <v>0</v>
          </cell>
        </row>
        <row r="2290">
          <cell r="A2290" t="str">
            <v>1;13;C;B;PAQ38a40</v>
          </cell>
          <cell r="B2290">
            <v>730069</v>
          </cell>
          <cell r="C2290" t="str">
            <v>C</v>
          </cell>
          <cell r="D2290" t="str">
            <v>CANARIAS</v>
          </cell>
          <cell r="E2290" t="str">
            <v>13</v>
          </cell>
          <cell r="F2290" t="str">
            <v>PAQ38a40</v>
          </cell>
          <cell r="G2290" t="str">
            <v>B</v>
          </cell>
          <cell r="H2290">
            <v>0</v>
          </cell>
        </row>
        <row r="2291">
          <cell r="A2291" t="str">
            <v>1;13;C;F;</v>
          </cell>
          <cell r="B2291">
            <v>730069</v>
          </cell>
          <cell r="C2291" t="str">
            <v>C</v>
          </cell>
          <cell r="D2291" t="str">
            <v>CANARIAS</v>
          </cell>
          <cell r="E2291" t="str">
            <v>13</v>
          </cell>
          <cell r="F2291" t="str">
            <v/>
          </cell>
          <cell r="G2291" t="str">
            <v>F</v>
          </cell>
          <cell r="H2291">
            <v>0</v>
          </cell>
        </row>
        <row r="2292">
          <cell r="A2292" t="str">
            <v>1;13;C;E;</v>
          </cell>
          <cell r="B2292">
            <v>730069</v>
          </cell>
          <cell r="C2292" t="str">
            <v>C</v>
          </cell>
          <cell r="D2292" t="str">
            <v>CANARIAS</v>
          </cell>
          <cell r="E2292" t="str">
            <v>13</v>
          </cell>
          <cell r="F2292" t="str">
            <v/>
          </cell>
          <cell r="G2292" t="str">
            <v>E</v>
          </cell>
          <cell r="H2292">
            <v>0</v>
          </cell>
        </row>
        <row r="2293">
          <cell r="A2293" t="str">
            <v>1;13;C;P;</v>
          </cell>
          <cell r="B2293">
            <v>730069</v>
          </cell>
          <cell r="C2293" t="str">
            <v>C</v>
          </cell>
          <cell r="D2293" t="str">
            <v>CANARIAS</v>
          </cell>
          <cell r="E2293" t="str">
            <v>13</v>
          </cell>
          <cell r="F2293" t="str">
            <v/>
          </cell>
          <cell r="G2293" t="str">
            <v>P</v>
          </cell>
          <cell r="H2293">
            <v>0</v>
          </cell>
        </row>
        <row r="2294">
          <cell r="A2294" t="str">
            <v>1;14;C;B;BAG</v>
          </cell>
          <cell r="B2294">
            <v>730069</v>
          </cell>
          <cell r="C2294" t="str">
            <v>C</v>
          </cell>
          <cell r="D2294" t="str">
            <v>CANARIAS</v>
          </cell>
          <cell r="E2294" t="str">
            <v>14</v>
          </cell>
          <cell r="F2294" t="str">
            <v>BAG</v>
          </cell>
          <cell r="G2294" t="str">
            <v>B</v>
          </cell>
          <cell r="H2294">
            <v>1.79</v>
          </cell>
        </row>
        <row r="2295">
          <cell r="A2295" t="str">
            <v>1;15;C;B;BAG</v>
          </cell>
          <cell r="B2295">
            <v>730069</v>
          </cell>
          <cell r="C2295" t="str">
            <v>C</v>
          </cell>
          <cell r="D2295" t="str">
            <v>CANARIAS</v>
          </cell>
          <cell r="E2295" t="str">
            <v>15</v>
          </cell>
          <cell r="F2295" t="str">
            <v>BAG</v>
          </cell>
          <cell r="G2295" t="str">
            <v>B</v>
          </cell>
          <cell r="H2295">
            <v>1.79</v>
          </cell>
        </row>
        <row r="2296">
          <cell r="A2296" t="str">
            <v>1;17;C;B;PAQ00a02</v>
          </cell>
          <cell r="B2296">
            <v>730069</v>
          </cell>
          <cell r="C2296" t="str">
            <v>C</v>
          </cell>
          <cell r="D2296" t="str">
            <v>CANARIAS</v>
          </cell>
          <cell r="E2296" t="str">
            <v>17</v>
          </cell>
          <cell r="F2296" t="str">
            <v>PAQ00a02</v>
          </cell>
          <cell r="G2296" t="str">
            <v>B</v>
          </cell>
          <cell r="H2296">
            <v>12.88</v>
          </cell>
        </row>
        <row r="2297">
          <cell r="A2297" t="str">
            <v>1;17;C;B;PAQ02a04</v>
          </cell>
          <cell r="B2297">
            <v>730069</v>
          </cell>
          <cell r="C2297" t="str">
            <v>C</v>
          </cell>
          <cell r="D2297" t="str">
            <v>CANARIAS</v>
          </cell>
          <cell r="E2297" t="str">
            <v>17</v>
          </cell>
          <cell r="F2297" t="str">
            <v>PAQ02a04</v>
          </cell>
          <cell r="G2297" t="str">
            <v>B</v>
          </cell>
          <cell r="H2297">
            <v>25.13</v>
          </cell>
        </row>
        <row r="2298">
          <cell r="A2298" t="str">
            <v>1;17;C;B;PAQ04a06</v>
          </cell>
          <cell r="B2298">
            <v>730069</v>
          </cell>
          <cell r="C2298" t="str">
            <v>C</v>
          </cell>
          <cell r="D2298" t="str">
            <v>CANARIAS</v>
          </cell>
          <cell r="E2298" t="str">
            <v>17</v>
          </cell>
          <cell r="F2298" t="str">
            <v>PAQ04a06</v>
          </cell>
          <cell r="G2298" t="str">
            <v>B</v>
          </cell>
          <cell r="H2298">
            <v>37.36</v>
          </cell>
        </row>
        <row r="2299">
          <cell r="A2299" t="str">
            <v>1;17;C;B;PAQ06a08</v>
          </cell>
          <cell r="B2299">
            <v>730069</v>
          </cell>
          <cell r="C2299" t="str">
            <v>C</v>
          </cell>
          <cell r="D2299" t="str">
            <v>CANARIAS</v>
          </cell>
          <cell r="E2299" t="str">
            <v>17</v>
          </cell>
          <cell r="F2299" t="str">
            <v>PAQ06a08</v>
          </cell>
          <cell r="G2299" t="str">
            <v>B</v>
          </cell>
          <cell r="H2299">
            <v>49.6</v>
          </cell>
        </row>
        <row r="2300">
          <cell r="A2300" t="str">
            <v>1;17;C;B;PAQ08a10</v>
          </cell>
          <cell r="B2300">
            <v>730069</v>
          </cell>
          <cell r="C2300" t="str">
            <v>C</v>
          </cell>
          <cell r="D2300" t="str">
            <v>CANARIAS</v>
          </cell>
          <cell r="E2300" t="str">
            <v>17</v>
          </cell>
          <cell r="F2300" t="str">
            <v>PAQ08a10</v>
          </cell>
          <cell r="G2300" t="str">
            <v>B</v>
          </cell>
          <cell r="H2300">
            <v>61.83</v>
          </cell>
        </row>
        <row r="2301">
          <cell r="A2301" t="str">
            <v>1;17;C;B;PAQ10a12</v>
          </cell>
          <cell r="B2301">
            <v>730069</v>
          </cell>
          <cell r="C2301" t="str">
            <v>C</v>
          </cell>
          <cell r="D2301" t="str">
            <v>CANARIAS</v>
          </cell>
          <cell r="E2301" t="str">
            <v>17</v>
          </cell>
          <cell r="F2301" t="str">
            <v>PAQ10a12</v>
          </cell>
          <cell r="G2301" t="str">
            <v>B</v>
          </cell>
          <cell r="H2301">
            <v>74.08</v>
          </cell>
        </row>
        <row r="2302">
          <cell r="A2302" t="str">
            <v>1;17;C;B;PAQ12a14</v>
          </cell>
          <cell r="B2302">
            <v>730069</v>
          </cell>
          <cell r="C2302" t="str">
            <v>C</v>
          </cell>
          <cell r="D2302" t="str">
            <v>CANARIAS</v>
          </cell>
          <cell r="E2302" t="str">
            <v>17</v>
          </cell>
          <cell r="F2302" t="str">
            <v>PAQ12a14</v>
          </cell>
          <cell r="G2302" t="str">
            <v>B</v>
          </cell>
          <cell r="H2302">
            <v>86.31</v>
          </cell>
        </row>
        <row r="2303">
          <cell r="A2303" t="str">
            <v>1;17;C;B;PAQ14a16</v>
          </cell>
          <cell r="B2303">
            <v>730069</v>
          </cell>
          <cell r="C2303" t="str">
            <v>C</v>
          </cell>
          <cell r="D2303" t="str">
            <v>CANARIAS</v>
          </cell>
          <cell r="E2303" t="str">
            <v>17</v>
          </cell>
          <cell r="F2303" t="str">
            <v>PAQ14a16</v>
          </cell>
          <cell r="G2303" t="str">
            <v>B</v>
          </cell>
          <cell r="H2303">
            <v>98.55</v>
          </cell>
        </row>
        <row r="2304">
          <cell r="A2304" t="str">
            <v>1;17;C;B;PAQ16a18</v>
          </cell>
          <cell r="B2304">
            <v>730069</v>
          </cell>
          <cell r="C2304" t="str">
            <v>C</v>
          </cell>
          <cell r="D2304" t="str">
            <v>CANARIAS</v>
          </cell>
          <cell r="E2304" t="str">
            <v>17</v>
          </cell>
          <cell r="F2304" t="str">
            <v>PAQ16a18</v>
          </cell>
          <cell r="G2304" t="str">
            <v>B</v>
          </cell>
          <cell r="H2304">
            <v>110.79</v>
          </cell>
        </row>
        <row r="2305">
          <cell r="A2305" t="str">
            <v>1;17;C;B;PAQ18a20</v>
          </cell>
          <cell r="B2305">
            <v>730069</v>
          </cell>
          <cell r="C2305" t="str">
            <v>C</v>
          </cell>
          <cell r="D2305" t="str">
            <v>CANARIAS</v>
          </cell>
          <cell r="E2305" t="str">
            <v>17</v>
          </cell>
          <cell r="F2305" t="str">
            <v>PAQ18a20</v>
          </cell>
          <cell r="G2305" t="str">
            <v>B</v>
          </cell>
          <cell r="H2305">
            <v>123.03</v>
          </cell>
        </row>
        <row r="2306">
          <cell r="A2306" t="str">
            <v>1;17;C;B;PAQ20a22</v>
          </cell>
          <cell r="B2306">
            <v>730069</v>
          </cell>
          <cell r="C2306" t="str">
            <v>C</v>
          </cell>
          <cell r="D2306" t="str">
            <v>CANARIAS</v>
          </cell>
          <cell r="E2306" t="str">
            <v>17</v>
          </cell>
          <cell r="F2306" t="str">
            <v>PAQ20a22</v>
          </cell>
          <cell r="G2306" t="str">
            <v>B</v>
          </cell>
          <cell r="H2306">
            <v>135.26</v>
          </cell>
        </row>
        <row r="2307">
          <cell r="A2307" t="str">
            <v>1;17;C;B;PAQ22a24</v>
          </cell>
          <cell r="B2307">
            <v>730069</v>
          </cell>
          <cell r="C2307" t="str">
            <v>C</v>
          </cell>
          <cell r="D2307" t="str">
            <v>CANARIAS</v>
          </cell>
          <cell r="E2307" t="str">
            <v>17</v>
          </cell>
          <cell r="F2307" t="str">
            <v>PAQ22a24</v>
          </cell>
          <cell r="G2307" t="str">
            <v>B</v>
          </cell>
          <cell r="H2307">
            <v>147.5</v>
          </cell>
        </row>
        <row r="2308">
          <cell r="A2308" t="str">
            <v>1;17;C;B;PAQ24a26</v>
          </cell>
          <cell r="B2308">
            <v>730069</v>
          </cell>
          <cell r="C2308" t="str">
            <v>C</v>
          </cell>
          <cell r="D2308" t="str">
            <v>CANARIAS</v>
          </cell>
          <cell r="E2308" t="str">
            <v>17</v>
          </cell>
          <cell r="F2308" t="str">
            <v>PAQ24a26</v>
          </cell>
          <cell r="G2308" t="str">
            <v>B</v>
          </cell>
          <cell r="H2308">
            <v>159.74</v>
          </cell>
        </row>
        <row r="2309">
          <cell r="A2309" t="str">
            <v>1;17;C;B;PAQ26a28</v>
          </cell>
          <cell r="B2309">
            <v>730069</v>
          </cell>
          <cell r="C2309" t="str">
            <v>C</v>
          </cell>
          <cell r="D2309" t="str">
            <v>CANARIAS</v>
          </cell>
          <cell r="E2309" t="str">
            <v>17</v>
          </cell>
          <cell r="F2309" t="str">
            <v>PAQ26a28</v>
          </cell>
          <cell r="G2309" t="str">
            <v>B</v>
          </cell>
          <cell r="H2309">
            <v>171.98</v>
          </cell>
        </row>
        <row r="2310">
          <cell r="A2310" t="str">
            <v>1;17;C;B;PAQ28a30</v>
          </cell>
          <cell r="B2310">
            <v>730069</v>
          </cell>
          <cell r="C2310" t="str">
            <v>C</v>
          </cell>
          <cell r="D2310" t="str">
            <v>CANARIAS</v>
          </cell>
          <cell r="E2310" t="str">
            <v>17</v>
          </cell>
          <cell r="F2310" t="str">
            <v>PAQ28a30</v>
          </cell>
          <cell r="G2310" t="str">
            <v>B</v>
          </cell>
          <cell r="H2310">
            <v>184.21</v>
          </cell>
        </row>
        <row r="2311">
          <cell r="A2311" t="str">
            <v>1;17;C;B;PAQ30a32</v>
          </cell>
          <cell r="B2311">
            <v>730069</v>
          </cell>
          <cell r="C2311" t="str">
            <v>C</v>
          </cell>
          <cell r="D2311" t="str">
            <v>CANARIAS</v>
          </cell>
          <cell r="E2311" t="str">
            <v>17</v>
          </cell>
          <cell r="F2311" t="str">
            <v>PAQ30a32</v>
          </cell>
          <cell r="G2311" t="str">
            <v>B</v>
          </cell>
          <cell r="H2311">
            <v>196.46</v>
          </cell>
        </row>
        <row r="2312">
          <cell r="A2312" t="str">
            <v>1;17;C;B;PAQ32a34</v>
          </cell>
          <cell r="B2312">
            <v>730069</v>
          </cell>
          <cell r="C2312" t="str">
            <v>C</v>
          </cell>
          <cell r="D2312" t="str">
            <v>CANARIAS</v>
          </cell>
          <cell r="E2312" t="str">
            <v>17</v>
          </cell>
          <cell r="F2312" t="str">
            <v>PAQ32a34</v>
          </cell>
          <cell r="G2312" t="str">
            <v>B</v>
          </cell>
          <cell r="H2312">
            <v>208.69</v>
          </cell>
        </row>
        <row r="2313">
          <cell r="A2313" t="str">
            <v>1;17;C;B;PAQ34a36</v>
          </cell>
          <cell r="B2313">
            <v>730069</v>
          </cell>
          <cell r="C2313" t="str">
            <v>C</v>
          </cell>
          <cell r="D2313" t="str">
            <v>CANARIAS</v>
          </cell>
          <cell r="E2313" t="str">
            <v>17</v>
          </cell>
          <cell r="F2313" t="str">
            <v>PAQ34a36</v>
          </cell>
          <cell r="G2313" t="str">
            <v>B</v>
          </cell>
          <cell r="H2313">
            <v>220.93</v>
          </cell>
        </row>
        <row r="2314">
          <cell r="A2314" t="str">
            <v>1;17;C;B;PAQ36a38</v>
          </cell>
          <cell r="B2314">
            <v>730069</v>
          </cell>
          <cell r="C2314" t="str">
            <v>C</v>
          </cell>
          <cell r="D2314" t="str">
            <v>CANARIAS</v>
          </cell>
          <cell r="E2314" t="str">
            <v>17</v>
          </cell>
          <cell r="F2314" t="str">
            <v>PAQ36a38</v>
          </cell>
          <cell r="G2314" t="str">
            <v>B</v>
          </cell>
          <cell r="H2314">
            <v>233.16</v>
          </cell>
        </row>
        <row r="2315">
          <cell r="A2315" t="str">
            <v>1;17;C;F;</v>
          </cell>
          <cell r="B2315">
            <v>730069</v>
          </cell>
          <cell r="C2315" t="str">
            <v>C</v>
          </cell>
          <cell r="D2315" t="str">
            <v>CANARIAS</v>
          </cell>
          <cell r="E2315" t="str">
            <v>17</v>
          </cell>
          <cell r="F2315" t="str">
            <v/>
          </cell>
          <cell r="G2315" t="str">
            <v>F</v>
          </cell>
          <cell r="H2315">
            <v>12.24</v>
          </cell>
        </row>
        <row r="2316">
          <cell r="A2316" t="str">
            <v>1;17;C;B;PAQ38a40</v>
          </cell>
          <cell r="B2316">
            <v>730069</v>
          </cell>
          <cell r="C2316" t="str">
            <v>C</v>
          </cell>
          <cell r="D2316" t="str">
            <v>CANARIAS</v>
          </cell>
          <cell r="E2316" t="str">
            <v>17</v>
          </cell>
          <cell r="F2316" t="str">
            <v>PAQ38a40</v>
          </cell>
          <cell r="G2316" t="str">
            <v>B</v>
          </cell>
          <cell r="H2316">
            <v>245.41</v>
          </cell>
        </row>
        <row r="2317">
          <cell r="A2317" t="str">
            <v>1;17;C;E;</v>
          </cell>
          <cell r="B2317">
            <v>730069</v>
          </cell>
          <cell r="C2317" t="str">
            <v>C</v>
          </cell>
          <cell r="D2317" t="str">
            <v>CANARIAS</v>
          </cell>
          <cell r="E2317" t="str">
            <v>17</v>
          </cell>
          <cell r="F2317" t="str">
            <v/>
          </cell>
          <cell r="G2317" t="str">
            <v>E</v>
          </cell>
          <cell r="H2317">
            <v>0</v>
          </cell>
        </row>
        <row r="2318">
          <cell r="A2318" t="str">
            <v>1;17;C;P;</v>
          </cell>
          <cell r="B2318">
            <v>730069</v>
          </cell>
          <cell r="C2318" t="str">
            <v>C</v>
          </cell>
          <cell r="D2318" t="str">
            <v>CANARIAS</v>
          </cell>
          <cell r="E2318" t="str">
            <v>17</v>
          </cell>
          <cell r="F2318" t="str">
            <v/>
          </cell>
          <cell r="G2318" t="str">
            <v>P</v>
          </cell>
          <cell r="H2318">
            <v>0</v>
          </cell>
        </row>
        <row r="2319">
          <cell r="A2319" t="str">
            <v>1;18;C;B;BAG</v>
          </cell>
          <cell r="B2319">
            <v>730069</v>
          </cell>
          <cell r="C2319" t="str">
            <v>C</v>
          </cell>
          <cell r="D2319" t="str">
            <v>CANARIAS</v>
          </cell>
          <cell r="E2319" t="str">
            <v>18</v>
          </cell>
          <cell r="F2319" t="str">
            <v>BAG</v>
          </cell>
          <cell r="G2319" t="str">
            <v>B</v>
          </cell>
          <cell r="H2319">
            <v>19.54</v>
          </cell>
        </row>
        <row r="2320">
          <cell r="A2320" t="str">
            <v>1;18;C;B;DOCS</v>
          </cell>
          <cell r="B2320">
            <v>730069</v>
          </cell>
          <cell r="C2320" t="str">
            <v>C</v>
          </cell>
          <cell r="D2320" t="str">
            <v>CANARIAS</v>
          </cell>
          <cell r="E2320" t="str">
            <v>18</v>
          </cell>
          <cell r="F2320" t="str">
            <v>DOCS</v>
          </cell>
          <cell r="G2320" t="str">
            <v>B</v>
          </cell>
          <cell r="H2320">
            <v>10.19</v>
          </cell>
        </row>
        <row r="2321">
          <cell r="A2321" t="str">
            <v>1;18;C;B;PAQ00a02</v>
          </cell>
          <cell r="B2321">
            <v>730069</v>
          </cell>
          <cell r="C2321" t="str">
            <v>C</v>
          </cell>
          <cell r="D2321" t="str">
            <v>CANARIAS</v>
          </cell>
          <cell r="E2321" t="str">
            <v>18</v>
          </cell>
          <cell r="F2321" t="str">
            <v>PAQ00a02</v>
          </cell>
          <cell r="G2321" t="str">
            <v>B</v>
          </cell>
          <cell r="H2321">
            <v>23.05</v>
          </cell>
        </row>
        <row r="2322">
          <cell r="A2322" t="str">
            <v>1;18;C;B;PAQ02a04</v>
          </cell>
          <cell r="B2322">
            <v>730069</v>
          </cell>
          <cell r="C2322" t="str">
            <v>C</v>
          </cell>
          <cell r="D2322" t="str">
            <v>CANARIAS</v>
          </cell>
          <cell r="E2322" t="str">
            <v>18</v>
          </cell>
          <cell r="F2322" t="str">
            <v>PAQ02a04</v>
          </cell>
          <cell r="G2322" t="str">
            <v>B</v>
          </cell>
          <cell r="H2322">
            <v>37.700000000000003</v>
          </cell>
        </row>
        <row r="2323">
          <cell r="A2323" t="str">
            <v>1;18;C;B;PAQ04a06</v>
          </cell>
          <cell r="B2323">
            <v>730069</v>
          </cell>
          <cell r="C2323" t="str">
            <v>C</v>
          </cell>
          <cell r="D2323" t="str">
            <v>CANARIAS</v>
          </cell>
          <cell r="E2323" t="str">
            <v>18</v>
          </cell>
          <cell r="F2323" t="str">
            <v>PAQ04a06</v>
          </cell>
          <cell r="G2323" t="str">
            <v>B</v>
          </cell>
          <cell r="H2323">
            <v>49.93</v>
          </cell>
        </row>
        <row r="2324">
          <cell r="A2324" t="str">
            <v>1;18;C;B;PAQ06a08</v>
          </cell>
          <cell r="B2324">
            <v>730069</v>
          </cell>
          <cell r="C2324" t="str">
            <v>C</v>
          </cell>
          <cell r="D2324" t="str">
            <v>CANARIAS</v>
          </cell>
          <cell r="E2324" t="str">
            <v>18</v>
          </cell>
          <cell r="F2324" t="str">
            <v>PAQ06a08</v>
          </cell>
          <cell r="G2324" t="str">
            <v>B</v>
          </cell>
          <cell r="H2324">
            <v>62.17</v>
          </cell>
        </row>
        <row r="2325">
          <cell r="A2325" t="str">
            <v>1;18;C;B;PAQ08a10</v>
          </cell>
          <cell r="B2325">
            <v>730069</v>
          </cell>
          <cell r="C2325" t="str">
            <v>C</v>
          </cell>
          <cell r="D2325" t="str">
            <v>CANARIAS</v>
          </cell>
          <cell r="E2325" t="str">
            <v>18</v>
          </cell>
          <cell r="F2325" t="str">
            <v>PAQ08a10</v>
          </cell>
          <cell r="G2325" t="str">
            <v>B</v>
          </cell>
          <cell r="H2325">
            <v>74.400000000000006</v>
          </cell>
        </row>
        <row r="2326">
          <cell r="A2326" t="str">
            <v>1;18;C;B;PAQ10a12</v>
          </cell>
          <cell r="B2326">
            <v>730069</v>
          </cell>
          <cell r="C2326" t="str">
            <v>C</v>
          </cell>
          <cell r="D2326" t="str">
            <v>CANARIAS</v>
          </cell>
          <cell r="E2326" t="str">
            <v>18</v>
          </cell>
          <cell r="F2326" t="str">
            <v>PAQ10a12</v>
          </cell>
          <cell r="G2326" t="str">
            <v>B</v>
          </cell>
          <cell r="H2326">
            <v>86.65</v>
          </cell>
        </row>
        <row r="2327">
          <cell r="A2327" t="str">
            <v>1;18;C;B;PAQ12a14</v>
          </cell>
          <cell r="B2327">
            <v>730069</v>
          </cell>
          <cell r="C2327" t="str">
            <v>C</v>
          </cell>
          <cell r="D2327" t="str">
            <v>CANARIAS</v>
          </cell>
          <cell r="E2327" t="str">
            <v>18</v>
          </cell>
          <cell r="F2327" t="str">
            <v>PAQ12a14</v>
          </cell>
          <cell r="G2327" t="str">
            <v>B</v>
          </cell>
          <cell r="H2327">
            <v>98.88</v>
          </cell>
        </row>
        <row r="2328">
          <cell r="A2328" t="str">
            <v>1;18;C;B;PAQ14a16</v>
          </cell>
          <cell r="B2328">
            <v>730069</v>
          </cell>
          <cell r="C2328" t="str">
            <v>C</v>
          </cell>
          <cell r="D2328" t="str">
            <v>CANARIAS</v>
          </cell>
          <cell r="E2328" t="str">
            <v>18</v>
          </cell>
          <cell r="F2328" t="str">
            <v>PAQ14a16</v>
          </cell>
          <cell r="G2328" t="str">
            <v>B</v>
          </cell>
          <cell r="H2328">
            <v>111.12</v>
          </cell>
        </row>
        <row r="2329">
          <cell r="A2329" t="str">
            <v>1;18;C;B;PAQ16a18</v>
          </cell>
          <cell r="B2329">
            <v>730069</v>
          </cell>
          <cell r="C2329" t="str">
            <v>C</v>
          </cell>
          <cell r="D2329" t="str">
            <v>CANARIAS</v>
          </cell>
          <cell r="E2329" t="str">
            <v>18</v>
          </cell>
          <cell r="F2329" t="str">
            <v>PAQ16a18</v>
          </cell>
          <cell r="G2329" t="str">
            <v>B</v>
          </cell>
          <cell r="H2329">
            <v>123.35</v>
          </cell>
        </row>
        <row r="2330">
          <cell r="A2330" t="str">
            <v>1;18;C;B;PAQ18a20</v>
          </cell>
          <cell r="B2330">
            <v>730069</v>
          </cell>
          <cell r="C2330" t="str">
            <v>C</v>
          </cell>
          <cell r="D2330" t="str">
            <v>CANARIAS</v>
          </cell>
          <cell r="E2330" t="str">
            <v>18</v>
          </cell>
          <cell r="F2330" t="str">
            <v>PAQ18a20</v>
          </cell>
          <cell r="G2330" t="str">
            <v>B</v>
          </cell>
          <cell r="H2330">
            <v>135.6</v>
          </cell>
        </row>
        <row r="2331">
          <cell r="A2331" t="str">
            <v>1;18;C;B;PAQ20a22</v>
          </cell>
          <cell r="B2331">
            <v>730069</v>
          </cell>
          <cell r="C2331" t="str">
            <v>C</v>
          </cell>
          <cell r="D2331" t="str">
            <v>CANARIAS</v>
          </cell>
          <cell r="E2331" t="str">
            <v>18</v>
          </cell>
          <cell r="F2331" t="str">
            <v>PAQ20a22</v>
          </cell>
          <cell r="G2331" t="str">
            <v>B</v>
          </cell>
          <cell r="H2331">
            <v>147.83000000000001</v>
          </cell>
        </row>
        <row r="2332">
          <cell r="A2332" t="str">
            <v>1;18;C;B;PAQ22a24</v>
          </cell>
          <cell r="B2332">
            <v>730069</v>
          </cell>
          <cell r="C2332" t="str">
            <v>C</v>
          </cell>
          <cell r="D2332" t="str">
            <v>CANARIAS</v>
          </cell>
          <cell r="E2332" t="str">
            <v>18</v>
          </cell>
          <cell r="F2332" t="str">
            <v>PAQ22a24</v>
          </cell>
          <cell r="G2332" t="str">
            <v>B</v>
          </cell>
          <cell r="H2332">
            <v>160.07</v>
          </cell>
        </row>
        <row r="2333">
          <cell r="A2333" t="str">
            <v>1;18;C;B;PAQ24a26</v>
          </cell>
          <cell r="B2333">
            <v>730069</v>
          </cell>
          <cell r="C2333" t="str">
            <v>C</v>
          </cell>
          <cell r="D2333" t="str">
            <v>CANARIAS</v>
          </cell>
          <cell r="E2333" t="str">
            <v>18</v>
          </cell>
          <cell r="F2333" t="str">
            <v>PAQ24a26</v>
          </cell>
          <cell r="G2333" t="str">
            <v>B</v>
          </cell>
          <cell r="H2333">
            <v>172.31</v>
          </cell>
        </row>
        <row r="2334">
          <cell r="A2334" t="str">
            <v>1;18;C;B;PAQ26a28</v>
          </cell>
          <cell r="B2334">
            <v>730069</v>
          </cell>
          <cell r="C2334" t="str">
            <v>C</v>
          </cell>
          <cell r="D2334" t="str">
            <v>CANARIAS</v>
          </cell>
          <cell r="E2334" t="str">
            <v>18</v>
          </cell>
          <cell r="F2334" t="str">
            <v>PAQ26a28</v>
          </cell>
          <cell r="G2334" t="str">
            <v>B</v>
          </cell>
          <cell r="H2334">
            <v>184.55</v>
          </cell>
        </row>
        <row r="2335">
          <cell r="A2335" t="str">
            <v>1;18;C;B;PAQ28a30</v>
          </cell>
          <cell r="B2335">
            <v>730069</v>
          </cell>
          <cell r="C2335" t="str">
            <v>C</v>
          </cell>
          <cell r="D2335" t="str">
            <v>CANARIAS</v>
          </cell>
          <cell r="E2335" t="str">
            <v>18</v>
          </cell>
          <cell r="F2335" t="str">
            <v>PAQ28a30</v>
          </cell>
          <cell r="G2335" t="str">
            <v>B</v>
          </cell>
          <cell r="H2335">
            <v>196.78</v>
          </cell>
        </row>
        <row r="2336">
          <cell r="A2336" t="str">
            <v>1;18;C;B;PAQ30a32</v>
          </cell>
          <cell r="B2336">
            <v>730069</v>
          </cell>
          <cell r="C2336" t="str">
            <v>C</v>
          </cell>
          <cell r="D2336" t="str">
            <v>CANARIAS</v>
          </cell>
          <cell r="E2336" t="str">
            <v>18</v>
          </cell>
          <cell r="F2336" t="str">
            <v>PAQ30a32</v>
          </cell>
          <cell r="G2336" t="str">
            <v>B</v>
          </cell>
          <cell r="H2336">
            <v>209.02</v>
          </cell>
        </row>
        <row r="2337">
          <cell r="A2337" t="str">
            <v>1;18;C;B;PAQ32a34</v>
          </cell>
          <cell r="B2337">
            <v>730069</v>
          </cell>
          <cell r="C2337" t="str">
            <v>C</v>
          </cell>
          <cell r="D2337" t="str">
            <v>CANARIAS</v>
          </cell>
          <cell r="E2337" t="str">
            <v>18</v>
          </cell>
          <cell r="F2337" t="str">
            <v>PAQ32a34</v>
          </cell>
          <cell r="G2337" t="str">
            <v>B</v>
          </cell>
          <cell r="H2337">
            <v>221.26</v>
          </cell>
        </row>
        <row r="2338">
          <cell r="A2338" t="str">
            <v>1;18;C;B;PAQ34a36</v>
          </cell>
          <cell r="B2338">
            <v>730069</v>
          </cell>
          <cell r="C2338" t="str">
            <v>C</v>
          </cell>
          <cell r="D2338" t="str">
            <v>CANARIAS</v>
          </cell>
          <cell r="E2338" t="str">
            <v>18</v>
          </cell>
          <cell r="F2338" t="str">
            <v>PAQ34a36</v>
          </cell>
          <cell r="G2338" t="str">
            <v>B</v>
          </cell>
          <cell r="H2338">
            <v>233.5</v>
          </cell>
        </row>
        <row r="2339">
          <cell r="A2339" t="str">
            <v>1;18;C;B;PAQ36a38</v>
          </cell>
          <cell r="B2339">
            <v>730069</v>
          </cell>
          <cell r="C2339" t="str">
            <v>C</v>
          </cell>
          <cell r="D2339" t="str">
            <v>CANARIAS</v>
          </cell>
          <cell r="E2339" t="str">
            <v>18</v>
          </cell>
          <cell r="F2339" t="str">
            <v>PAQ36a38</v>
          </cell>
          <cell r="G2339" t="str">
            <v>B</v>
          </cell>
          <cell r="H2339">
            <v>245.73</v>
          </cell>
        </row>
        <row r="2340">
          <cell r="A2340" t="str">
            <v>1;18;C;B;PAQ38a40</v>
          </cell>
          <cell r="B2340">
            <v>730069</v>
          </cell>
          <cell r="C2340" t="str">
            <v>C</v>
          </cell>
          <cell r="D2340" t="str">
            <v>CANARIAS</v>
          </cell>
          <cell r="E2340" t="str">
            <v>18</v>
          </cell>
          <cell r="F2340" t="str">
            <v>PAQ38a40</v>
          </cell>
          <cell r="G2340" t="str">
            <v>B</v>
          </cell>
          <cell r="H2340">
            <v>257.97000000000003</v>
          </cell>
        </row>
        <row r="2341">
          <cell r="A2341" t="str">
            <v>1;18;C;F;</v>
          </cell>
          <cell r="B2341">
            <v>730069</v>
          </cell>
          <cell r="C2341" t="str">
            <v>C</v>
          </cell>
          <cell r="D2341" t="str">
            <v>CANARIAS</v>
          </cell>
          <cell r="E2341" t="str">
            <v>18</v>
          </cell>
          <cell r="F2341" t="str">
            <v/>
          </cell>
          <cell r="G2341" t="str">
            <v>F</v>
          </cell>
          <cell r="H2341">
            <v>12.24</v>
          </cell>
        </row>
        <row r="2342">
          <cell r="A2342" t="str">
            <v>1;18;C;E;</v>
          </cell>
          <cell r="B2342">
            <v>730069</v>
          </cell>
          <cell r="C2342" t="str">
            <v>C</v>
          </cell>
          <cell r="D2342" t="str">
            <v>CANARIAS</v>
          </cell>
          <cell r="E2342" t="str">
            <v>18</v>
          </cell>
          <cell r="F2342" t="str">
            <v/>
          </cell>
          <cell r="G2342" t="str">
            <v>E</v>
          </cell>
          <cell r="H2342">
            <v>0</v>
          </cell>
        </row>
        <row r="2343">
          <cell r="A2343" t="str">
            <v>1;18;C;P;</v>
          </cell>
          <cell r="B2343">
            <v>730069</v>
          </cell>
          <cell r="C2343" t="str">
            <v>C</v>
          </cell>
          <cell r="D2343" t="str">
            <v>CANARIAS</v>
          </cell>
          <cell r="E2343" t="str">
            <v>18</v>
          </cell>
          <cell r="F2343" t="str">
            <v/>
          </cell>
          <cell r="G2343" t="str">
            <v>P</v>
          </cell>
          <cell r="H2343">
            <v>0</v>
          </cell>
        </row>
        <row r="2344">
          <cell r="A2344" t="str">
            <v>1;21;C;B;BAG</v>
          </cell>
          <cell r="B2344">
            <v>730069</v>
          </cell>
          <cell r="C2344" t="str">
            <v>C</v>
          </cell>
          <cell r="D2344" t="str">
            <v>CANARIAS</v>
          </cell>
          <cell r="E2344" t="str">
            <v>21</v>
          </cell>
          <cell r="F2344" t="str">
            <v>BAG</v>
          </cell>
          <cell r="G2344" t="str">
            <v>B</v>
          </cell>
          <cell r="H2344">
            <v>28.96</v>
          </cell>
        </row>
        <row r="2345">
          <cell r="A2345" t="str">
            <v>1;21;C;B;DOCS</v>
          </cell>
          <cell r="B2345">
            <v>730069</v>
          </cell>
          <cell r="C2345" t="str">
            <v>C</v>
          </cell>
          <cell r="D2345" t="str">
            <v>CANARIAS</v>
          </cell>
          <cell r="E2345" t="str">
            <v>21</v>
          </cell>
          <cell r="F2345" t="str">
            <v>DOCS</v>
          </cell>
          <cell r="G2345" t="str">
            <v>B</v>
          </cell>
          <cell r="H2345">
            <v>28.96</v>
          </cell>
        </row>
        <row r="2346">
          <cell r="A2346" t="str">
            <v>1;21;C;B;PAQ00a02</v>
          </cell>
          <cell r="B2346">
            <v>730069</v>
          </cell>
          <cell r="C2346" t="str">
            <v>C</v>
          </cell>
          <cell r="D2346" t="str">
            <v>CANARIAS</v>
          </cell>
          <cell r="E2346" t="str">
            <v>21</v>
          </cell>
          <cell r="F2346" t="str">
            <v>PAQ00a02</v>
          </cell>
          <cell r="G2346" t="str">
            <v>B</v>
          </cell>
          <cell r="H2346">
            <v>32.590000000000003</v>
          </cell>
        </row>
        <row r="2347">
          <cell r="A2347" t="str">
            <v>1;21;C;B;PAQ02a04</v>
          </cell>
          <cell r="B2347">
            <v>730069</v>
          </cell>
          <cell r="C2347" t="str">
            <v>C</v>
          </cell>
          <cell r="D2347" t="str">
            <v>CANARIAS</v>
          </cell>
          <cell r="E2347" t="str">
            <v>21</v>
          </cell>
          <cell r="F2347" t="str">
            <v>PAQ02a04</v>
          </cell>
          <cell r="G2347" t="str">
            <v>B</v>
          </cell>
          <cell r="H2347">
            <v>49.44</v>
          </cell>
        </row>
        <row r="2348">
          <cell r="A2348" t="str">
            <v>1;21;C;B;PAQ04a06</v>
          </cell>
          <cell r="B2348">
            <v>730069</v>
          </cell>
          <cell r="C2348" t="str">
            <v>C</v>
          </cell>
          <cell r="D2348" t="str">
            <v>CANARIAS</v>
          </cell>
          <cell r="E2348" t="str">
            <v>21</v>
          </cell>
          <cell r="F2348" t="str">
            <v>PAQ04a06</v>
          </cell>
          <cell r="G2348" t="str">
            <v>B</v>
          </cell>
          <cell r="H2348">
            <v>69.459999999999994</v>
          </cell>
        </row>
        <row r="2349">
          <cell r="A2349" t="str">
            <v>1;21;C;B;PAQ06a08</v>
          </cell>
          <cell r="B2349">
            <v>730069</v>
          </cell>
          <cell r="C2349" t="str">
            <v>C</v>
          </cell>
          <cell r="D2349" t="str">
            <v>CANARIAS</v>
          </cell>
          <cell r="E2349" t="str">
            <v>21</v>
          </cell>
          <cell r="F2349" t="str">
            <v>PAQ06a08</v>
          </cell>
          <cell r="G2349" t="str">
            <v>B</v>
          </cell>
          <cell r="H2349">
            <v>89.47</v>
          </cell>
        </row>
        <row r="2350">
          <cell r="A2350" t="str">
            <v>1;21;C;B;PAQ08a10</v>
          </cell>
          <cell r="B2350">
            <v>730069</v>
          </cell>
          <cell r="C2350" t="str">
            <v>C</v>
          </cell>
          <cell r="D2350" t="str">
            <v>CANARIAS</v>
          </cell>
          <cell r="E2350" t="str">
            <v>21</v>
          </cell>
          <cell r="F2350" t="str">
            <v>PAQ08a10</v>
          </cell>
          <cell r="G2350" t="str">
            <v>B</v>
          </cell>
          <cell r="H2350">
            <v>109.48</v>
          </cell>
        </row>
        <row r="2351">
          <cell r="A2351" t="str">
            <v>1;21;C;B;PAQ10a12</v>
          </cell>
          <cell r="B2351">
            <v>730069</v>
          </cell>
          <cell r="C2351" t="str">
            <v>C</v>
          </cell>
          <cell r="D2351" t="str">
            <v>CANARIAS</v>
          </cell>
          <cell r="E2351" t="str">
            <v>21</v>
          </cell>
          <cell r="F2351" t="str">
            <v>PAQ10a12</v>
          </cell>
          <cell r="G2351" t="str">
            <v>B</v>
          </cell>
          <cell r="H2351">
            <v>129.49</v>
          </cell>
        </row>
        <row r="2352">
          <cell r="A2352" t="str">
            <v>1;21;C;B;PAQ12a14</v>
          </cell>
          <cell r="B2352">
            <v>730069</v>
          </cell>
          <cell r="C2352" t="str">
            <v>C</v>
          </cell>
          <cell r="D2352" t="str">
            <v>CANARIAS</v>
          </cell>
          <cell r="E2352" t="str">
            <v>21</v>
          </cell>
          <cell r="F2352" t="str">
            <v>PAQ12a14</v>
          </cell>
          <cell r="G2352" t="str">
            <v>B</v>
          </cell>
          <cell r="H2352">
            <v>149.5</v>
          </cell>
        </row>
        <row r="2353">
          <cell r="A2353" t="str">
            <v>1;21;C;B;PAQ14a16</v>
          </cell>
          <cell r="B2353">
            <v>730069</v>
          </cell>
          <cell r="C2353" t="str">
            <v>C</v>
          </cell>
          <cell r="D2353" t="str">
            <v>CANARIAS</v>
          </cell>
          <cell r="E2353" t="str">
            <v>21</v>
          </cell>
          <cell r="F2353" t="str">
            <v>PAQ14a16</v>
          </cell>
          <cell r="G2353" t="str">
            <v>B</v>
          </cell>
          <cell r="H2353">
            <v>169.51</v>
          </cell>
        </row>
        <row r="2354">
          <cell r="A2354" t="str">
            <v>1;21;C;B;PAQ16a18</v>
          </cell>
          <cell r="B2354">
            <v>730069</v>
          </cell>
          <cell r="C2354" t="str">
            <v>C</v>
          </cell>
          <cell r="D2354" t="str">
            <v>CANARIAS</v>
          </cell>
          <cell r="E2354" t="str">
            <v>21</v>
          </cell>
          <cell r="F2354" t="str">
            <v>PAQ16a18</v>
          </cell>
          <cell r="G2354" t="str">
            <v>B</v>
          </cell>
          <cell r="H2354">
            <v>189.53</v>
          </cell>
        </row>
        <row r="2355">
          <cell r="A2355" t="str">
            <v>1;21;C;B;PAQ18a20</v>
          </cell>
          <cell r="B2355">
            <v>730069</v>
          </cell>
          <cell r="C2355" t="str">
            <v>C</v>
          </cell>
          <cell r="D2355" t="str">
            <v>CANARIAS</v>
          </cell>
          <cell r="E2355" t="str">
            <v>21</v>
          </cell>
          <cell r="F2355" t="str">
            <v>PAQ18a20</v>
          </cell>
          <cell r="G2355" t="str">
            <v>B</v>
          </cell>
          <cell r="H2355">
            <v>209.53</v>
          </cell>
        </row>
        <row r="2356">
          <cell r="A2356" t="str">
            <v>1;21;C;B;PAQ20a22</v>
          </cell>
          <cell r="B2356">
            <v>730069</v>
          </cell>
          <cell r="C2356" t="str">
            <v>C</v>
          </cell>
          <cell r="D2356" t="str">
            <v>CANARIAS</v>
          </cell>
          <cell r="E2356" t="str">
            <v>21</v>
          </cell>
          <cell r="F2356" t="str">
            <v>PAQ20a22</v>
          </cell>
          <cell r="G2356" t="str">
            <v>B</v>
          </cell>
          <cell r="H2356">
            <v>229.54</v>
          </cell>
        </row>
        <row r="2357">
          <cell r="A2357" t="str">
            <v>1;21;C;B;PAQ22a24</v>
          </cell>
          <cell r="B2357">
            <v>730069</v>
          </cell>
          <cell r="C2357" t="str">
            <v>C</v>
          </cell>
          <cell r="D2357" t="str">
            <v>CANARIAS</v>
          </cell>
          <cell r="E2357" t="str">
            <v>21</v>
          </cell>
          <cell r="F2357" t="str">
            <v>PAQ22a24</v>
          </cell>
          <cell r="G2357" t="str">
            <v>B</v>
          </cell>
          <cell r="H2357">
            <v>249.55</v>
          </cell>
        </row>
        <row r="2358">
          <cell r="A2358" t="str">
            <v>1;21;C;B;PAQ24a26</v>
          </cell>
          <cell r="B2358">
            <v>730069</v>
          </cell>
          <cell r="C2358" t="str">
            <v>C</v>
          </cell>
          <cell r="D2358" t="str">
            <v>CANARIAS</v>
          </cell>
          <cell r="E2358" t="str">
            <v>21</v>
          </cell>
          <cell r="F2358" t="str">
            <v>PAQ24a26</v>
          </cell>
          <cell r="G2358" t="str">
            <v>B</v>
          </cell>
          <cell r="H2358">
            <v>269.57</v>
          </cell>
        </row>
        <row r="2359">
          <cell r="A2359" t="str">
            <v>1;21;C;B;PAQ26a28</v>
          </cell>
          <cell r="B2359">
            <v>730069</v>
          </cell>
          <cell r="C2359" t="str">
            <v>C</v>
          </cell>
          <cell r="D2359" t="str">
            <v>CANARIAS</v>
          </cell>
          <cell r="E2359" t="str">
            <v>21</v>
          </cell>
          <cell r="F2359" t="str">
            <v>PAQ26a28</v>
          </cell>
          <cell r="G2359" t="str">
            <v>B</v>
          </cell>
          <cell r="H2359">
            <v>289.57</v>
          </cell>
        </row>
        <row r="2360">
          <cell r="A2360" t="str">
            <v>1;21;C;B;PAQ28a30</v>
          </cell>
          <cell r="B2360">
            <v>730069</v>
          </cell>
          <cell r="C2360" t="str">
            <v>C</v>
          </cell>
          <cell r="D2360" t="str">
            <v>CANARIAS</v>
          </cell>
          <cell r="E2360" t="str">
            <v>21</v>
          </cell>
          <cell r="F2360" t="str">
            <v>PAQ28a30</v>
          </cell>
          <cell r="G2360" t="str">
            <v>B</v>
          </cell>
          <cell r="H2360">
            <v>309.58</v>
          </cell>
        </row>
        <row r="2361">
          <cell r="A2361" t="str">
            <v>1;21;C;B;PAQ30a32</v>
          </cell>
          <cell r="B2361">
            <v>730069</v>
          </cell>
          <cell r="C2361" t="str">
            <v>C</v>
          </cell>
          <cell r="D2361" t="str">
            <v>CANARIAS</v>
          </cell>
          <cell r="E2361" t="str">
            <v>21</v>
          </cell>
          <cell r="F2361" t="str">
            <v>PAQ30a32</v>
          </cell>
          <cell r="G2361" t="str">
            <v>B</v>
          </cell>
          <cell r="H2361">
            <v>329.6</v>
          </cell>
        </row>
        <row r="2362">
          <cell r="A2362" t="str">
            <v>1;21;C;B;PAQ32a34</v>
          </cell>
          <cell r="B2362">
            <v>730069</v>
          </cell>
          <cell r="C2362" t="str">
            <v>C</v>
          </cell>
          <cell r="D2362" t="str">
            <v>CANARIAS</v>
          </cell>
          <cell r="E2362" t="str">
            <v>21</v>
          </cell>
          <cell r="F2362" t="str">
            <v>PAQ32a34</v>
          </cell>
          <cell r="G2362" t="str">
            <v>B</v>
          </cell>
          <cell r="H2362">
            <v>349.61</v>
          </cell>
        </row>
        <row r="2363">
          <cell r="A2363" t="str">
            <v>1;21;C;B;PAQ34a36</v>
          </cell>
          <cell r="B2363">
            <v>730069</v>
          </cell>
          <cell r="C2363" t="str">
            <v>C</v>
          </cell>
          <cell r="D2363" t="str">
            <v>CANARIAS</v>
          </cell>
          <cell r="E2363" t="str">
            <v>21</v>
          </cell>
          <cell r="F2363" t="str">
            <v>PAQ34a36</v>
          </cell>
          <cell r="G2363" t="str">
            <v>B</v>
          </cell>
          <cell r="H2363">
            <v>369.61</v>
          </cell>
        </row>
        <row r="2364">
          <cell r="A2364" t="str">
            <v>1;21;C;B;PAQ36a38</v>
          </cell>
          <cell r="B2364">
            <v>730069</v>
          </cell>
          <cell r="C2364" t="str">
            <v>C</v>
          </cell>
          <cell r="D2364" t="str">
            <v>CANARIAS</v>
          </cell>
          <cell r="E2364" t="str">
            <v>21</v>
          </cell>
          <cell r="F2364" t="str">
            <v>PAQ36a38</v>
          </cell>
          <cell r="G2364" t="str">
            <v>B</v>
          </cell>
          <cell r="H2364">
            <v>389.62</v>
          </cell>
        </row>
        <row r="2365">
          <cell r="A2365" t="str">
            <v>1;21;C;B;PAQ38a40</v>
          </cell>
          <cell r="B2365">
            <v>730069</v>
          </cell>
          <cell r="C2365" t="str">
            <v>C</v>
          </cell>
          <cell r="D2365" t="str">
            <v>CANARIAS</v>
          </cell>
          <cell r="E2365" t="str">
            <v>21</v>
          </cell>
          <cell r="F2365" t="str">
            <v>PAQ38a40</v>
          </cell>
          <cell r="G2365" t="str">
            <v>B</v>
          </cell>
          <cell r="H2365">
            <v>409.64</v>
          </cell>
        </row>
        <row r="2366">
          <cell r="A2366" t="str">
            <v>1;21;C;F;</v>
          </cell>
          <cell r="B2366">
            <v>730069</v>
          </cell>
          <cell r="C2366" t="str">
            <v>C</v>
          </cell>
          <cell r="D2366" t="str">
            <v>CANARIAS</v>
          </cell>
          <cell r="E2366" t="str">
            <v>21</v>
          </cell>
          <cell r="F2366" t="str">
            <v/>
          </cell>
          <cell r="G2366" t="str">
            <v>F</v>
          </cell>
          <cell r="H2366">
            <v>20.010000000000002</v>
          </cell>
        </row>
        <row r="2367">
          <cell r="A2367" t="str">
            <v>1;21;C;E;</v>
          </cell>
          <cell r="B2367">
            <v>730069</v>
          </cell>
          <cell r="C2367" t="str">
            <v>C</v>
          </cell>
          <cell r="D2367" t="str">
            <v>CANARIAS</v>
          </cell>
          <cell r="E2367" t="str">
            <v>21</v>
          </cell>
          <cell r="F2367" t="str">
            <v/>
          </cell>
          <cell r="G2367" t="str">
            <v>E</v>
          </cell>
          <cell r="H2367">
            <v>0</v>
          </cell>
        </row>
        <row r="2368">
          <cell r="A2368" t="str">
            <v>1;21;C;P;</v>
          </cell>
          <cell r="B2368">
            <v>730069</v>
          </cell>
          <cell r="C2368" t="str">
            <v>C</v>
          </cell>
          <cell r="D2368" t="str">
            <v>CANARIAS</v>
          </cell>
          <cell r="E2368" t="str">
            <v>21</v>
          </cell>
          <cell r="F2368" t="str">
            <v/>
          </cell>
          <cell r="G2368" t="str">
            <v>P</v>
          </cell>
          <cell r="H2368">
            <v>0</v>
          </cell>
        </row>
        <row r="2369">
          <cell r="A2369" t="str">
            <v>1;24;C;B;BAG</v>
          </cell>
          <cell r="B2369">
            <v>730069</v>
          </cell>
          <cell r="C2369" t="str">
            <v>C</v>
          </cell>
          <cell r="D2369" t="str">
            <v>CANARIAS</v>
          </cell>
          <cell r="E2369" t="str">
            <v>24</v>
          </cell>
          <cell r="F2369" t="str">
            <v>BAG</v>
          </cell>
          <cell r="G2369" t="str">
            <v>B</v>
          </cell>
          <cell r="H2369">
            <v>21.55</v>
          </cell>
        </row>
        <row r="2370">
          <cell r="A2370" t="str">
            <v>1;24;C;B;DOCS</v>
          </cell>
          <cell r="B2370">
            <v>730069</v>
          </cell>
          <cell r="C2370" t="str">
            <v>C</v>
          </cell>
          <cell r="D2370" t="str">
            <v>CANARIAS</v>
          </cell>
          <cell r="E2370" t="str">
            <v>24</v>
          </cell>
          <cell r="F2370" t="str">
            <v>DOCS</v>
          </cell>
          <cell r="G2370" t="str">
            <v>B</v>
          </cell>
          <cell r="H2370">
            <v>14.2</v>
          </cell>
        </row>
        <row r="2371">
          <cell r="A2371" t="str">
            <v>1;24;C;B;PAQ00a02</v>
          </cell>
          <cell r="B2371">
            <v>730069</v>
          </cell>
          <cell r="C2371" t="str">
            <v>C</v>
          </cell>
          <cell r="D2371" t="str">
            <v>CANARIAS</v>
          </cell>
          <cell r="E2371" t="str">
            <v>24</v>
          </cell>
          <cell r="F2371" t="str">
            <v>PAQ00a02</v>
          </cell>
          <cell r="G2371" t="str">
            <v>B</v>
          </cell>
          <cell r="H2371">
            <v>25.16</v>
          </cell>
        </row>
        <row r="2372">
          <cell r="A2372" t="str">
            <v>1;24;C;B;PAQ02a04</v>
          </cell>
          <cell r="B2372">
            <v>730069</v>
          </cell>
          <cell r="C2372" t="str">
            <v>C</v>
          </cell>
          <cell r="D2372" t="str">
            <v>CANARIAS</v>
          </cell>
          <cell r="E2372" t="str">
            <v>24</v>
          </cell>
          <cell r="F2372" t="str">
            <v>PAQ02a04</v>
          </cell>
          <cell r="G2372" t="str">
            <v>B</v>
          </cell>
          <cell r="H2372">
            <v>42.04</v>
          </cell>
        </row>
        <row r="2373">
          <cell r="A2373" t="str">
            <v>1;24;C;B;PAQ04a06</v>
          </cell>
          <cell r="B2373">
            <v>730069</v>
          </cell>
          <cell r="C2373" t="str">
            <v>C</v>
          </cell>
          <cell r="D2373" t="str">
            <v>CANARIAS</v>
          </cell>
          <cell r="E2373" t="str">
            <v>24</v>
          </cell>
          <cell r="F2373" t="str">
            <v>PAQ04a06</v>
          </cell>
          <cell r="G2373" t="str">
            <v>B</v>
          </cell>
          <cell r="H2373">
            <v>62.04</v>
          </cell>
        </row>
        <row r="2374">
          <cell r="A2374" t="str">
            <v>1;24;C;B;PAQ06a08</v>
          </cell>
          <cell r="B2374">
            <v>730069</v>
          </cell>
          <cell r="C2374" t="str">
            <v>C</v>
          </cell>
          <cell r="D2374" t="str">
            <v>CANARIAS</v>
          </cell>
          <cell r="E2374" t="str">
            <v>24</v>
          </cell>
          <cell r="F2374" t="str">
            <v>PAQ06a08</v>
          </cell>
          <cell r="G2374" t="str">
            <v>B</v>
          </cell>
          <cell r="H2374">
            <v>82.06</v>
          </cell>
        </row>
        <row r="2375">
          <cell r="A2375" t="str">
            <v>1;24;C;B;PAQ08a10</v>
          </cell>
          <cell r="B2375">
            <v>730069</v>
          </cell>
          <cell r="C2375" t="str">
            <v>C</v>
          </cell>
          <cell r="D2375" t="str">
            <v>CANARIAS</v>
          </cell>
          <cell r="E2375" t="str">
            <v>24</v>
          </cell>
          <cell r="F2375" t="str">
            <v>PAQ08a10</v>
          </cell>
          <cell r="G2375" t="str">
            <v>B</v>
          </cell>
          <cell r="H2375">
            <v>102.07</v>
          </cell>
        </row>
        <row r="2376">
          <cell r="A2376" t="str">
            <v>1;24;C;B;PAQ10a12</v>
          </cell>
          <cell r="B2376">
            <v>730069</v>
          </cell>
          <cell r="C2376" t="str">
            <v>C</v>
          </cell>
          <cell r="D2376" t="str">
            <v>CANARIAS</v>
          </cell>
          <cell r="E2376" t="str">
            <v>24</v>
          </cell>
          <cell r="F2376" t="str">
            <v>PAQ10a12</v>
          </cell>
          <cell r="G2376" t="str">
            <v>B</v>
          </cell>
          <cell r="H2376">
            <v>122.08</v>
          </cell>
        </row>
        <row r="2377">
          <cell r="A2377" t="str">
            <v>1;24;C;B;PAQ12a14</v>
          </cell>
          <cell r="B2377">
            <v>730069</v>
          </cell>
          <cell r="C2377" t="str">
            <v>C</v>
          </cell>
          <cell r="D2377" t="str">
            <v>CANARIAS</v>
          </cell>
          <cell r="E2377" t="str">
            <v>24</v>
          </cell>
          <cell r="F2377" t="str">
            <v>PAQ12a14</v>
          </cell>
          <cell r="G2377" t="str">
            <v>B</v>
          </cell>
          <cell r="H2377">
            <v>142.09</v>
          </cell>
        </row>
        <row r="2378">
          <cell r="A2378" t="str">
            <v>1;24;C;B;PAQ14a16</v>
          </cell>
          <cell r="B2378">
            <v>730069</v>
          </cell>
          <cell r="C2378" t="str">
            <v>C</v>
          </cell>
          <cell r="D2378" t="str">
            <v>CANARIAS</v>
          </cell>
          <cell r="E2378" t="str">
            <v>24</v>
          </cell>
          <cell r="F2378" t="str">
            <v>PAQ14a16</v>
          </cell>
          <cell r="G2378" t="str">
            <v>B</v>
          </cell>
          <cell r="H2378">
            <v>162.1</v>
          </cell>
        </row>
        <row r="2379">
          <cell r="A2379" t="str">
            <v>1;24;C;B;PAQ16a18</v>
          </cell>
          <cell r="B2379">
            <v>730069</v>
          </cell>
          <cell r="C2379" t="str">
            <v>C</v>
          </cell>
          <cell r="D2379" t="str">
            <v>CANARIAS</v>
          </cell>
          <cell r="E2379" t="str">
            <v>24</v>
          </cell>
          <cell r="F2379" t="str">
            <v>PAQ16a18</v>
          </cell>
          <cell r="G2379" t="str">
            <v>B</v>
          </cell>
          <cell r="H2379">
            <v>182.11</v>
          </cell>
        </row>
        <row r="2380">
          <cell r="A2380" t="str">
            <v>1;24;C;B;PAQ18a20</v>
          </cell>
          <cell r="B2380">
            <v>730069</v>
          </cell>
          <cell r="C2380" t="str">
            <v>C</v>
          </cell>
          <cell r="D2380" t="str">
            <v>CANARIAS</v>
          </cell>
          <cell r="E2380" t="str">
            <v>24</v>
          </cell>
          <cell r="F2380" t="str">
            <v>PAQ18a20</v>
          </cell>
          <cell r="G2380" t="str">
            <v>B</v>
          </cell>
          <cell r="H2380">
            <v>202.13</v>
          </cell>
        </row>
        <row r="2381">
          <cell r="A2381" t="str">
            <v>1;24;C;B;PAQ20a22</v>
          </cell>
          <cell r="B2381">
            <v>730069</v>
          </cell>
          <cell r="C2381" t="str">
            <v>C</v>
          </cell>
          <cell r="D2381" t="str">
            <v>CANARIAS</v>
          </cell>
          <cell r="E2381" t="str">
            <v>24</v>
          </cell>
          <cell r="F2381" t="str">
            <v>PAQ20a22</v>
          </cell>
          <cell r="G2381" t="str">
            <v>B</v>
          </cell>
          <cell r="H2381">
            <v>222.13</v>
          </cell>
        </row>
        <row r="2382">
          <cell r="A2382" t="str">
            <v>1;24;C;B;PAQ22a24</v>
          </cell>
          <cell r="B2382">
            <v>730069</v>
          </cell>
          <cell r="C2382" t="str">
            <v>C</v>
          </cell>
          <cell r="D2382" t="str">
            <v>CANARIAS</v>
          </cell>
          <cell r="E2382" t="str">
            <v>24</v>
          </cell>
          <cell r="F2382" t="str">
            <v>PAQ22a24</v>
          </cell>
          <cell r="G2382" t="str">
            <v>B</v>
          </cell>
          <cell r="H2382">
            <v>242.14</v>
          </cell>
        </row>
        <row r="2383">
          <cell r="A2383" t="str">
            <v>1;24;C;B;PAQ24a26</v>
          </cell>
          <cell r="B2383">
            <v>730069</v>
          </cell>
          <cell r="C2383" t="str">
            <v>C</v>
          </cell>
          <cell r="D2383" t="str">
            <v>CANARIAS</v>
          </cell>
          <cell r="E2383" t="str">
            <v>24</v>
          </cell>
          <cell r="F2383" t="str">
            <v>PAQ24a26</v>
          </cell>
          <cell r="G2383" t="str">
            <v>B</v>
          </cell>
          <cell r="H2383">
            <v>262.14999999999998</v>
          </cell>
        </row>
        <row r="2384">
          <cell r="A2384" t="str">
            <v>1;24;C;B;PAQ26a28</v>
          </cell>
          <cell r="B2384">
            <v>730069</v>
          </cell>
          <cell r="C2384" t="str">
            <v>C</v>
          </cell>
          <cell r="D2384" t="str">
            <v>CANARIAS</v>
          </cell>
          <cell r="E2384" t="str">
            <v>24</v>
          </cell>
          <cell r="F2384" t="str">
            <v>PAQ26a28</v>
          </cell>
          <cell r="G2384" t="str">
            <v>B</v>
          </cell>
          <cell r="H2384">
            <v>282.17</v>
          </cell>
        </row>
        <row r="2385">
          <cell r="A2385" t="str">
            <v>1;24;C;B;PAQ28a30</v>
          </cell>
          <cell r="B2385">
            <v>730069</v>
          </cell>
          <cell r="C2385" t="str">
            <v>C</v>
          </cell>
          <cell r="D2385" t="str">
            <v>CANARIAS</v>
          </cell>
          <cell r="E2385" t="str">
            <v>24</v>
          </cell>
          <cell r="F2385" t="str">
            <v>PAQ28a30</v>
          </cell>
          <cell r="G2385" t="str">
            <v>B</v>
          </cell>
          <cell r="H2385">
            <v>302.17</v>
          </cell>
        </row>
        <row r="2386">
          <cell r="A2386" t="str">
            <v>1;24;C;B;PAQ30a32</v>
          </cell>
          <cell r="B2386">
            <v>730069</v>
          </cell>
          <cell r="C2386" t="str">
            <v>C</v>
          </cell>
          <cell r="D2386" t="str">
            <v>CANARIAS</v>
          </cell>
          <cell r="E2386" t="str">
            <v>24</v>
          </cell>
          <cell r="F2386" t="str">
            <v>PAQ30a32</v>
          </cell>
          <cell r="G2386" t="str">
            <v>B</v>
          </cell>
          <cell r="H2386">
            <v>322.18</v>
          </cell>
        </row>
        <row r="2387">
          <cell r="A2387" t="str">
            <v>1;24;C;B;PAQ32a34</v>
          </cell>
          <cell r="B2387">
            <v>730069</v>
          </cell>
          <cell r="C2387" t="str">
            <v>C</v>
          </cell>
          <cell r="D2387" t="str">
            <v>CANARIAS</v>
          </cell>
          <cell r="E2387" t="str">
            <v>24</v>
          </cell>
          <cell r="F2387" t="str">
            <v>PAQ32a34</v>
          </cell>
          <cell r="G2387" t="str">
            <v>B</v>
          </cell>
          <cell r="H2387">
            <v>342.2</v>
          </cell>
        </row>
        <row r="2388">
          <cell r="A2388" t="str">
            <v>1;24;C;B;PAQ34a36</v>
          </cell>
          <cell r="B2388">
            <v>730069</v>
          </cell>
          <cell r="C2388" t="str">
            <v>C</v>
          </cell>
          <cell r="D2388" t="str">
            <v>CANARIAS</v>
          </cell>
          <cell r="E2388" t="str">
            <v>24</v>
          </cell>
          <cell r="F2388" t="str">
            <v>PAQ34a36</v>
          </cell>
          <cell r="G2388" t="str">
            <v>B</v>
          </cell>
          <cell r="H2388">
            <v>362.21</v>
          </cell>
        </row>
        <row r="2389">
          <cell r="A2389" t="str">
            <v>1;24;C;B;PAQ36a38</v>
          </cell>
          <cell r="B2389">
            <v>730069</v>
          </cell>
          <cell r="C2389" t="str">
            <v>C</v>
          </cell>
          <cell r="D2389" t="str">
            <v>CANARIAS</v>
          </cell>
          <cell r="E2389" t="str">
            <v>24</v>
          </cell>
          <cell r="F2389" t="str">
            <v>PAQ36a38</v>
          </cell>
          <cell r="G2389" t="str">
            <v>B</v>
          </cell>
          <cell r="H2389">
            <v>382.21</v>
          </cell>
        </row>
        <row r="2390">
          <cell r="A2390" t="str">
            <v>1;24;C;B;PAQ38a40</v>
          </cell>
          <cell r="B2390">
            <v>730069</v>
          </cell>
          <cell r="C2390" t="str">
            <v>C</v>
          </cell>
          <cell r="D2390" t="str">
            <v>CANARIAS</v>
          </cell>
          <cell r="E2390" t="str">
            <v>24</v>
          </cell>
          <cell r="F2390" t="str">
            <v>PAQ38a40</v>
          </cell>
          <cell r="G2390" t="str">
            <v>B</v>
          </cell>
          <cell r="H2390">
            <v>402.22</v>
          </cell>
        </row>
        <row r="2391">
          <cell r="A2391" t="str">
            <v>1;24;C;F;</v>
          </cell>
          <cell r="B2391">
            <v>730069</v>
          </cell>
          <cell r="C2391" t="str">
            <v>C</v>
          </cell>
          <cell r="D2391" t="str">
            <v>CANARIAS</v>
          </cell>
          <cell r="E2391" t="str">
            <v>24</v>
          </cell>
          <cell r="F2391" t="str">
            <v/>
          </cell>
          <cell r="G2391" t="str">
            <v>F</v>
          </cell>
          <cell r="H2391">
            <v>20.010000000000002</v>
          </cell>
        </row>
        <row r="2392">
          <cell r="A2392" t="str">
            <v>1;24;C;E;</v>
          </cell>
          <cell r="B2392">
            <v>730069</v>
          </cell>
          <cell r="C2392" t="str">
            <v>C</v>
          </cell>
          <cell r="D2392" t="str">
            <v>CANARIAS</v>
          </cell>
          <cell r="E2392" t="str">
            <v>24</v>
          </cell>
          <cell r="F2392" t="str">
            <v/>
          </cell>
          <cell r="G2392" t="str">
            <v>E</v>
          </cell>
          <cell r="H2392">
            <v>0</v>
          </cell>
        </row>
        <row r="2393">
          <cell r="A2393" t="str">
            <v>1;24;C;P;</v>
          </cell>
          <cell r="B2393">
            <v>730069</v>
          </cell>
          <cell r="C2393" t="str">
            <v>C</v>
          </cell>
          <cell r="D2393" t="str">
            <v>CANARIAS</v>
          </cell>
          <cell r="E2393" t="str">
            <v>24</v>
          </cell>
          <cell r="F2393" t="str">
            <v/>
          </cell>
          <cell r="G2393" t="str">
            <v>P</v>
          </cell>
          <cell r="H2393">
            <v>0</v>
          </cell>
        </row>
        <row r="2394">
          <cell r="A2394" t="str">
            <v>1;27;C;B;PAQ00a02</v>
          </cell>
          <cell r="B2394">
            <v>730069</v>
          </cell>
          <cell r="C2394" t="str">
            <v>C</v>
          </cell>
          <cell r="D2394" t="str">
            <v>CANARIAS</v>
          </cell>
          <cell r="E2394" t="str">
            <v>27</v>
          </cell>
          <cell r="F2394" t="str">
            <v>PAQ00a02</v>
          </cell>
          <cell r="G2394" t="str">
            <v>B</v>
          </cell>
          <cell r="H2394">
            <v>23.05</v>
          </cell>
        </row>
        <row r="2395">
          <cell r="A2395" t="str">
            <v>1;27;C;B;PAQ02a04</v>
          </cell>
          <cell r="B2395">
            <v>730069</v>
          </cell>
          <cell r="C2395" t="str">
            <v>C</v>
          </cell>
          <cell r="D2395" t="str">
            <v>CANARIAS</v>
          </cell>
          <cell r="E2395" t="str">
            <v>27</v>
          </cell>
          <cell r="F2395" t="str">
            <v>PAQ02a04</v>
          </cell>
          <cell r="G2395" t="str">
            <v>B</v>
          </cell>
          <cell r="H2395">
            <v>37.700000000000003</v>
          </cell>
        </row>
        <row r="2396">
          <cell r="A2396" t="str">
            <v>1;27;C;B;PAQ04a06</v>
          </cell>
          <cell r="B2396">
            <v>730069</v>
          </cell>
          <cell r="C2396" t="str">
            <v>C</v>
          </cell>
          <cell r="D2396" t="str">
            <v>CANARIAS</v>
          </cell>
          <cell r="E2396" t="str">
            <v>27</v>
          </cell>
          <cell r="F2396" t="str">
            <v>PAQ04a06</v>
          </cell>
          <cell r="G2396" t="str">
            <v>B</v>
          </cell>
          <cell r="H2396">
            <v>49.93</v>
          </cell>
        </row>
        <row r="2397">
          <cell r="A2397" t="str">
            <v>1;27;C;B;PAQ06a08</v>
          </cell>
          <cell r="B2397">
            <v>730069</v>
          </cell>
          <cell r="C2397" t="str">
            <v>C</v>
          </cell>
          <cell r="D2397" t="str">
            <v>CANARIAS</v>
          </cell>
          <cell r="E2397" t="str">
            <v>27</v>
          </cell>
          <cell r="F2397" t="str">
            <v>PAQ06a08</v>
          </cell>
          <cell r="G2397" t="str">
            <v>B</v>
          </cell>
          <cell r="H2397">
            <v>62.17</v>
          </cell>
        </row>
        <row r="2398">
          <cell r="A2398" t="str">
            <v>1;27;C;B;PAQ08a10</v>
          </cell>
          <cell r="B2398">
            <v>730069</v>
          </cell>
          <cell r="C2398" t="str">
            <v>C</v>
          </cell>
          <cell r="D2398" t="str">
            <v>CANARIAS</v>
          </cell>
          <cell r="E2398" t="str">
            <v>27</v>
          </cell>
          <cell r="F2398" t="str">
            <v>PAQ08a10</v>
          </cell>
          <cell r="G2398" t="str">
            <v>B</v>
          </cell>
          <cell r="H2398">
            <v>74.400000000000006</v>
          </cell>
        </row>
        <row r="2399">
          <cell r="A2399" t="str">
            <v>1;27;C;B;PAQ10a12</v>
          </cell>
          <cell r="B2399">
            <v>730069</v>
          </cell>
          <cell r="C2399" t="str">
            <v>C</v>
          </cell>
          <cell r="D2399" t="str">
            <v>CANARIAS</v>
          </cell>
          <cell r="E2399" t="str">
            <v>27</v>
          </cell>
          <cell r="F2399" t="str">
            <v>PAQ10a12</v>
          </cell>
          <cell r="G2399" t="str">
            <v>B</v>
          </cell>
          <cell r="H2399">
            <v>86.65</v>
          </cell>
        </row>
        <row r="2400">
          <cell r="A2400" t="str">
            <v>1;27;C;B;PAQ12a14</v>
          </cell>
          <cell r="B2400">
            <v>730069</v>
          </cell>
          <cell r="C2400" t="str">
            <v>C</v>
          </cell>
          <cell r="D2400" t="str">
            <v>CANARIAS</v>
          </cell>
          <cell r="E2400" t="str">
            <v>27</v>
          </cell>
          <cell r="F2400" t="str">
            <v>PAQ12a14</v>
          </cell>
          <cell r="G2400" t="str">
            <v>B</v>
          </cell>
          <cell r="H2400">
            <v>98.88</v>
          </cell>
        </row>
        <row r="2401">
          <cell r="A2401" t="str">
            <v>1;27;C;B;PAQ14a16</v>
          </cell>
          <cell r="B2401">
            <v>730069</v>
          </cell>
          <cell r="C2401" t="str">
            <v>C</v>
          </cell>
          <cell r="D2401" t="str">
            <v>CANARIAS</v>
          </cell>
          <cell r="E2401" t="str">
            <v>27</v>
          </cell>
          <cell r="F2401" t="str">
            <v>PAQ14a16</v>
          </cell>
          <cell r="G2401" t="str">
            <v>B</v>
          </cell>
          <cell r="H2401">
            <v>111.12</v>
          </cell>
        </row>
        <row r="2402">
          <cell r="A2402" t="str">
            <v>1;27;C;B;PAQ16a18</v>
          </cell>
          <cell r="B2402">
            <v>730069</v>
          </cell>
          <cell r="C2402" t="str">
            <v>C</v>
          </cell>
          <cell r="D2402" t="str">
            <v>CANARIAS</v>
          </cell>
          <cell r="E2402" t="str">
            <v>27</v>
          </cell>
          <cell r="F2402" t="str">
            <v>PAQ16a18</v>
          </cell>
          <cell r="G2402" t="str">
            <v>B</v>
          </cell>
          <cell r="H2402">
            <v>123.35</v>
          </cell>
        </row>
        <row r="2403">
          <cell r="A2403" t="str">
            <v>1;27;C;B;PAQ18a20</v>
          </cell>
          <cell r="B2403">
            <v>730069</v>
          </cell>
          <cell r="C2403" t="str">
            <v>C</v>
          </cell>
          <cell r="D2403" t="str">
            <v>CANARIAS</v>
          </cell>
          <cell r="E2403" t="str">
            <v>27</v>
          </cell>
          <cell r="F2403" t="str">
            <v>PAQ18a20</v>
          </cell>
          <cell r="G2403" t="str">
            <v>B</v>
          </cell>
          <cell r="H2403">
            <v>135.6</v>
          </cell>
        </row>
        <row r="2404">
          <cell r="A2404" t="str">
            <v>1;27;C;B;PAQ20a22</v>
          </cell>
          <cell r="B2404">
            <v>730069</v>
          </cell>
          <cell r="C2404" t="str">
            <v>C</v>
          </cell>
          <cell r="D2404" t="str">
            <v>CANARIAS</v>
          </cell>
          <cell r="E2404" t="str">
            <v>27</v>
          </cell>
          <cell r="F2404" t="str">
            <v>PAQ20a22</v>
          </cell>
          <cell r="G2404" t="str">
            <v>B</v>
          </cell>
          <cell r="H2404">
            <v>147.83000000000001</v>
          </cell>
        </row>
        <row r="2405">
          <cell r="A2405" t="str">
            <v>1;27;C;B;PAQ22a24</v>
          </cell>
          <cell r="B2405">
            <v>730069</v>
          </cell>
          <cell r="C2405" t="str">
            <v>C</v>
          </cell>
          <cell r="D2405" t="str">
            <v>CANARIAS</v>
          </cell>
          <cell r="E2405" t="str">
            <v>27</v>
          </cell>
          <cell r="F2405" t="str">
            <v>PAQ22a24</v>
          </cell>
          <cell r="G2405" t="str">
            <v>B</v>
          </cell>
          <cell r="H2405">
            <v>160.07</v>
          </cell>
        </row>
        <row r="2406">
          <cell r="A2406" t="str">
            <v>1;27;C;B;PAQ24a26</v>
          </cell>
          <cell r="B2406">
            <v>730069</v>
          </cell>
          <cell r="C2406" t="str">
            <v>C</v>
          </cell>
          <cell r="D2406" t="str">
            <v>CANARIAS</v>
          </cell>
          <cell r="E2406" t="str">
            <v>27</v>
          </cell>
          <cell r="F2406" t="str">
            <v>PAQ24a26</v>
          </cell>
          <cell r="G2406" t="str">
            <v>B</v>
          </cell>
          <cell r="H2406">
            <v>172.31</v>
          </cell>
        </row>
        <row r="2407">
          <cell r="A2407" t="str">
            <v>1;27;C;B;PAQ26a28</v>
          </cell>
          <cell r="B2407">
            <v>730069</v>
          </cell>
          <cell r="C2407" t="str">
            <v>C</v>
          </cell>
          <cell r="D2407" t="str">
            <v>CANARIAS</v>
          </cell>
          <cell r="E2407" t="str">
            <v>27</v>
          </cell>
          <cell r="F2407" t="str">
            <v>PAQ26a28</v>
          </cell>
          <cell r="G2407" t="str">
            <v>B</v>
          </cell>
          <cell r="H2407">
            <v>184.55</v>
          </cell>
        </row>
        <row r="2408">
          <cell r="A2408" t="str">
            <v>1;27;C;B;PAQ28a30</v>
          </cell>
          <cell r="B2408">
            <v>730069</v>
          </cell>
          <cell r="C2408" t="str">
            <v>C</v>
          </cell>
          <cell r="D2408" t="str">
            <v>CANARIAS</v>
          </cell>
          <cell r="E2408" t="str">
            <v>27</v>
          </cell>
          <cell r="F2408" t="str">
            <v>PAQ28a30</v>
          </cell>
          <cell r="G2408" t="str">
            <v>B</v>
          </cell>
          <cell r="H2408">
            <v>196.78</v>
          </cell>
        </row>
        <row r="2409">
          <cell r="A2409" t="str">
            <v>1;27;C;B;PAQ30a32</v>
          </cell>
          <cell r="B2409">
            <v>730069</v>
          </cell>
          <cell r="C2409" t="str">
            <v>C</v>
          </cell>
          <cell r="D2409" t="str">
            <v>CANARIAS</v>
          </cell>
          <cell r="E2409" t="str">
            <v>27</v>
          </cell>
          <cell r="F2409" t="str">
            <v>PAQ30a32</v>
          </cell>
          <cell r="G2409" t="str">
            <v>B</v>
          </cell>
          <cell r="H2409">
            <v>209.02</v>
          </cell>
        </row>
        <row r="2410">
          <cell r="A2410" t="str">
            <v>1;27;C;B;PAQ32a34</v>
          </cell>
          <cell r="B2410">
            <v>730069</v>
          </cell>
          <cell r="C2410" t="str">
            <v>C</v>
          </cell>
          <cell r="D2410" t="str">
            <v>CANARIAS</v>
          </cell>
          <cell r="E2410" t="str">
            <v>27</v>
          </cell>
          <cell r="F2410" t="str">
            <v>PAQ32a34</v>
          </cell>
          <cell r="G2410" t="str">
            <v>B</v>
          </cell>
          <cell r="H2410">
            <v>221.26</v>
          </cell>
        </row>
        <row r="2411">
          <cell r="A2411" t="str">
            <v>1;27;C;B;PAQ34a36</v>
          </cell>
          <cell r="B2411">
            <v>730069</v>
          </cell>
          <cell r="C2411" t="str">
            <v>C</v>
          </cell>
          <cell r="D2411" t="str">
            <v>CANARIAS</v>
          </cell>
          <cell r="E2411" t="str">
            <v>27</v>
          </cell>
          <cell r="F2411" t="str">
            <v>PAQ34a36</v>
          </cell>
          <cell r="G2411" t="str">
            <v>B</v>
          </cell>
          <cell r="H2411">
            <v>233.5</v>
          </cell>
        </row>
        <row r="2412">
          <cell r="A2412" t="str">
            <v>1;27;C;B;PAQ36a38</v>
          </cell>
          <cell r="B2412">
            <v>730069</v>
          </cell>
          <cell r="C2412" t="str">
            <v>C</v>
          </cell>
          <cell r="D2412" t="str">
            <v>CANARIAS</v>
          </cell>
          <cell r="E2412" t="str">
            <v>27</v>
          </cell>
          <cell r="F2412" t="str">
            <v>PAQ36a38</v>
          </cell>
          <cell r="G2412" t="str">
            <v>B</v>
          </cell>
          <cell r="H2412">
            <v>245.73</v>
          </cell>
        </row>
        <row r="2413">
          <cell r="A2413" t="str">
            <v>1;27;C;B;PAQ38a40</v>
          </cell>
          <cell r="B2413">
            <v>730069</v>
          </cell>
          <cell r="C2413" t="str">
            <v>C</v>
          </cell>
          <cell r="D2413" t="str">
            <v>CANARIAS</v>
          </cell>
          <cell r="E2413" t="str">
            <v>27</v>
          </cell>
          <cell r="F2413" t="str">
            <v>PAQ38a40</v>
          </cell>
          <cell r="G2413" t="str">
            <v>B</v>
          </cell>
          <cell r="H2413">
            <v>257.97000000000003</v>
          </cell>
        </row>
        <row r="2414">
          <cell r="A2414" t="str">
            <v>1;27;C;F;</v>
          </cell>
          <cell r="B2414">
            <v>730069</v>
          </cell>
          <cell r="C2414" t="str">
            <v>C</v>
          </cell>
          <cell r="D2414" t="str">
            <v>CANARIAS</v>
          </cell>
          <cell r="E2414" t="str">
            <v>27</v>
          </cell>
          <cell r="F2414" t="str">
            <v/>
          </cell>
          <cell r="G2414" t="str">
            <v>F</v>
          </cell>
          <cell r="H2414">
            <v>12.24</v>
          </cell>
        </row>
        <row r="2415">
          <cell r="A2415" t="str">
            <v>1;27;C;E;</v>
          </cell>
          <cell r="B2415">
            <v>730069</v>
          </cell>
          <cell r="C2415" t="str">
            <v>C</v>
          </cell>
          <cell r="D2415" t="str">
            <v>CANARIAS</v>
          </cell>
          <cell r="E2415" t="str">
            <v>27</v>
          </cell>
          <cell r="F2415" t="str">
            <v/>
          </cell>
          <cell r="G2415" t="str">
            <v>E</v>
          </cell>
          <cell r="H2415">
            <v>0</v>
          </cell>
        </row>
        <row r="2416">
          <cell r="A2416" t="str">
            <v>1;27;C;P;</v>
          </cell>
          <cell r="B2416">
            <v>730069</v>
          </cell>
          <cell r="C2416" t="str">
            <v>C</v>
          </cell>
          <cell r="D2416" t="str">
            <v>CANARIAS</v>
          </cell>
          <cell r="E2416" t="str">
            <v>27</v>
          </cell>
          <cell r="F2416" t="str">
            <v/>
          </cell>
          <cell r="G2416" t="str">
            <v>P</v>
          </cell>
          <cell r="H2416">
            <v>0</v>
          </cell>
        </row>
        <row r="2417">
          <cell r="A2417" t="str">
            <v>1;33;C;B;PAQ00a02</v>
          </cell>
          <cell r="B2417">
            <v>730069</v>
          </cell>
          <cell r="C2417" t="str">
            <v>C</v>
          </cell>
          <cell r="D2417" t="str">
            <v>CANARIAS</v>
          </cell>
          <cell r="E2417" t="str">
            <v>33</v>
          </cell>
          <cell r="F2417" t="str">
            <v>PAQ00a02</v>
          </cell>
          <cell r="G2417" t="str">
            <v>B</v>
          </cell>
          <cell r="H2417">
            <v>34.549999999999997</v>
          </cell>
        </row>
        <row r="2418">
          <cell r="A2418" t="str">
            <v>1;33;C;B;PAQ02a04</v>
          </cell>
          <cell r="B2418">
            <v>730069</v>
          </cell>
          <cell r="C2418" t="str">
            <v>C</v>
          </cell>
          <cell r="D2418" t="str">
            <v>CANARIAS</v>
          </cell>
          <cell r="E2418" t="str">
            <v>33</v>
          </cell>
          <cell r="F2418" t="str">
            <v>PAQ02a04</v>
          </cell>
          <cell r="G2418" t="str">
            <v>B</v>
          </cell>
          <cell r="H2418">
            <v>52.91</v>
          </cell>
        </row>
        <row r="2419">
          <cell r="A2419" t="str">
            <v>1;33;C;B;PAQ04a06</v>
          </cell>
          <cell r="B2419">
            <v>730069</v>
          </cell>
          <cell r="C2419" t="str">
            <v>C</v>
          </cell>
          <cell r="D2419" t="str">
            <v>CANARIAS</v>
          </cell>
          <cell r="E2419" t="str">
            <v>33</v>
          </cell>
          <cell r="F2419" t="str">
            <v>PAQ04a06</v>
          </cell>
          <cell r="G2419" t="str">
            <v>B</v>
          </cell>
          <cell r="H2419">
            <v>71.260000000000005</v>
          </cell>
        </row>
        <row r="2420">
          <cell r="A2420" t="str">
            <v>1;33;C;B;PAQ06a08</v>
          </cell>
          <cell r="B2420">
            <v>730069</v>
          </cell>
          <cell r="C2420" t="str">
            <v>C</v>
          </cell>
          <cell r="D2420" t="str">
            <v>CANARIAS</v>
          </cell>
          <cell r="E2420" t="str">
            <v>33</v>
          </cell>
          <cell r="F2420" t="str">
            <v>PAQ06a08</v>
          </cell>
          <cell r="G2420" t="str">
            <v>B</v>
          </cell>
          <cell r="H2420">
            <v>89.62</v>
          </cell>
        </row>
        <row r="2421">
          <cell r="A2421" t="str">
            <v>1;33;C;B;PAQ08a10</v>
          </cell>
          <cell r="B2421">
            <v>730069</v>
          </cell>
          <cell r="C2421" t="str">
            <v>C</v>
          </cell>
          <cell r="D2421" t="str">
            <v>CANARIAS</v>
          </cell>
          <cell r="E2421" t="str">
            <v>33</v>
          </cell>
          <cell r="F2421" t="str">
            <v>PAQ08a10</v>
          </cell>
          <cell r="G2421" t="str">
            <v>B</v>
          </cell>
          <cell r="H2421">
            <v>107.98</v>
          </cell>
        </row>
        <row r="2422">
          <cell r="A2422" t="str">
            <v>1;33;C;B;PAQ10a12</v>
          </cell>
          <cell r="B2422">
            <v>730069</v>
          </cell>
          <cell r="C2422" t="str">
            <v>C</v>
          </cell>
          <cell r="D2422" t="str">
            <v>CANARIAS</v>
          </cell>
          <cell r="E2422" t="str">
            <v>33</v>
          </cell>
          <cell r="F2422" t="str">
            <v>PAQ10a12</v>
          </cell>
          <cell r="G2422" t="str">
            <v>B</v>
          </cell>
          <cell r="H2422">
            <v>126.34</v>
          </cell>
        </row>
        <row r="2423">
          <cell r="A2423" t="str">
            <v>1;33;C;B;PAQ12a14</v>
          </cell>
          <cell r="B2423">
            <v>730069</v>
          </cell>
          <cell r="C2423" t="str">
            <v>C</v>
          </cell>
          <cell r="D2423" t="str">
            <v>CANARIAS</v>
          </cell>
          <cell r="E2423" t="str">
            <v>33</v>
          </cell>
          <cell r="F2423" t="str">
            <v>PAQ12a14</v>
          </cell>
          <cell r="G2423" t="str">
            <v>B</v>
          </cell>
          <cell r="H2423">
            <v>144.69</v>
          </cell>
        </row>
        <row r="2424">
          <cell r="A2424" t="str">
            <v>1;33;C;B;PAQ14a16</v>
          </cell>
          <cell r="B2424">
            <v>730069</v>
          </cell>
          <cell r="C2424" t="str">
            <v>C</v>
          </cell>
          <cell r="D2424" t="str">
            <v>CANARIAS</v>
          </cell>
          <cell r="E2424" t="str">
            <v>33</v>
          </cell>
          <cell r="F2424" t="str">
            <v>PAQ14a16</v>
          </cell>
          <cell r="G2424" t="str">
            <v>B</v>
          </cell>
          <cell r="H2424">
            <v>163.04</v>
          </cell>
        </row>
        <row r="2425">
          <cell r="A2425" t="str">
            <v>1;33;C;B;PAQ16a18</v>
          </cell>
          <cell r="B2425">
            <v>730069</v>
          </cell>
          <cell r="C2425" t="str">
            <v>C</v>
          </cell>
          <cell r="D2425" t="str">
            <v>CANARIAS</v>
          </cell>
          <cell r="E2425" t="str">
            <v>33</v>
          </cell>
          <cell r="F2425" t="str">
            <v>PAQ16a18</v>
          </cell>
          <cell r="G2425" t="str">
            <v>B</v>
          </cell>
          <cell r="H2425">
            <v>181.41</v>
          </cell>
        </row>
        <row r="2426">
          <cell r="A2426" t="str">
            <v>1;33;C;B;PAQ18a20</v>
          </cell>
          <cell r="B2426">
            <v>730069</v>
          </cell>
          <cell r="C2426" t="str">
            <v>C</v>
          </cell>
          <cell r="D2426" t="str">
            <v>CANARIAS</v>
          </cell>
          <cell r="E2426" t="str">
            <v>33</v>
          </cell>
          <cell r="F2426" t="str">
            <v>PAQ18a20</v>
          </cell>
          <cell r="G2426" t="str">
            <v>B</v>
          </cell>
          <cell r="H2426">
            <v>199.76</v>
          </cell>
        </row>
        <row r="2427">
          <cell r="A2427" t="str">
            <v>1;33;C;B;PAQ20a22</v>
          </cell>
          <cell r="B2427">
            <v>730069</v>
          </cell>
          <cell r="C2427" t="str">
            <v>C</v>
          </cell>
          <cell r="D2427" t="str">
            <v>CANARIAS</v>
          </cell>
          <cell r="E2427" t="str">
            <v>33</v>
          </cell>
          <cell r="F2427" t="str">
            <v>PAQ20a22</v>
          </cell>
          <cell r="G2427" t="str">
            <v>B</v>
          </cell>
          <cell r="H2427">
            <v>218.12</v>
          </cell>
        </row>
        <row r="2428">
          <cell r="A2428" t="str">
            <v>1;33;C;B;PAQ22a24</v>
          </cell>
          <cell r="B2428">
            <v>730069</v>
          </cell>
          <cell r="C2428" t="str">
            <v>C</v>
          </cell>
          <cell r="D2428" t="str">
            <v>CANARIAS</v>
          </cell>
          <cell r="E2428" t="str">
            <v>33</v>
          </cell>
          <cell r="F2428" t="str">
            <v>PAQ22a24</v>
          </cell>
          <cell r="G2428" t="str">
            <v>B</v>
          </cell>
          <cell r="H2428">
            <v>236.47</v>
          </cell>
        </row>
        <row r="2429">
          <cell r="A2429" t="str">
            <v>1;33;C;B;PAQ24a26</v>
          </cell>
          <cell r="B2429">
            <v>730069</v>
          </cell>
          <cell r="C2429" t="str">
            <v>C</v>
          </cell>
          <cell r="D2429" t="str">
            <v>CANARIAS</v>
          </cell>
          <cell r="E2429" t="str">
            <v>33</v>
          </cell>
          <cell r="F2429" t="str">
            <v>PAQ24a26</v>
          </cell>
          <cell r="G2429" t="str">
            <v>B</v>
          </cell>
          <cell r="H2429">
            <v>254.84</v>
          </cell>
        </row>
        <row r="2430">
          <cell r="A2430" t="str">
            <v>1;33;C;B;PAQ26a28</v>
          </cell>
          <cell r="B2430">
            <v>730069</v>
          </cell>
          <cell r="C2430" t="str">
            <v>C</v>
          </cell>
          <cell r="D2430" t="str">
            <v>CANARIAS</v>
          </cell>
          <cell r="E2430" t="str">
            <v>33</v>
          </cell>
          <cell r="F2430" t="str">
            <v>PAQ26a28</v>
          </cell>
          <cell r="G2430" t="str">
            <v>B</v>
          </cell>
          <cell r="H2430">
            <v>273.19</v>
          </cell>
        </row>
        <row r="2431">
          <cell r="A2431" t="str">
            <v>1;33;C;B;PAQ28a30</v>
          </cell>
          <cell r="B2431">
            <v>730069</v>
          </cell>
          <cell r="C2431" t="str">
            <v>C</v>
          </cell>
          <cell r="D2431" t="str">
            <v>CANARIAS</v>
          </cell>
          <cell r="E2431" t="str">
            <v>33</v>
          </cell>
          <cell r="F2431" t="str">
            <v>PAQ28a30</v>
          </cell>
          <cell r="G2431" t="str">
            <v>B</v>
          </cell>
          <cell r="H2431">
            <v>291.54000000000002</v>
          </cell>
        </row>
        <row r="2432">
          <cell r="A2432" t="str">
            <v>1;33;C;B;PAQ30a32</v>
          </cell>
          <cell r="B2432">
            <v>730069</v>
          </cell>
          <cell r="C2432" t="str">
            <v>C</v>
          </cell>
          <cell r="D2432" t="str">
            <v>CANARIAS</v>
          </cell>
          <cell r="E2432" t="str">
            <v>33</v>
          </cell>
          <cell r="F2432" t="str">
            <v>PAQ30a32</v>
          </cell>
          <cell r="G2432" t="str">
            <v>B</v>
          </cell>
          <cell r="H2432">
            <v>309.89999999999998</v>
          </cell>
        </row>
        <row r="2433">
          <cell r="A2433" t="str">
            <v>1;33;C;B;PAQ32a34</v>
          </cell>
          <cell r="B2433">
            <v>730069</v>
          </cell>
          <cell r="C2433" t="str">
            <v>C</v>
          </cell>
          <cell r="D2433" t="str">
            <v>CANARIAS</v>
          </cell>
          <cell r="E2433" t="str">
            <v>33</v>
          </cell>
          <cell r="F2433" t="str">
            <v>PAQ32a34</v>
          </cell>
          <cell r="G2433" t="str">
            <v>B</v>
          </cell>
          <cell r="H2433">
            <v>328.26</v>
          </cell>
        </row>
        <row r="2434">
          <cell r="A2434" t="str">
            <v>1;33;C;B;PAQ34a36</v>
          </cell>
          <cell r="B2434">
            <v>730069</v>
          </cell>
          <cell r="C2434" t="str">
            <v>C</v>
          </cell>
          <cell r="D2434" t="str">
            <v>CANARIAS</v>
          </cell>
          <cell r="E2434" t="str">
            <v>33</v>
          </cell>
          <cell r="F2434" t="str">
            <v>PAQ34a36</v>
          </cell>
          <cell r="G2434" t="str">
            <v>B</v>
          </cell>
          <cell r="H2434">
            <v>346.62</v>
          </cell>
        </row>
        <row r="2435">
          <cell r="A2435" t="str">
            <v>1;33;C;B;PAQ36a38</v>
          </cell>
          <cell r="B2435">
            <v>730069</v>
          </cell>
          <cell r="C2435" t="str">
            <v>C</v>
          </cell>
          <cell r="D2435" t="str">
            <v>CANARIAS</v>
          </cell>
          <cell r="E2435" t="str">
            <v>33</v>
          </cell>
          <cell r="F2435" t="str">
            <v>PAQ36a38</v>
          </cell>
          <cell r="G2435" t="str">
            <v>B</v>
          </cell>
          <cell r="H2435">
            <v>364.97</v>
          </cell>
        </row>
        <row r="2436">
          <cell r="A2436" t="str">
            <v>1;33;C;F;</v>
          </cell>
          <cell r="B2436">
            <v>730069</v>
          </cell>
          <cell r="C2436" t="str">
            <v>C</v>
          </cell>
          <cell r="D2436" t="str">
            <v>CANARIAS</v>
          </cell>
          <cell r="E2436" t="str">
            <v>33</v>
          </cell>
          <cell r="F2436" t="str">
            <v/>
          </cell>
          <cell r="G2436" t="str">
            <v>F</v>
          </cell>
          <cell r="H2436">
            <v>18.350000000000001</v>
          </cell>
        </row>
        <row r="2437">
          <cell r="A2437" t="str">
            <v>1;33;C;B;PAQ38a40</v>
          </cell>
          <cell r="B2437">
            <v>730069</v>
          </cell>
          <cell r="C2437" t="str">
            <v>C</v>
          </cell>
          <cell r="D2437" t="str">
            <v>CANARIAS</v>
          </cell>
          <cell r="E2437" t="str">
            <v>33</v>
          </cell>
          <cell r="F2437" t="str">
            <v>PAQ38a40</v>
          </cell>
          <cell r="G2437" t="str">
            <v>B</v>
          </cell>
          <cell r="H2437">
            <v>383.32</v>
          </cell>
        </row>
        <row r="2438">
          <cell r="A2438" t="str">
            <v>1;33;C;E;</v>
          </cell>
          <cell r="B2438">
            <v>730069</v>
          </cell>
          <cell r="C2438" t="str">
            <v>C</v>
          </cell>
          <cell r="D2438" t="str">
            <v>CANARIAS</v>
          </cell>
          <cell r="E2438" t="str">
            <v>33</v>
          </cell>
          <cell r="F2438" t="str">
            <v/>
          </cell>
          <cell r="G2438" t="str">
            <v>E</v>
          </cell>
          <cell r="H2438">
            <v>0</v>
          </cell>
        </row>
        <row r="2439">
          <cell r="A2439" t="str">
            <v>1;33;C;P;</v>
          </cell>
          <cell r="B2439">
            <v>730069</v>
          </cell>
          <cell r="C2439" t="str">
            <v>C</v>
          </cell>
          <cell r="D2439" t="str">
            <v>CANARIAS</v>
          </cell>
          <cell r="E2439" t="str">
            <v>33</v>
          </cell>
          <cell r="F2439" t="str">
            <v/>
          </cell>
          <cell r="G2439" t="str">
            <v>P</v>
          </cell>
          <cell r="H2439">
            <v>0</v>
          </cell>
        </row>
        <row r="2440">
          <cell r="A2440" t="str">
            <v>1;48;C;B;BAG</v>
          </cell>
          <cell r="B2440">
            <v>730069</v>
          </cell>
          <cell r="C2440" t="str">
            <v>C</v>
          </cell>
          <cell r="D2440" t="str">
            <v>CANARIAS</v>
          </cell>
          <cell r="E2440" t="str">
            <v>48</v>
          </cell>
          <cell r="F2440" t="str">
            <v>BAG</v>
          </cell>
          <cell r="G2440" t="str">
            <v>B</v>
          </cell>
          <cell r="H2440">
            <v>19.54</v>
          </cell>
        </row>
        <row r="2441">
          <cell r="A2441" t="str">
            <v>1;48;C;B;DOCS</v>
          </cell>
          <cell r="B2441">
            <v>730069</v>
          </cell>
          <cell r="C2441" t="str">
            <v>C</v>
          </cell>
          <cell r="D2441" t="str">
            <v>CANARIAS</v>
          </cell>
          <cell r="E2441" t="str">
            <v>48</v>
          </cell>
          <cell r="F2441" t="str">
            <v>DOCS</v>
          </cell>
          <cell r="G2441" t="str">
            <v>B</v>
          </cell>
          <cell r="H2441">
            <v>10.19</v>
          </cell>
        </row>
        <row r="2442">
          <cell r="A2442" t="str">
            <v>1;48;C;B;PAQ00a02</v>
          </cell>
          <cell r="B2442">
            <v>730069</v>
          </cell>
          <cell r="C2442" t="str">
            <v>C</v>
          </cell>
          <cell r="D2442" t="str">
            <v>CANARIAS</v>
          </cell>
          <cell r="E2442" t="str">
            <v>48</v>
          </cell>
          <cell r="F2442" t="str">
            <v>PAQ00a02</v>
          </cell>
          <cell r="G2442" t="str">
            <v>B</v>
          </cell>
          <cell r="H2442">
            <v>23.05</v>
          </cell>
        </row>
        <row r="2443">
          <cell r="A2443" t="str">
            <v>1;48;C;B;PAQ02a04</v>
          </cell>
          <cell r="B2443">
            <v>730069</v>
          </cell>
          <cell r="C2443" t="str">
            <v>C</v>
          </cell>
          <cell r="D2443" t="str">
            <v>CANARIAS</v>
          </cell>
          <cell r="E2443" t="str">
            <v>48</v>
          </cell>
          <cell r="F2443" t="str">
            <v>PAQ02a04</v>
          </cell>
          <cell r="G2443" t="str">
            <v>B</v>
          </cell>
          <cell r="H2443">
            <v>37.700000000000003</v>
          </cell>
        </row>
        <row r="2444">
          <cell r="A2444" t="str">
            <v>1;48;C;B;PAQ04a06</v>
          </cell>
          <cell r="B2444">
            <v>730069</v>
          </cell>
          <cell r="C2444" t="str">
            <v>C</v>
          </cell>
          <cell r="D2444" t="str">
            <v>CANARIAS</v>
          </cell>
          <cell r="E2444" t="str">
            <v>48</v>
          </cell>
          <cell r="F2444" t="str">
            <v>PAQ04a06</v>
          </cell>
          <cell r="G2444" t="str">
            <v>B</v>
          </cell>
          <cell r="H2444">
            <v>49.93</v>
          </cell>
        </row>
        <row r="2445">
          <cell r="A2445" t="str">
            <v>1;48;C;B;PAQ06a08</v>
          </cell>
          <cell r="B2445">
            <v>730069</v>
          </cell>
          <cell r="C2445" t="str">
            <v>C</v>
          </cell>
          <cell r="D2445" t="str">
            <v>CANARIAS</v>
          </cell>
          <cell r="E2445" t="str">
            <v>48</v>
          </cell>
          <cell r="F2445" t="str">
            <v>PAQ06a08</v>
          </cell>
          <cell r="G2445" t="str">
            <v>B</v>
          </cell>
          <cell r="H2445">
            <v>62.17</v>
          </cell>
        </row>
        <row r="2446">
          <cell r="A2446" t="str">
            <v>1;48;C;B;PAQ08a10</v>
          </cell>
          <cell r="B2446">
            <v>730069</v>
          </cell>
          <cell r="C2446" t="str">
            <v>C</v>
          </cell>
          <cell r="D2446" t="str">
            <v>CANARIAS</v>
          </cell>
          <cell r="E2446" t="str">
            <v>48</v>
          </cell>
          <cell r="F2446" t="str">
            <v>PAQ08a10</v>
          </cell>
          <cell r="G2446" t="str">
            <v>B</v>
          </cell>
          <cell r="H2446">
            <v>74.400000000000006</v>
          </cell>
        </row>
        <row r="2447">
          <cell r="A2447" t="str">
            <v>1;48;C;B;PAQ10a12</v>
          </cell>
          <cell r="B2447">
            <v>730069</v>
          </cell>
          <cell r="C2447" t="str">
            <v>C</v>
          </cell>
          <cell r="D2447" t="str">
            <v>CANARIAS</v>
          </cell>
          <cell r="E2447" t="str">
            <v>48</v>
          </cell>
          <cell r="F2447" t="str">
            <v>PAQ10a12</v>
          </cell>
          <cell r="G2447" t="str">
            <v>B</v>
          </cell>
          <cell r="H2447">
            <v>86.65</v>
          </cell>
        </row>
        <row r="2448">
          <cell r="A2448" t="str">
            <v>1;48;C;B;PAQ12a14</v>
          </cell>
          <cell r="B2448">
            <v>730069</v>
          </cell>
          <cell r="C2448" t="str">
            <v>C</v>
          </cell>
          <cell r="D2448" t="str">
            <v>CANARIAS</v>
          </cell>
          <cell r="E2448" t="str">
            <v>48</v>
          </cell>
          <cell r="F2448" t="str">
            <v>PAQ12a14</v>
          </cell>
          <cell r="G2448" t="str">
            <v>B</v>
          </cell>
          <cell r="H2448">
            <v>98.88</v>
          </cell>
        </row>
        <row r="2449">
          <cell r="A2449" t="str">
            <v>1;48;C;B;PAQ14a16</v>
          </cell>
          <cell r="B2449">
            <v>730069</v>
          </cell>
          <cell r="C2449" t="str">
            <v>C</v>
          </cell>
          <cell r="D2449" t="str">
            <v>CANARIAS</v>
          </cell>
          <cell r="E2449" t="str">
            <v>48</v>
          </cell>
          <cell r="F2449" t="str">
            <v>PAQ14a16</v>
          </cell>
          <cell r="G2449" t="str">
            <v>B</v>
          </cell>
          <cell r="H2449">
            <v>111.12</v>
          </cell>
        </row>
        <row r="2450">
          <cell r="A2450" t="str">
            <v>1;48;C;B;PAQ16a18</v>
          </cell>
          <cell r="B2450">
            <v>730069</v>
          </cell>
          <cell r="C2450" t="str">
            <v>C</v>
          </cell>
          <cell r="D2450" t="str">
            <v>CANARIAS</v>
          </cell>
          <cell r="E2450" t="str">
            <v>48</v>
          </cell>
          <cell r="F2450" t="str">
            <v>PAQ16a18</v>
          </cell>
          <cell r="G2450" t="str">
            <v>B</v>
          </cell>
          <cell r="H2450">
            <v>123.35</v>
          </cell>
        </row>
        <row r="2451">
          <cell r="A2451" t="str">
            <v>1;48;C;B;PAQ18a20</v>
          </cell>
          <cell r="B2451">
            <v>730069</v>
          </cell>
          <cell r="C2451" t="str">
            <v>C</v>
          </cell>
          <cell r="D2451" t="str">
            <v>CANARIAS</v>
          </cell>
          <cell r="E2451" t="str">
            <v>48</v>
          </cell>
          <cell r="F2451" t="str">
            <v>PAQ18a20</v>
          </cell>
          <cell r="G2451" t="str">
            <v>B</v>
          </cell>
          <cell r="H2451">
            <v>135.6</v>
          </cell>
        </row>
        <row r="2452">
          <cell r="A2452" t="str">
            <v>1;48;C;B;PAQ20a22</v>
          </cell>
          <cell r="B2452">
            <v>730069</v>
          </cell>
          <cell r="C2452" t="str">
            <v>C</v>
          </cell>
          <cell r="D2452" t="str">
            <v>CANARIAS</v>
          </cell>
          <cell r="E2452" t="str">
            <v>48</v>
          </cell>
          <cell r="F2452" t="str">
            <v>PAQ20a22</v>
          </cell>
          <cell r="G2452" t="str">
            <v>B</v>
          </cell>
          <cell r="H2452">
            <v>147.83000000000001</v>
          </cell>
        </row>
        <row r="2453">
          <cell r="A2453" t="str">
            <v>1;48;C;B;PAQ22a24</v>
          </cell>
          <cell r="B2453">
            <v>730069</v>
          </cell>
          <cell r="C2453" t="str">
            <v>C</v>
          </cell>
          <cell r="D2453" t="str">
            <v>CANARIAS</v>
          </cell>
          <cell r="E2453" t="str">
            <v>48</v>
          </cell>
          <cell r="F2453" t="str">
            <v>PAQ22a24</v>
          </cell>
          <cell r="G2453" t="str">
            <v>B</v>
          </cell>
          <cell r="H2453">
            <v>160.07</v>
          </cell>
        </row>
        <row r="2454">
          <cell r="A2454" t="str">
            <v>1;48;C;B;PAQ24a26</v>
          </cell>
          <cell r="B2454">
            <v>730069</v>
          </cell>
          <cell r="C2454" t="str">
            <v>C</v>
          </cell>
          <cell r="D2454" t="str">
            <v>CANARIAS</v>
          </cell>
          <cell r="E2454" t="str">
            <v>48</v>
          </cell>
          <cell r="F2454" t="str">
            <v>PAQ24a26</v>
          </cell>
          <cell r="G2454" t="str">
            <v>B</v>
          </cell>
          <cell r="H2454">
            <v>172.31</v>
          </cell>
        </row>
        <row r="2455">
          <cell r="A2455" t="str">
            <v>1;48;C;B;PAQ26a28</v>
          </cell>
          <cell r="B2455">
            <v>730069</v>
          </cell>
          <cell r="C2455" t="str">
            <v>C</v>
          </cell>
          <cell r="D2455" t="str">
            <v>CANARIAS</v>
          </cell>
          <cell r="E2455" t="str">
            <v>48</v>
          </cell>
          <cell r="F2455" t="str">
            <v>PAQ26a28</v>
          </cell>
          <cell r="G2455" t="str">
            <v>B</v>
          </cell>
          <cell r="H2455">
            <v>184.55</v>
          </cell>
        </row>
        <row r="2456">
          <cell r="A2456" t="str">
            <v>1;48;C;B;PAQ28a30</v>
          </cell>
          <cell r="B2456">
            <v>730069</v>
          </cell>
          <cell r="C2456" t="str">
            <v>C</v>
          </cell>
          <cell r="D2456" t="str">
            <v>CANARIAS</v>
          </cell>
          <cell r="E2456" t="str">
            <v>48</v>
          </cell>
          <cell r="F2456" t="str">
            <v>PAQ28a30</v>
          </cell>
          <cell r="G2456" t="str">
            <v>B</v>
          </cell>
          <cell r="H2456">
            <v>196.78</v>
          </cell>
        </row>
        <row r="2457">
          <cell r="A2457" t="str">
            <v>1;48;C;B;PAQ30a32</v>
          </cell>
          <cell r="B2457">
            <v>730069</v>
          </cell>
          <cell r="C2457" t="str">
            <v>C</v>
          </cell>
          <cell r="D2457" t="str">
            <v>CANARIAS</v>
          </cell>
          <cell r="E2457" t="str">
            <v>48</v>
          </cell>
          <cell r="F2457" t="str">
            <v>PAQ30a32</v>
          </cell>
          <cell r="G2457" t="str">
            <v>B</v>
          </cell>
          <cell r="H2457">
            <v>209.02</v>
          </cell>
        </row>
        <row r="2458">
          <cell r="A2458" t="str">
            <v>1;48;C;B;PAQ32a34</v>
          </cell>
          <cell r="B2458">
            <v>730069</v>
          </cell>
          <cell r="C2458" t="str">
            <v>C</v>
          </cell>
          <cell r="D2458" t="str">
            <v>CANARIAS</v>
          </cell>
          <cell r="E2458" t="str">
            <v>48</v>
          </cell>
          <cell r="F2458" t="str">
            <v>PAQ32a34</v>
          </cell>
          <cell r="G2458" t="str">
            <v>B</v>
          </cell>
          <cell r="H2458">
            <v>221.26</v>
          </cell>
        </row>
        <row r="2459">
          <cell r="A2459" t="str">
            <v>1;48;C;B;PAQ34a36</v>
          </cell>
          <cell r="B2459">
            <v>730069</v>
          </cell>
          <cell r="C2459" t="str">
            <v>C</v>
          </cell>
          <cell r="D2459" t="str">
            <v>CANARIAS</v>
          </cell>
          <cell r="E2459" t="str">
            <v>48</v>
          </cell>
          <cell r="F2459" t="str">
            <v>PAQ34a36</v>
          </cell>
          <cell r="G2459" t="str">
            <v>B</v>
          </cell>
          <cell r="H2459">
            <v>233.5</v>
          </cell>
        </row>
        <row r="2460">
          <cell r="A2460" t="str">
            <v>1;48;C;B;PAQ36a38</v>
          </cell>
          <cell r="B2460">
            <v>730069</v>
          </cell>
          <cell r="C2460" t="str">
            <v>C</v>
          </cell>
          <cell r="D2460" t="str">
            <v>CANARIAS</v>
          </cell>
          <cell r="E2460" t="str">
            <v>48</v>
          </cell>
          <cell r="F2460" t="str">
            <v>PAQ36a38</v>
          </cell>
          <cell r="G2460" t="str">
            <v>B</v>
          </cell>
          <cell r="H2460">
            <v>245.73</v>
          </cell>
        </row>
        <row r="2461">
          <cell r="A2461" t="str">
            <v>1;48;C;B;PAQ38a40</v>
          </cell>
          <cell r="B2461">
            <v>730069</v>
          </cell>
          <cell r="C2461" t="str">
            <v>C</v>
          </cell>
          <cell r="D2461" t="str">
            <v>CANARIAS</v>
          </cell>
          <cell r="E2461" t="str">
            <v>48</v>
          </cell>
          <cell r="F2461" t="str">
            <v>PAQ38a40</v>
          </cell>
          <cell r="G2461" t="str">
            <v>B</v>
          </cell>
          <cell r="H2461">
            <v>257.97000000000003</v>
          </cell>
        </row>
        <row r="2462">
          <cell r="A2462" t="str">
            <v>1;48;C;F;</v>
          </cell>
          <cell r="B2462">
            <v>730069</v>
          </cell>
          <cell r="C2462" t="str">
            <v>C</v>
          </cell>
          <cell r="D2462" t="str">
            <v>CANARIAS</v>
          </cell>
          <cell r="E2462" t="str">
            <v>48</v>
          </cell>
          <cell r="F2462" t="str">
            <v/>
          </cell>
          <cell r="G2462" t="str">
            <v>F</v>
          </cell>
          <cell r="H2462">
            <v>12.24</v>
          </cell>
        </row>
        <row r="2463">
          <cell r="A2463" t="str">
            <v>1;48;C;E;</v>
          </cell>
          <cell r="B2463">
            <v>730069</v>
          </cell>
          <cell r="C2463" t="str">
            <v>C</v>
          </cell>
          <cell r="D2463" t="str">
            <v>CANARIAS</v>
          </cell>
          <cell r="E2463" t="str">
            <v>48</v>
          </cell>
          <cell r="F2463" t="str">
            <v/>
          </cell>
          <cell r="G2463" t="str">
            <v>E</v>
          </cell>
          <cell r="H2463">
            <v>0</v>
          </cell>
        </row>
        <row r="2464">
          <cell r="A2464" t="str">
            <v>1;48;C;P;</v>
          </cell>
          <cell r="B2464">
            <v>730069</v>
          </cell>
          <cell r="C2464" t="str">
            <v>C</v>
          </cell>
          <cell r="D2464" t="str">
            <v>CANARIAS</v>
          </cell>
          <cell r="E2464" t="str">
            <v>48</v>
          </cell>
          <cell r="F2464" t="str">
            <v/>
          </cell>
          <cell r="G2464" t="str">
            <v>P</v>
          </cell>
          <cell r="H2464">
            <v>0</v>
          </cell>
        </row>
        <row r="2465">
          <cell r="A2465" t="str">
            <v>1;64;C;B;BAG</v>
          </cell>
          <cell r="B2465">
            <v>730069</v>
          </cell>
          <cell r="C2465" t="str">
            <v>C</v>
          </cell>
          <cell r="D2465" t="str">
            <v>CANARIAS</v>
          </cell>
          <cell r="E2465" t="str">
            <v>64</v>
          </cell>
          <cell r="F2465" t="str">
            <v>BAG</v>
          </cell>
          <cell r="G2465" t="str">
            <v>B</v>
          </cell>
          <cell r="H2465">
            <v>23.05</v>
          </cell>
        </row>
        <row r="2466">
          <cell r="A2466" t="str">
            <v>1;64;C;B;PAQ00a02</v>
          </cell>
          <cell r="B2466">
            <v>730069</v>
          </cell>
          <cell r="C2466" t="str">
            <v>C</v>
          </cell>
          <cell r="D2466" t="str">
            <v>CANARIAS</v>
          </cell>
          <cell r="E2466" t="str">
            <v>64</v>
          </cell>
          <cell r="F2466" t="str">
            <v>PAQ00a02</v>
          </cell>
          <cell r="G2466" t="str">
            <v>B</v>
          </cell>
          <cell r="H2466">
            <v>26.65</v>
          </cell>
        </row>
        <row r="2467">
          <cell r="A2467" t="str">
            <v>1;64;C;B;PAQ02a04</v>
          </cell>
          <cell r="B2467">
            <v>730069</v>
          </cell>
          <cell r="C2467" t="str">
            <v>C</v>
          </cell>
          <cell r="D2467" t="str">
            <v>CANARIAS</v>
          </cell>
          <cell r="E2467" t="str">
            <v>64</v>
          </cell>
          <cell r="F2467" t="str">
            <v>PAQ02a04</v>
          </cell>
          <cell r="G2467" t="str">
            <v>B</v>
          </cell>
          <cell r="H2467">
            <v>43.5</v>
          </cell>
        </row>
        <row r="2468">
          <cell r="A2468" t="str">
            <v>1;64;C;B;PAQ04a06</v>
          </cell>
          <cell r="B2468">
            <v>730069</v>
          </cell>
          <cell r="C2468" t="str">
            <v>C</v>
          </cell>
          <cell r="D2468" t="str">
            <v>CANARIAS</v>
          </cell>
          <cell r="E2468" t="str">
            <v>64</v>
          </cell>
          <cell r="F2468" t="str">
            <v>PAQ04a06</v>
          </cell>
          <cell r="G2468" t="str">
            <v>B</v>
          </cell>
          <cell r="H2468">
            <v>63.51</v>
          </cell>
        </row>
        <row r="2469">
          <cell r="A2469" t="str">
            <v>1;64;C;B;PAQ06a08</v>
          </cell>
          <cell r="B2469">
            <v>730069</v>
          </cell>
          <cell r="C2469" t="str">
            <v>C</v>
          </cell>
          <cell r="D2469" t="str">
            <v>CANARIAS</v>
          </cell>
          <cell r="E2469" t="str">
            <v>64</v>
          </cell>
          <cell r="F2469" t="str">
            <v>PAQ06a08</v>
          </cell>
          <cell r="G2469" t="str">
            <v>B</v>
          </cell>
          <cell r="H2469">
            <v>83.53</v>
          </cell>
        </row>
        <row r="2470">
          <cell r="A2470" t="str">
            <v>1;64;C;B;PAQ08a10</v>
          </cell>
          <cell r="B2470">
            <v>730069</v>
          </cell>
          <cell r="C2470" t="str">
            <v>C</v>
          </cell>
          <cell r="D2470" t="str">
            <v>CANARIAS</v>
          </cell>
          <cell r="E2470" t="str">
            <v>64</v>
          </cell>
          <cell r="F2470" t="str">
            <v>PAQ08a10</v>
          </cell>
          <cell r="G2470" t="str">
            <v>B</v>
          </cell>
          <cell r="H2470">
            <v>103.54</v>
          </cell>
        </row>
        <row r="2471">
          <cell r="A2471" t="str">
            <v>1;64;C;B;PAQ10a12</v>
          </cell>
          <cell r="B2471">
            <v>730069</v>
          </cell>
          <cell r="C2471" t="str">
            <v>C</v>
          </cell>
          <cell r="D2471" t="str">
            <v>CANARIAS</v>
          </cell>
          <cell r="E2471" t="str">
            <v>64</v>
          </cell>
          <cell r="F2471" t="str">
            <v>PAQ10a12</v>
          </cell>
          <cell r="G2471" t="str">
            <v>B</v>
          </cell>
          <cell r="H2471">
            <v>123.54</v>
          </cell>
        </row>
        <row r="2472">
          <cell r="A2472" t="str">
            <v>1;64;C;B;PAQ12a14</v>
          </cell>
          <cell r="B2472">
            <v>730069</v>
          </cell>
          <cell r="C2472" t="str">
            <v>C</v>
          </cell>
          <cell r="D2472" t="str">
            <v>CANARIAS</v>
          </cell>
          <cell r="E2472" t="str">
            <v>64</v>
          </cell>
          <cell r="F2472" t="str">
            <v>PAQ12a14</v>
          </cell>
          <cell r="G2472" t="str">
            <v>B</v>
          </cell>
          <cell r="H2472">
            <v>143.56</v>
          </cell>
        </row>
        <row r="2473">
          <cell r="A2473" t="str">
            <v>1;64;C;B;PAQ14a16</v>
          </cell>
          <cell r="B2473">
            <v>730069</v>
          </cell>
          <cell r="C2473" t="str">
            <v>C</v>
          </cell>
          <cell r="D2473" t="str">
            <v>CANARIAS</v>
          </cell>
          <cell r="E2473" t="str">
            <v>64</v>
          </cell>
          <cell r="F2473" t="str">
            <v>PAQ14a16</v>
          </cell>
          <cell r="G2473" t="str">
            <v>B</v>
          </cell>
          <cell r="H2473">
            <v>163.57</v>
          </cell>
        </row>
        <row r="2474">
          <cell r="A2474" t="str">
            <v>1;64;C;B;PAQ16a18</v>
          </cell>
          <cell r="B2474">
            <v>730069</v>
          </cell>
          <cell r="C2474" t="str">
            <v>C</v>
          </cell>
          <cell r="D2474" t="str">
            <v>CANARIAS</v>
          </cell>
          <cell r="E2474" t="str">
            <v>64</v>
          </cell>
          <cell r="F2474" t="str">
            <v>PAQ16a18</v>
          </cell>
          <cell r="G2474" t="str">
            <v>B</v>
          </cell>
          <cell r="H2474">
            <v>183.58</v>
          </cell>
        </row>
        <row r="2475">
          <cell r="A2475" t="str">
            <v>1;64;C;B;PAQ18a20</v>
          </cell>
          <cell r="B2475">
            <v>730069</v>
          </cell>
          <cell r="C2475" t="str">
            <v>C</v>
          </cell>
          <cell r="D2475" t="str">
            <v>CANARIAS</v>
          </cell>
          <cell r="E2475" t="str">
            <v>64</v>
          </cell>
          <cell r="F2475" t="str">
            <v>PAQ18a20</v>
          </cell>
          <cell r="G2475" t="str">
            <v>B</v>
          </cell>
          <cell r="H2475">
            <v>203.58</v>
          </cell>
        </row>
        <row r="2476">
          <cell r="A2476" t="str">
            <v>1;64;C;B;PAQ20a22</v>
          </cell>
          <cell r="B2476">
            <v>730069</v>
          </cell>
          <cell r="C2476" t="str">
            <v>C</v>
          </cell>
          <cell r="D2476" t="str">
            <v>CANARIAS</v>
          </cell>
          <cell r="E2476" t="str">
            <v>64</v>
          </cell>
          <cell r="F2476" t="str">
            <v>PAQ20a22</v>
          </cell>
          <cell r="G2476" t="str">
            <v>B</v>
          </cell>
          <cell r="H2476">
            <v>223.6</v>
          </cell>
        </row>
        <row r="2477">
          <cell r="A2477" t="str">
            <v>1;64;C;B;PAQ22a24</v>
          </cell>
          <cell r="B2477">
            <v>730069</v>
          </cell>
          <cell r="C2477" t="str">
            <v>C</v>
          </cell>
          <cell r="D2477" t="str">
            <v>CANARIAS</v>
          </cell>
          <cell r="E2477" t="str">
            <v>64</v>
          </cell>
          <cell r="F2477" t="str">
            <v>PAQ22a24</v>
          </cell>
          <cell r="G2477" t="str">
            <v>B</v>
          </cell>
          <cell r="H2477">
            <v>243.61</v>
          </cell>
        </row>
        <row r="2478">
          <cell r="A2478" t="str">
            <v>1;64;C;B;PAQ24a26</v>
          </cell>
          <cell r="B2478">
            <v>730069</v>
          </cell>
          <cell r="C2478" t="str">
            <v>C</v>
          </cell>
          <cell r="D2478" t="str">
            <v>CANARIAS</v>
          </cell>
          <cell r="E2478" t="str">
            <v>64</v>
          </cell>
          <cell r="F2478" t="str">
            <v>PAQ24a26</v>
          </cell>
          <cell r="G2478" t="str">
            <v>B</v>
          </cell>
          <cell r="H2478">
            <v>263.62</v>
          </cell>
        </row>
        <row r="2479">
          <cell r="A2479" t="str">
            <v>1;64;C;B;PAQ26a28</v>
          </cell>
          <cell r="B2479">
            <v>730069</v>
          </cell>
          <cell r="C2479" t="str">
            <v>C</v>
          </cell>
          <cell r="D2479" t="str">
            <v>CANARIAS</v>
          </cell>
          <cell r="E2479" t="str">
            <v>64</v>
          </cell>
          <cell r="F2479" t="str">
            <v>PAQ26a28</v>
          </cell>
          <cell r="G2479" t="str">
            <v>B</v>
          </cell>
          <cell r="H2479">
            <v>283.63</v>
          </cell>
        </row>
        <row r="2480">
          <cell r="A2480" t="str">
            <v>1;64;C;B;PAQ28a30</v>
          </cell>
          <cell r="B2480">
            <v>730069</v>
          </cell>
          <cell r="C2480" t="str">
            <v>C</v>
          </cell>
          <cell r="D2480" t="str">
            <v>CANARIAS</v>
          </cell>
          <cell r="E2480" t="str">
            <v>64</v>
          </cell>
          <cell r="F2480" t="str">
            <v>PAQ28a30</v>
          </cell>
          <cell r="G2480" t="str">
            <v>B</v>
          </cell>
          <cell r="H2480">
            <v>303.64</v>
          </cell>
        </row>
        <row r="2481">
          <cell r="A2481" t="str">
            <v>1;64;C;B;PAQ30a32</v>
          </cell>
          <cell r="B2481">
            <v>730069</v>
          </cell>
          <cell r="C2481" t="str">
            <v>C</v>
          </cell>
          <cell r="D2481" t="str">
            <v>CANARIAS</v>
          </cell>
          <cell r="E2481" t="str">
            <v>64</v>
          </cell>
          <cell r="F2481" t="str">
            <v>PAQ30a32</v>
          </cell>
          <cell r="G2481" t="str">
            <v>B</v>
          </cell>
          <cell r="H2481">
            <v>323.64999999999998</v>
          </cell>
        </row>
        <row r="2482">
          <cell r="A2482" t="str">
            <v>1;64;C;B;PAQ32a34</v>
          </cell>
          <cell r="B2482">
            <v>730069</v>
          </cell>
          <cell r="C2482" t="str">
            <v>C</v>
          </cell>
          <cell r="D2482" t="str">
            <v>CANARIAS</v>
          </cell>
          <cell r="E2482" t="str">
            <v>64</v>
          </cell>
          <cell r="F2482" t="str">
            <v>PAQ32a34</v>
          </cell>
          <cell r="G2482" t="str">
            <v>B</v>
          </cell>
          <cell r="H2482">
            <v>343.67</v>
          </cell>
        </row>
        <row r="2483">
          <cell r="A2483" t="str">
            <v>1;64;C;B;PAQ34a36</v>
          </cell>
          <cell r="B2483">
            <v>730069</v>
          </cell>
          <cell r="C2483" t="str">
            <v>C</v>
          </cell>
          <cell r="D2483" t="str">
            <v>CANARIAS</v>
          </cell>
          <cell r="E2483" t="str">
            <v>64</v>
          </cell>
          <cell r="F2483" t="str">
            <v>PAQ34a36</v>
          </cell>
          <cell r="G2483" t="str">
            <v>B</v>
          </cell>
          <cell r="H2483">
            <v>363.67</v>
          </cell>
        </row>
        <row r="2484">
          <cell r="A2484" t="str">
            <v>1;64;C;B;PAQ36a38</v>
          </cell>
          <cell r="B2484">
            <v>730069</v>
          </cell>
          <cell r="C2484" t="str">
            <v>C</v>
          </cell>
          <cell r="D2484" t="str">
            <v>CANARIAS</v>
          </cell>
          <cell r="E2484" t="str">
            <v>64</v>
          </cell>
          <cell r="F2484" t="str">
            <v>PAQ36a38</v>
          </cell>
          <cell r="G2484" t="str">
            <v>B</v>
          </cell>
          <cell r="H2484">
            <v>383.68</v>
          </cell>
        </row>
        <row r="2485">
          <cell r="A2485" t="str">
            <v>1;64;C;B;PAQ38a40</v>
          </cell>
          <cell r="B2485">
            <v>730069</v>
          </cell>
          <cell r="C2485" t="str">
            <v>C</v>
          </cell>
          <cell r="D2485" t="str">
            <v>CANARIAS</v>
          </cell>
          <cell r="E2485" t="str">
            <v>64</v>
          </cell>
          <cell r="F2485" t="str">
            <v>PAQ38a40</v>
          </cell>
          <cell r="G2485" t="str">
            <v>B</v>
          </cell>
          <cell r="H2485">
            <v>403.69</v>
          </cell>
        </row>
        <row r="2486">
          <cell r="A2486" t="str">
            <v>1;64;C;F;</v>
          </cell>
          <cell r="B2486">
            <v>730069</v>
          </cell>
          <cell r="C2486" t="str">
            <v>C</v>
          </cell>
          <cell r="D2486" t="str">
            <v>CANARIAS</v>
          </cell>
          <cell r="E2486" t="str">
            <v>64</v>
          </cell>
          <cell r="F2486" t="str">
            <v/>
          </cell>
          <cell r="G2486" t="str">
            <v>F</v>
          </cell>
          <cell r="H2486">
            <v>20.010000000000002</v>
          </cell>
        </row>
        <row r="2487">
          <cell r="A2487" t="str">
            <v>1;64;C;E;</v>
          </cell>
          <cell r="B2487">
            <v>730069</v>
          </cell>
          <cell r="C2487" t="str">
            <v>C</v>
          </cell>
          <cell r="D2487" t="str">
            <v>CANARIAS</v>
          </cell>
          <cell r="E2487" t="str">
            <v>64</v>
          </cell>
          <cell r="F2487" t="str">
            <v/>
          </cell>
          <cell r="G2487" t="str">
            <v>E</v>
          </cell>
          <cell r="H2487">
            <v>0</v>
          </cell>
        </row>
        <row r="2488">
          <cell r="A2488" t="str">
            <v>1;64;C;P;</v>
          </cell>
          <cell r="B2488">
            <v>730069</v>
          </cell>
          <cell r="C2488" t="str">
            <v>C</v>
          </cell>
          <cell r="D2488" t="str">
            <v>CANARIAS</v>
          </cell>
          <cell r="E2488" t="str">
            <v>64</v>
          </cell>
          <cell r="F2488" t="str">
            <v/>
          </cell>
          <cell r="G2488" t="str">
            <v>P</v>
          </cell>
          <cell r="H2488">
            <v>0</v>
          </cell>
        </row>
        <row r="2489">
          <cell r="A2489" t="str">
            <v>1;01;CA;B;BAG</v>
          </cell>
          <cell r="B2489">
            <v>730069</v>
          </cell>
          <cell r="C2489" t="str">
            <v>CA</v>
          </cell>
          <cell r="D2489" t="str">
            <v>CANARIAS ISLAS PORTUGAL</v>
          </cell>
          <cell r="E2489" t="str">
            <v>01</v>
          </cell>
          <cell r="F2489" t="str">
            <v>BAG</v>
          </cell>
          <cell r="G2489" t="str">
            <v>B</v>
          </cell>
          <cell r="H2489">
            <v>47.28</v>
          </cell>
        </row>
        <row r="2490">
          <cell r="A2490" t="str">
            <v>1;01;CA;B;DOCS</v>
          </cell>
          <cell r="B2490">
            <v>730069</v>
          </cell>
          <cell r="C2490" t="str">
            <v>CA</v>
          </cell>
          <cell r="D2490" t="str">
            <v>CANARIAS ISLAS PORTUGAL</v>
          </cell>
          <cell r="E2490" t="str">
            <v>01</v>
          </cell>
          <cell r="F2490" t="str">
            <v>DOCS</v>
          </cell>
          <cell r="G2490" t="str">
            <v>B</v>
          </cell>
          <cell r="H2490">
            <v>37.950000000000003</v>
          </cell>
        </row>
        <row r="2491">
          <cell r="A2491" t="str">
            <v>1;01;CA;B;PAQ00a02</v>
          </cell>
          <cell r="B2491">
            <v>730069</v>
          </cell>
          <cell r="C2491" t="str">
            <v>CA</v>
          </cell>
          <cell r="D2491" t="str">
            <v>CANARIAS ISLAS PORTUGAL</v>
          </cell>
          <cell r="E2491" t="str">
            <v>01</v>
          </cell>
          <cell r="F2491" t="str">
            <v>PAQ00a02</v>
          </cell>
          <cell r="G2491" t="str">
            <v>B</v>
          </cell>
          <cell r="H2491">
            <v>53.24</v>
          </cell>
        </row>
        <row r="2492">
          <cell r="A2492" t="str">
            <v>1;01;CA;B;PAQ02a04</v>
          </cell>
          <cell r="B2492">
            <v>730069</v>
          </cell>
          <cell r="C2492" t="str">
            <v>CA</v>
          </cell>
          <cell r="D2492" t="str">
            <v>CANARIAS ISLAS PORTUGAL</v>
          </cell>
          <cell r="E2492" t="str">
            <v>01</v>
          </cell>
          <cell r="F2492" t="str">
            <v>PAQ02a04</v>
          </cell>
          <cell r="G2492" t="str">
            <v>B</v>
          </cell>
          <cell r="H2492">
            <v>78.75</v>
          </cell>
        </row>
        <row r="2493">
          <cell r="A2493" t="str">
            <v>1;01;CA;B;PAQ04a06</v>
          </cell>
          <cell r="B2493">
            <v>730069</v>
          </cell>
          <cell r="C2493" t="str">
            <v>CA</v>
          </cell>
          <cell r="D2493" t="str">
            <v>CANARIAS ISLAS PORTUGAL</v>
          </cell>
          <cell r="E2493" t="str">
            <v>01</v>
          </cell>
          <cell r="F2493" t="str">
            <v>PAQ04a06</v>
          </cell>
          <cell r="G2493" t="str">
            <v>B</v>
          </cell>
          <cell r="H2493">
            <v>100.34</v>
          </cell>
        </row>
        <row r="2494">
          <cell r="A2494" t="str">
            <v>1;01;CA;B;PAQ06a08</v>
          </cell>
          <cell r="B2494">
            <v>730069</v>
          </cell>
          <cell r="C2494" t="str">
            <v>CA</v>
          </cell>
          <cell r="D2494" t="str">
            <v>CANARIAS ISLAS PORTUGAL</v>
          </cell>
          <cell r="E2494" t="str">
            <v>01</v>
          </cell>
          <cell r="F2494" t="str">
            <v>PAQ06a08</v>
          </cell>
          <cell r="G2494" t="str">
            <v>B</v>
          </cell>
          <cell r="H2494">
            <v>121.94</v>
          </cell>
        </row>
        <row r="2495">
          <cell r="A2495" t="str">
            <v>1;01;CA;B;PAQ08a10</v>
          </cell>
          <cell r="B2495">
            <v>730069</v>
          </cell>
          <cell r="C2495" t="str">
            <v>CA</v>
          </cell>
          <cell r="D2495" t="str">
            <v>CANARIAS ISLAS PORTUGAL</v>
          </cell>
          <cell r="E2495" t="str">
            <v>01</v>
          </cell>
          <cell r="F2495" t="str">
            <v>PAQ08a10</v>
          </cell>
          <cell r="G2495" t="str">
            <v>B</v>
          </cell>
          <cell r="H2495">
            <v>143.52000000000001</v>
          </cell>
        </row>
        <row r="2496">
          <cell r="A2496" t="str">
            <v>1;01;CA;B;PAQ10a12</v>
          </cell>
          <cell r="B2496">
            <v>730069</v>
          </cell>
          <cell r="C2496" t="str">
            <v>CA</v>
          </cell>
          <cell r="D2496" t="str">
            <v>CANARIAS ISLAS PORTUGAL</v>
          </cell>
          <cell r="E2496" t="str">
            <v>01</v>
          </cell>
          <cell r="F2496" t="str">
            <v>PAQ10a12</v>
          </cell>
          <cell r="G2496" t="str">
            <v>B</v>
          </cell>
          <cell r="H2496">
            <v>164.05</v>
          </cell>
        </row>
        <row r="2497">
          <cell r="A2497" t="str">
            <v>1;01;CA;B;PAQ12a14</v>
          </cell>
          <cell r="B2497">
            <v>730069</v>
          </cell>
          <cell r="C2497" t="str">
            <v>CA</v>
          </cell>
          <cell r="D2497" t="str">
            <v>CANARIAS ISLAS PORTUGAL</v>
          </cell>
          <cell r="E2497" t="str">
            <v>01</v>
          </cell>
          <cell r="F2497" t="str">
            <v>PAQ12a14</v>
          </cell>
          <cell r="G2497" t="str">
            <v>B</v>
          </cell>
          <cell r="H2497">
            <v>184.58</v>
          </cell>
        </row>
        <row r="2498">
          <cell r="A2498" t="str">
            <v>1;01;CA;B;PAQ14a16</v>
          </cell>
          <cell r="B2498">
            <v>730069</v>
          </cell>
          <cell r="C2498" t="str">
            <v>CA</v>
          </cell>
          <cell r="D2498" t="str">
            <v>CANARIAS ISLAS PORTUGAL</v>
          </cell>
          <cell r="E2498" t="str">
            <v>01</v>
          </cell>
          <cell r="F2498" t="str">
            <v>PAQ14a16</v>
          </cell>
          <cell r="G2498" t="str">
            <v>B</v>
          </cell>
          <cell r="H2498">
            <v>205.11</v>
          </cell>
        </row>
        <row r="2499">
          <cell r="A2499" t="str">
            <v>1;01;CA;B;PAQ16a18</v>
          </cell>
          <cell r="B2499">
            <v>730069</v>
          </cell>
          <cell r="C2499" t="str">
            <v>CA</v>
          </cell>
          <cell r="D2499" t="str">
            <v>CANARIAS ISLAS PORTUGAL</v>
          </cell>
          <cell r="E2499" t="str">
            <v>01</v>
          </cell>
          <cell r="F2499" t="str">
            <v>PAQ16a18</v>
          </cell>
          <cell r="G2499" t="str">
            <v>B</v>
          </cell>
          <cell r="H2499">
            <v>225.63</v>
          </cell>
        </row>
        <row r="2500">
          <cell r="A2500" t="str">
            <v>1;01;CA;B;PAQ18a20</v>
          </cell>
          <cell r="B2500">
            <v>730069</v>
          </cell>
          <cell r="C2500" t="str">
            <v>CA</v>
          </cell>
          <cell r="D2500" t="str">
            <v>CANARIAS ISLAS PORTUGAL</v>
          </cell>
          <cell r="E2500" t="str">
            <v>01</v>
          </cell>
          <cell r="F2500" t="str">
            <v>PAQ18a20</v>
          </cell>
          <cell r="G2500" t="str">
            <v>B</v>
          </cell>
          <cell r="H2500">
            <v>246.16</v>
          </cell>
        </row>
        <row r="2501">
          <cell r="A2501" t="str">
            <v>1;01;CA;B;PAQ20a22</v>
          </cell>
          <cell r="B2501">
            <v>730069</v>
          </cell>
          <cell r="C2501" t="str">
            <v>CA</v>
          </cell>
          <cell r="D2501" t="str">
            <v>CANARIAS ISLAS PORTUGAL</v>
          </cell>
          <cell r="E2501" t="str">
            <v>01</v>
          </cell>
          <cell r="F2501" t="str">
            <v>PAQ20a22</v>
          </cell>
          <cell r="G2501" t="str">
            <v>B</v>
          </cell>
          <cell r="H2501">
            <v>266.7</v>
          </cell>
        </row>
        <row r="2502">
          <cell r="A2502" t="str">
            <v>1;01;CA;B;PAQ22a24</v>
          </cell>
          <cell r="B2502">
            <v>730069</v>
          </cell>
          <cell r="C2502" t="str">
            <v>CA</v>
          </cell>
          <cell r="D2502" t="str">
            <v>CANARIAS ISLAS PORTUGAL</v>
          </cell>
          <cell r="E2502" t="str">
            <v>01</v>
          </cell>
          <cell r="F2502" t="str">
            <v>PAQ22a24</v>
          </cell>
          <cell r="G2502" t="str">
            <v>B</v>
          </cell>
          <cell r="H2502">
            <v>287.23</v>
          </cell>
        </row>
        <row r="2503">
          <cell r="A2503" t="str">
            <v>1;01;CA;B;PAQ24a26</v>
          </cell>
          <cell r="B2503">
            <v>730069</v>
          </cell>
          <cell r="C2503" t="str">
            <v>CA</v>
          </cell>
          <cell r="D2503" t="str">
            <v>CANARIAS ISLAS PORTUGAL</v>
          </cell>
          <cell r="E2503" t="str">
            <v>01</v>
          </cell>
          <cell r="F2503" t="str">
            <v>PAQ24a26</v>
          </cell>
          <cell r="G2503" t="str">
            <v>B</v>
          </cell>
          <cell r="H2503">
            <v>307.76</v>
          </cell>
        </row>
        <row r="2504">
          <cell r="A2504" t="str">
            <v>1;01;CA;B;PAQ26a28</v>
          </cell>
          <cell r="B2504">
            <v>730069</v>
          </cell>
          <cell r="C2504" t="str">
            <v>CA</v>
          </cell>
          <cell r="D2504" t="str">
            <v>CANARIAS ISLAS PORTUGAL</v>
          </cell>
          <cell r="E2504" t="str">
            <v>01</v>
          </cell>
          <cell r="F2504" t="str">
            <v>PAQ26a28</v>
          </cell>
          <cell r="G2504" t="str">
            <v>B</v>
          </cell>
          <cell r="H2504">
            <v>328.28</v>
          </cell>
        </row>
        <row r="2505">
          <cell r="A2505" t="str">
            <v>1;01;CA;B;PAQ28a30</v>
          </cell>
          <cell r="B2505">
            <v>730069</v>
          </cell>
          <cell r="C2505" t="str">
            <v>CA</v>
          </cell>
          <cell r="D2505" t="str">
            <v>CANARIAS ISLAS PORTUGAL</v>
          </cell>
          <cell r="E2505" t="str">
            <v>01</v>
          </cell>
          <cell r="F2505" t="str">
            <v>PAQ28a30</v>
          </cell>
          <cell r="G2505" t="str">
            <v>B</v>
          </cell>
          <cell r="H2505">
            <v>348.81</v>
          </cell>
        </row>
        <row r="2506">
          <cell r="A2506" t="str">
            <v>1;01;CA;B;PAQ30a32</v>
          </cell>
          <cell r="B2506">
            <v>730069</v>
          </cell>
          <cell r="C2506" t="str">
            <v>CA</v>
          </cell>
          <cell r="D2506" t="str">
            <v>CANARIAS ISLAS PORTUGAL</v>
          </cell>
          <cell r="E2506" t="str">
            <v>01</v>
          </cell>
          <cell r="F2506" t="str">
            <v>PAQ30a32</v>
          </cell>
          <cell r="G2506" t="str">
            <v>B</v>
          </cell>
          <cell r="H2506">
            <v>369.34</v>
          </cell>
        </row>
        <row r="2507">
          <cell r="A2507" t="str">
            <v>1;01;CA;B;PAQ32a34</v>
          </cell>
          <cell r="B2507">
            <v>730069</v>
          </cell>
          <cell r="C2507" t="str">
            <v>CA</v>
          </cell>
          <cell r="D2507" t="str">
            <v>CANARIAS ISLAS PORTUGAL</v>
          </cell>
          <cell r="E2507" t="str">
            <v>01</v>
          </cell>
          <cell r="F2507" t="str">
            <v>PAQ32a34</v>
          </cell>
          <cell r="G2507" t="str">
            <v>B</v>
          </cell>
          <cell r="H2507">
            <v>389.87</v>
          </cell>
        </row>
        <row r="2508">
          <cell r="A2508" t="str">
            <v>1;01;CA;B;PAQ34a36</v>
          </cell>
          <cell r="B2508">
            <v>730069</v>
          </cell>
          <cell r="C2508" t="str">
            <v>CA</v>
          </cell>
          <cell r="D2508" t="str">
            <v>CANARIAS ISLAS PORTUGAL</v>
          </cell>
          <cell r="E2508" t="str">
            <v>01</v>
          </cell>
          <cell r="F2508" t="str">
            <v>PAQ34a36</v>
          </cell>
          <cell r="G2508" t="str">
            <v>B</v>
          </cell>
          <cell r="H2508">
            <v>410.39</v>
          </cell>
        </row>
        <row r="2509">
          <cell r="A2509" t="str">
            <v>1;01;CA;B;PAQ36a38</v>
          </cell>
          <cell r="B2509">
            <v>730069</v>
          </cell>
          <cell r="C2509" t="str">
            <v>CA</v>
          </cell>
          <cell r="D2509" t="str">
            <v>CANARIAS ISLAS PORTUGAL</v>
          </cell>
          <cell r="E2509" t="str">
            <v>01</v>
          </cell>
          <cell r="F2509" t="str">
            <v>PAQ36a38</v>
          </cell>
          <cell r="G2509" t="str">
            <v>B</v>
          </cell>
          <cell r="H2509">
            <v>430.92</v>
          </cell>
        </row>
        <row r="2510">
          <cell r="A2510" t="str">
            <v>1;01;CA;B;PAQ38a40</v>
          </cell>
          <cell r="B2510">
            <v>730069</v>
          </cell>
          <cell r="C2510" t="str">
            <v>CA</v>
          </cell>
          <cell r="D2510" t="str">
            <v>CANARIAS ISLAS PORTUGAL</v>
          </cell>
          <cell r="E2510" t="str">
            <v>01</v>
          </cell>
          <cell r="F2510" t="str">
            <v>PAQ38a40</v>
          </cell>
          <cell r="G2510" t="str">
            <v>B</v>
          </cell>
          <cell r="H2510">
            <v>451.45</v>
          </cell>
        </row>
        <row r="2511">
          <cell r="A2511" t="str">
            <v>1;01;CA;F;</v>
          </cell>
          <cell r="B2511">
            <v>730069</v>
          </cell>
          <cell r="C2511" t="str">
            <v>CA</v>
          </cell>
          <cell r="D2511" t="str">
            <v>CANARIAS ISLAS PORTUGAL</v>
          </cell>
          <cell r="E2511" t="str">
            <v>01</v>
          </cell>
          <cell r="F2511" t="str">
            <v/>
          </cell>
          <cell r="G2511" t="str">
            <v>F</v>
          </cell>
          <cell r="H2511">
            <v>20.53</v>
          </cell>
        </row>
        <row r="2512">
          <cell r="A2512" t="str">
            <v>1;01;CA;E;</v>
          </cell>
          <cell r="B2512">
            <v>730069</v>
          </cell>
          <cell r="C2512" t="str">
            <v>CA</v>
          </cell>
          <cell r="D2512" t="str">
            <v>CANARIAS ISLAS PORTUGAL</v>
          </cell>
          <cell r="E2512" t="str">
            <v>01</v>
          </cell>
          <cell r="F2512" t="str">
            <v/>
          </cell>
          <cell r="G2512" t="str">
            <v>E</v>
          </cell>
          <cell r="H2512">
            <v>0</v>
          </cell>
        </row>
        <row r="2513">
          <cell r="A2513" t="str">
            <v>1;01;CA;P;</v>
          </cell>
          <cell r="B2513">
            <v>730069</v>
          </cell>
          <cell r="C2513" t="str">
            <v>CA</v>
          </cell>
          <cell r="D2513" t="str">
            <v>CANARIAS ISLAS PORTUGAL</v>
          </cell>
          <cell r="E2513" t="str">
            <v>01</v>
          </cell>
          <cell r="F2513" t="str">
            <v/>
          </cell>
          <cell r="G2513" t="str">
            <v>P</v>
          </cell>
          <cell r="H2513">
            <v>0</v>
          </cell>
        </row>
        <row r="2514">
          <cell r="A2514" t="str">
            <v>1;04;CA;B;BAG</v>
          </cell>
          <cell r="B2514">
            <v>730069</v>
          </cell>
          <cell r="C2514" t="str">
            <v>CA</v>
          </cell>
          <cell r="D2514" t="str">
            <v>CANARIAS ISLAS PORTUGAL</v>
          </cell>
          <cell r="E2514" t="str">
            <v>04</v>
          </cell>
          <cell r="F2514" t="str">
            <v>BAG</v>
          </cell>
          <cell r="G2514" t="str">
            <v>B</v>
          </cell>
          <cell r="H2514">
            <v>5.76</v>
          </cell>
        </row>
        <row r="2515">
          <cell r="A2515" t="str">
            <v>1;05;CA;B;BAG</v>
          </cell>
          <cell r="B2515">
            <v>730069</v>
          </cell>
          <cell r="C2515" t="str">
            <v>CA</v>
          </cell>
          <cell r="D2515" t="str">
            <v>CANARIAS ISLAS PORTUGAL</v>
          </cell>
          <cell r="E2515" t="str">
            <v>05</v>
          </cell>
          <cell r="F2515" t="str">
            <v>BAG</v>
          </cell>
          <cell r="G2515" t="str">
            <v>B</v>
          </cell>
          <cell r="H2515">
            <v>5.76</v>
          </cell>
        </row>
        <row r="2516">
          <cell r="A2516" t="str">
            <v>1;06;CA;B;BAG</v>
          </cell>
          <cell r="B2516">
            <v>730069</v>
          </cell>
          <cell r="C2516" t="str">
            <v>CA</v>
          </cell>
          <cell r="D2516" t="str">
            <v>CANARIAS ISLAS PORTUGAL</v>
          </cell>
          <cell r="E2516" t="str">
            <v>06</v>
          </cell>
          <cell r="F2516" t="str">
            <v>BAG</v>
          </cell>
          <cell r="G2516" t="str">
            <v>B</v>
          </cell>
          <cell r="H2516">
            <v>0</v>
          </cell>
        </row>
        <row r="2517">
          <cell r="A2517" t="str">
            <v>1;06;CA;B;DOCS</v>
          </cell>
          <cell r="B2517">
            <v>730069</v>
          </cell>
          <cell r="C2517" t="str">
            <v>CA</v>
          </cell>
          <cell r="D2517" t="str">
            <v>CANARIAS ISLAS PORTUGAL</v>
          </cell>
          <cell r="E2517" t="str">
            <v>06</v>
          </cell>
          <cell r="F2517" t="str">
            <v>DOCS</v>
          </cell>
          <cell r="G2517" t="str">
            <v>B</v>
          </cell>
          <cell r="H2517">
            <v>0</v>
          </cell>
        </row>
        <row r="2518">
          <cell r="A2518" t="str">
            <v>1;07;CA;B;BAG</v>
          </cell>
          <cell r="B2518">
            <v>730069</v>
          </cell>
          <cell r="C2518" t="str">
            <v>CA</v>
          </cell>
          <cell r="D2518" t="str">
            <v>CANARIAS ISLAS PORTUGAL</v>
          </cell>
          <cell r="E2518" t="str">
            <v>07</v>
          </cell>
          <cell r="F2518" t="str">
            <v>BAG</v>
          </cell>
          <cell r="G2518" t="str">
            <v>B</v>
          </cell>
          <cell r="H2518">
            <v>0</v>
          </cell>
        </row>
        <row r="2519">
          <cell r="A2519" t="str">
            <v>1;07;CA;B;DOCS</v>
          </cell>
          <cell r="B2519">
            <v>730069</v>
          </cell>
          <cell r="C2519" t="str">
            <v>CA</v>
          </cell>
          <cell r="D2519" t="str">
            <v>CANARIAS ISLAS PORTUGAL</v>
          </cell>
          <cell r="E2519" t="str">
            <v>07</v>
          </cell>
          <cell r="F2519" t="str">
            <v>DOCS</v>
          </cell>
          <cell r="G2519" t="str">
            <v>B</v>
          </cell>
          <cell r="H2519">
            <v>0</v>
          </cell>
        </row>
        <row r="2520">
          <cell r="A2520" t="str">
            <v>1;10;CA;B;BAG</v>
          </cell>
          <cell r="B2520">
            <v>730069</v>
          </cell>
          <cell r="C2520" t="str">
            <v>CA</v>
          </cell>
          <cell r="D2520" t="str">
            <v>CANARIAS ISLAS PORTUGAL</v>
          </cell>
          <cell r="E2520" t="str">
            <v>10</v>
          </cell>
          <cell r="F2520" t="str">
            <v>BAG</v>
          </cell>
          <cell r="G2520" t="str">
            <v>B</v>
          </cell>
          <cell r="H2520">
            <v>1.7</v>
          </cell>
        </row>
        <row r="2521">
          <cell r="A2521" t="str">
            <v>1;10;CA;B;DOCS</v>
          </cell>
          <cell r="B2521">
            <v>730069</v>
          </cell>
          <cell r="C2521" t="str">
            <v>CA</v>
          </cell>
          <cell r="D2521" t="str">
            <v>CANARIAS ISLAS PORTUGAL</v>
          </cell>
          <cell r="E2521" t="str">
            <v>10</v>
          </cell>
          <cell r="F2521" t="str">
            <v>DOCS</v>
          </cell>
          <cell r="G2521" t="str">
            <v>B</v>
          </cell>
          <cell r="H2521">
            <v>1.7</v>
          </cell>
        </row>
        <row r="2522">
          <cell r="A2522" t="str">
            <v>1;14;CA;B;BAG</v>
          </cell>
          <cell r="B2522">
            <v>730069</v>
          </cell>
          <cell r="C2522" t="str">
            <v>CA</v>
          </cell>
          <cell r="D2522" t="str">
            <v>CANARIAS ISLAS PORTUGAL</v>
          </cell>
          <cell r="E2522" t="str">
            <v>14</v>
          </cell>
          <cell r="F2522" t="str">
            <v>BAG</v>
          </cell>
          <cell r="G2522" t="str">
            <v>B</v>
          </cell>
          <cell r="H2522">
            <v>1.79</v>
          </cell>
        </row>
        <row r="2523">
          <cell r="A2523" t="str">
            <v>1;15;CA;B;BAG</v>
          </cell>
          <cell r="B2523">
            <v>730069</v>
          </cell>
          <cell r="C2523" t="str">
            <v>CA</v>
          </cell>
          <cell r="D2523" t="str">
            <v>CANARIAS ISLAS PORTUGAL</v>
          </cell>
          <cell r="E2523" t="str">
            <v>15</v>
          </cell>
          <cell r="F2523" t="str">
            <v>BAG</v>
          </cell>
          <cell r="G2523" t="str">
            <v>B</v>
          </cell>
          <cell r="H2523">
            <v>1.79</v>
          </cell>
        </row>
        <row r="2524">
          <cell r="A2524" t="str">
            <v>1;61;CA;B;BAG</v>
          </cell>
          <cell r="B2524">
            <v>730069</v>
          </cell>
          <cell r="C2524" t="str">
            <v>CA</v>
          </cell>
          <cell r="D2524" t="str">
            <v>CANARIAS ISLAS PORTUGAL</v>
          </cell>
          <cell r="E2524" t="str">
            <v>61</v>
          </cell>
          <cell r="F2524" t="str">
            <v>BAG</v>
          </cell>
          <cell r="G2524" t="str">
            <v>B</v>
          </cell>
          <cell r="H2524">
            <v>47.28</v>
          </cell>
        </row>
        <row r="2525">
          <cell r="A2525" t="str">
            <v>1;61;CA;B;PAQ00a02</v>
          </cell>
          <cell r="B2525">
            <v>730069</v>
          </cell>
          <cell r="C2525" t="str">
            <v>CA</v>
          </cell>
          <cell r="D2525" t="str">
            <v>CANARIAS ISLAS PORTUGAL</v>
          </cell>
          <cell r="E2525" t="str">
            <v>61</v>
          </cell>
          <cell r="F2525" t="str">
            <v>PAQ00a02</v>
          </cell>
          <cell r="G2525" t="str">
            <v>B</v>
          </cell>
          <cell r="H2525">
            <v>53.24</v>
          </cell>
        </row>
        <row r="2526">
          <cell r="A2526" t="str">
            <v>1;61;CA;B;PAQ02a04</v>
          </cell>
          <cell r="B2526">
            <v>730069</v>
          </cell>
          <cell r="C2526" t="str">
            <v>CA</v>
          </cell>
          <cell r="D2526" t="str">
            <v>CANARIAS ISLAS PORTUGAL</v>
          </cell>
          <cell r="E2526" t="str">
            <v>61</v>
          </cell>
          <cell r="F2526" t="str">
            <v>PAQ02a04</v>
          </cell>
          <cell r="G2526" t="str">
            <v>B</v>
          </cell>
          <cell r="H2526">
            <v>78.75</v>
          </cell>
        </row>
        <row r="2527">
          <cell r="A2527" t="str">
            <v>1;61;CA;B;PAQ04a06</v>
          </cell>
          <cell r="B2527">
            <v>730069</v>
          </cell>
          <cell r="C2527" t="str">
            <v>CA</v>
          </cell>
          <cell r="D2527" t="str">
            <v>CANARIAS ISLAS PORTUGAL</v>
          </cell>
          <cell r="E2527" t="str">
            <v>61</v>
          </cell>
          <cell r="F2527" t="str">
            <v>PAQ04a06</v>
          </cell>
          <cell r="G2527" t="str">
            <v>B</v>
          </cell>
          <cell r="H2527">
            <v>100.34</v>
          </cell>
        </row>
        <row r="2528">
          <cell r="A2528" t="str">
            <v>1;61;CA;B;PAQ06a08</v>
          </cell>
          <cell r="B2528">
            <v>730069</v>
          </cell>
          <cell r="C2528" t="str">
            <v>CA</v>
          </cell>
          <cell r="D2528" t="str">
            <v>CANARIAS ISLAS PORTUGAL</v>
          </cell>
          <cell r="E2528" t="str">
            <v>61</v>
          </cell>
          <cell r="F2528" t="str">
            <v>PAQ06a08</v>
          </cell>
          <cell r="G2528" t="str">
            <v>B</v>
          </cell>
          <cell r="H2528">
            <v>121.94</v>
          </cell>
        </row>
        <row r="2529">
          <cell r="A2529" t="str">
            <v>1;61;CA;B;PAQ08a10</v>
          </cell>
          <cell r="B2529">
            <v>730069</v>
          </cell>
          <cell r="C2529" t="str">
            <v>CA</v>
          </cell>
          <cell r="D2529" t="str">
            <v>CANARIAS ISLAS PORTUGAL</v>
          </cell>
          <cell r="E2529" t="str">
            <v>61</v>
          </cell>
          <cell r="F2529" t="str">
            <v>PAQ08a10</v>
          </cell>
          <cell r="G2529" t="str">
            <v>B</v>
          </cell>
          <cell r="H2529">
            <v>143.52000000000001</v>
          </cell>
        </row>
        <row r="2530">
          <cell r="A2530" t="str">
            <v>1;61;CA;B;PAQ10a12</v>
          </cell>
          <cell r="B2530">
            <v>730069</v>
          </cell>
          <cell r="C2530" t="str">
            <v>CA</v>
          </cell>
          <cell r="D2530" t="str">
            <v>CANARIAS ISLAS PORTUGAL</v>
          </cell>
          <cell r="E2530" t="str">
            <v>61</v>
          </cell>
          <cell r="F2530" t="str">
            <v>PAQ10a12</v>
          </cell>
          <cell r="G2530" t="str">
            <v>B</v>
          </cell>
          <cell r="H2530">
            <v>164.05</v>
          </cell>
        </row>
        <row r="2531">
          <cell r="A2531" t="str">
            <v>1;61;CA;B;PAQ12a14</v>
          </cell>
          <cell r="B2531">
            <v>730069</v>
          </cell>
          <cell r="C2531" t="str">
            <v>CA</v>
          </cell>
          <cell r="D2531" t="str">
            <v>CANARIAS ISLAS PORTUGAL</v>
          </cell>
          <cell r="E2531" t="str">
            <v>61</v>
          </cell>
          <cell r="F2531" t="str">
            <v>PAQ12a14</v>
          </cell>
          <cell r="G2531" t="str">
            <v>B</v>
          </cell>
          <cell r="H2531">
            <v>184.58</v>
          </cell>
        </row>
        <row r="2532">
          <cell r="A2532" t="str">
            <v>1;61;CA;B;PAQ14a16</v>
          </cell>
          <cell r="B2532">
            <v>730069</v>
          </cell>
          <cell r="C2532" t="str">
            <v>CA</v>
          </cell>
          <cell r="D2532" t="str">
            <v>CANARIAS ISLAS PORTUGAL</v>
          </cell>
          <cell r="E2532" t="str">
            <v>61</v>
          </cell>
          <cell r="F2532" t="str">
            <v>PAQ14a16</v>
          </cell>
          <cell r="G2532" t="str">
            <v>B</v>
          </cell>
          <cell r="H2532">
            <v>205.11</v>
          </cell>
        </row>
        <row r="2533">
          <cell r="A2533" t="str">
            <v>1;61;CA;B;PAQ16a18</v>
          </cell>
          <cell r="B2533">
            <v>730069</v>
          </cell>
          <cell r="C2533" t="str">
            <v>CA</v>
          </cell>
          <cell r="D2533" t="str">
            <v>CANARIAS ISLAS PORTUGAL</v>
          </cell>
          <cell r="E2533" t="str">
            <v>61</v>
          </cell>
          <cell r="F2533" t="str">
            <v>PAQ16a18</v>
          </cell>
          <cell r="G2533" t="str">
            <v>B</v>
          </cell>
          <cell r="H2533">
            <v>225.63</v>
          </cell>
        </row>
        <row r="2534">
          <cell r="A2534" t="str">
            <v>1;61;CA;B;PAQ18a20</v>
          </cell>
          <cell r="B2534">
            <v>730069</v>
          </cell>
          <cell r="C2534" t="str">
            <v>CA</v>
          </cell>
          <cell r="D2534" t="str">
            <v>CANARIAS ISLAS PORTUGAL</v>
          </cell>
          <cell r="E2534" t="str">
            <v>61</v>
          </cell>
          <cell r="F2534" t="str">
            <v>PAQ18a20</v>
          </cell>
          <cell r="G2534" t="str">
            <v>B</v>
          </cell>
          <cell r="H2534">
            <v>246.16</v>
          </cell>
        </row>
        <row r="2535">
          <cell r="A2535" t="str">
            <v>1;61;CA;B;PAQ20a22</v>
          </cell>
          <cell r="B2535">
            <v>730069</v>
          </cell>
          <cell r="C2535" t="str">
            <v>CA</v>
          </cell>
          <cell r="D2535" t="str">
            <v>CANARIAS ISLAS PORTUGAL</v>
          </cell>
          <cell r="E2535" t="str">
            <v>61</v>
          </cell>
          <cell r="F2535" t="str">
            <v>PAQ20a22</v>
          </cell>
          <cell r="G2535" t="str">
            <v>B</v>
          </cell>
          <cell r="H2535">
            <v>266.7</v>
          </cell>
        </row>
        <row r="2536">
          <cell r="A2536" t="str">
            <v>1;61;CA;B;PAQ22a24</v>
          </cell>
          <cell r="B2536">
            <v>730069</v>
          </cell>
          <cell r="C2536" t="str">
            <v>CA</v>
          </cell>
          <cell r="D2536" t="str">
            <v>CANARIAS ISLAS PORTUGAL</v>
          </cell>
          <cell r="E2536" t="str">
            <v>61</v>
          </cell>
          <cell r="F2536" t="str">
            <v>PAQ22a24</v>
          </cell>
          <cell r="G2536" t="str">
            <v>B</v>
          </cell>
          <cell r="H2536">
            <v>287.23</v>
          </cell>
        </row>
        <row r="2537">
          <cell r="A2537" t="str">
            <v>1;61;CA;B;PAQ24a26</v>
          </cell>
          <cell r="B2537">
            <v>730069</v>
          </cell>
          <cell r="C2537" t="str">
            <v>CA</v>
          </cell>
          <cell r="D2537" t="str">
            <v>CANARIAS ISLAS PORTUGAL</v>
          </cell>
          <cell r="E2537" t="str">
            <v>61</v>
          </cell>
          <cell r="F2537" t="str">
            <v>PAQ24a26</v>
          </cell>
          <cell r="G2537" t="str">
            <v>B</v>
          </cell>
          <cell r="H2537">
            <v>307.76</v>
          </cell>
        </row>
        <row r="2538">
          <cell r="A2538" t="str">
            <v>1;61;CA;B;PAQ26a28</v>
          </cell>
          <cell r="B2538">
            <v>730069</v>
          </cell>
          <cell r="C2538" t="str">
            <v>CA</v>
          </cell>
          <cell r="D2538" t="str">
            <v>CANARIAS ISLAS PORTUGAL</v>
          </cell>
          <cell r="E2538" t="str">
            <v>61</v>
          </cell>
          <cell r="F2538" t="str">
            <v>PAQ26a28</v>
          </cell>
          <cell r="G2538" t="str">
            <v>B</v>
          </cell>
          <cell r="H2538">
            <v>328.28</v>
          </cell>
        </row>
        <row r="2539">
          <cell r="A2539" t="str">
            <v>1;61;CA;B;PAQ28a30</v>
          </cell>
          <cell r="B2539">
            <v>730069</v>
          </cell>
          <cell r="C2539" t="str">
            <v>CA</v>
          </cell>
          <cell r="D2539" t="str">
            <v>CANARIAS ISLAS PORTUGAL</v>
          </cell>
          <cell r="E2539" t="str">
            <v>61</v>
          </cell>
          <cell r="F2539" t="str">
            <v>PAQ28a30</v>
          </cell>
          <cell r="G2539" t="str">
            <v>B</v>
          </cell>
          <cell r="H2539">
            <v>348.81</v>
          </cell>
        </row>
        <row r="2540">
          <cell r="A2540" t="str">
            <v>1;61;CA;B;PAQ30a32</v>
          </cell>
          <cell r="B2540">
            <v>730069</v>
          </cell>
          <cell r="C2540" t="str">
            <v>CA</v>
          </cell>
          <cell r="D2540" t="str">
            <v>CANARIAS ISLAS PORTUGAL</v>
          </cell>
          <cell r="E2540" t="str">
            <v>61</v>
          </cell>
          <cell r="F2540" t="str">
            <v>PAQ30a32</v>
          </cell>
          <cell r="G2540" t="str">
            <v>B</v>
          </cell>
          <cell r="H2540">
            <v>369.34</v>
          </cell>
        </row>
        <row r="2541">
          <cell r="A2541" t="str">
            <v>1;61;CA;B;PAQ32a34</v>
          </cell>
          <cell r="B2541">
            <v>730069</v>
          </cell>
          <cell r="C2541" t="str">
            <v>CA</v>
          </cell>
          <cell r="D2541" t="str">
            <v>CANARIAS ISLAS PORTUGAL</v>
          </cell>
          <cell r="E2541" t="str">
            <v>61</v>
          </cell>
          <cell r="F2541" t="str">
            <v>PAQ32a34</v>
          </cell>
          <cell r="G2541" t="str">
            <v>B</v>
          </cell>
          <cell r="H2541">
            <v>389.87</v>
          </cell>
        </row>
        <row r="2542">
          <cell r="A2542" t="str">
            <v>1;61;CA;B;PAQ34a36</v>
          </cell>
          <cell r="B2542">
            <v>730069</v>
          </cell>
          <cell r="C2542" t="str">
            <v>CA</v>
          </cell>
          <cell r="D2542" t="str">
            <v>CANARIAS ISLAS PORTUGAL</v>
          </cell>
          <cell r="E2542" t="str">
            <v>61</v>
          </cell>
          <cell r="F2542" t="str">
            <v>PAQ34a36</v>
          </cell>
          <cell r="G2542" t="str">
            <v>B</v>
          </cell>
          <cell r="H2542">
            <v>410.39</v>
          </cell>
        </row>
        <row r="2543">
          <cell r="A2543" t="str">
            <v>1;61;CA;B;PAQ36a38</v>
          </cell>
          <cell r="B2543">
            <v>730069</v>
          </cell>
          <cell r="C2543" t="str">
            <v>CA</v>
          </cell>
          <cell r="D2543" t="str">
            <v>CANARIAS ISLAS PORTUGAL</v>
          </cell>
          <cell r="E2543" t="str">
            <v>61</v>
          </cell>
          <cell r="F2543" t="str">
            <v>PAQ36a38</v>
          </cell>
          <cell r="G2543" t="str">
            <v>B</v>
          </cell>
          <cell r="H2543">
            <v>430.92</v>
          </cell>
        </row>
        <row r="2544">
          <cell r="A2544" t="str">
            <v>1;61;CA;B;PAQ38a40</v>
          </cell>
          <cell r="B2544">
            <v>730069</v>
          </cell>
          <cell r="C2544" t="str">
            <v>CA</v>
          </cell>
          <cell r="D2544" t="str">
            <v>CANARIAS ISLAS PORTUGAL</v>
          </cell>
          <cell r="E2544" t="str">
            <v>61</v>
          </cell>
          <cell r="F2544" t="str">
            <v>PAQ38a40</v>
          </cell>
          <cell r="G2544" t="str">
            <v>B</v>
          </cell>
          <cell r="H2544">
            <v>451.45</v>
          </cell>
        </row>
        <row r="2545">
          <cell r="A2545" t="str">
            <v>1;61;CA;F;</v>
          </cell>
          <cell r="B2545">
            <v>730069</v>
          </cell>
          <cell r="C2545" t="str">
            <v>CA</v>
          </cell>
          <cell r="D2545" t="str">
            <v>CANARIAS ISLAS PORTUGAL</v>
          </cell>
          <cell r="E2545" t="str">
            <v>61</v>
          </cell>
          <cell r="F2545" t="str">
            <v/>
          </cell>
          <cell r="G2545" t="str">
            <v>F</v>
          </cell>
          <cell r="H2545">
            <v>20.53</v>
          </cell>
        </row>
        <row r="2546">
          <cell r="A2546" t="str">
            <v>1;61;CA;P;</v>
          </cell>
          <cell r="B2546">
            <v>730069</v>
          </cell>
          <cell r="C2546" t="str">
            <v>CA</v>
          </cell>
          <cell r="D2546" t="str">
            <v>CANARIAS ISLAS PORTUGAL</v>
          </cell>
          <cell r="E2546" t="str">
            <v>61</v>
          </cell>
          <cell r="F2546" t="str">
            <v/>
          </cell>
          <cell r="G2546" t="str">
            <v>P</v>
          </cell>
          <cell r="H2546">
            <v>0</v>
          </cell>
        </row>
        <row r="2547">
          <cell r="A2547" t="str">
            <v>1;61;CA;E;</v>
          </cell>
          <cell r="B2547">
            <v>730069</v>
          </cell>
          <cell r="C2547" t="str">
            <v>CA</v>
          </cell>
          <cell r="D2547" t="str">
            <v>CANARIAS ISLAS PORTUGAL</v>
          </cell>
          <cell r="E2547" t="str">
            <v>61</v>
          </cell>
          <cell r="F2547" t="str">
            <v/>
          </cell>
          <cell r="G2547" t="str">
            <v>E</v>
          </cell>
          <cell r="H2547">
            <v>0</v>
          </cell>
        </row>
        <row r="2548">
          <cell r="A2548" t="str">
            <v>1;E;CE;B;BAG</v>
          </cell>
          <cell r="B2548">
            <v>730069</v>
          </cell>
          <cell r="C2548" t="str">
            <v>CE</v>
          </cell>
          <cell r="D2548" t="str">
            <v>CEUTA</v>
          </cell>
          <cell r="E2548" t="str">
            <v>E</v>
          </cell>
          <cell r="F2548" t="str">
            <v>BAG</v>
          </cell>
          <cell r="G2548" t="str">
            <v>B</v>
          </cell>
          <cell r="H2548">
            <v>0</v>
          </cell>
        </row>
        <row r="2549">
          <cell r="A2549" t="str">
            <v>1;E;CE;B;PAQ00a02</v>
          </cell>
          <cell r="B2549">
            <v>730069</v>
          </cell>
          <cell r="C2549" t="str">
            <v>CE</v>
          </cell>
          <cell r="D2549" t="str">
            <v>CEUTA</v>
          </cell>
          <cell r="E2549" t="str">
            <v>E</v>
          </cell>
          <cell r="F2549" t="str">
            <v>PAQ00a02</v>
          </cell>
          <cell r="G2549" t="str">
            <v>B</v>
          </cell>
          <cell r="H2549">
            <v>0</v>
          </cell>
        </row>
        <row r="2550">
          <cell r="A2550" t="str">
            <v>1;E;CE;B;PAQ02a04</v>
          </cell>
          <cell r="B2550">
            <v>730069</v>
          </cell>
          <cell r="C2550" t="str">
            <v>CE</v>
          </cell>
          <cell r="D2550" t="str">
            <v>CEUTA</v>
          </cell>
          <cell r="E2550" t="str">
            <v>E</v>
          </cell>
          <cell r="F2550" t="str">
            <v>PAQ02a04</v>
          </cell>
          <cell r="G2550" t="str">
            <v>B</v>
          </cell>
          <cell r="H2550">
            <v>0</v>
          </cell>
        </row>
        <row r="2551">
          <cell r="A2551" t="str">
            <v>1;E;CE;B;PAQ04a06</v>
          </cell>
          <cell r="B2551">
            <v>730069</v>
          </cell>
          <cell r="C2551" t="str">
            <v>CE</v>
          </cell>
          <cell r="D2551" t="str">
            <v>CEUTA</v>
          </cell>
          <cell r="E2551" t="str">
            <v>E</v>
          </cell>
          <cell r="F2551" t="str">
            <v>PAQ04a06</v>
          </cell>
          <cell r="G2551" t="str">
            <v>B</v>
          </cell>
          <cell r="H2551">
            <v>0</v>
          </cell>
        </row>
        <row r="2552">
          <cell r="A2552" t="str">
            <v>1;E;CE;B;PAQ06a08</v>
          </cell>
          <cell r="B2552">
            <v>730069</v>
          </cell>
          <cell r="C2552" t="str">
            <v>CE</v>
          </cell>
          <cell r="D2552" t="str">
            <v>CEUTA</v>
          </cell>
          <cell r="E2552" t="str">
            <v>E</v>
          </cell>
          <cell r="F2552" t="str">
            <v>PAQ06a08</v>
          </cell>
          <cell r="G2552" t="str">
            <v>B</v>
          </cell>
          <cell r="H2552">
            <v>0</v>
          </cell>
        </row>
        <row r="2553">
          <cell r="A2553" t="str">
            <v>1;E;CE;B;PAQ08a10</v>
          </cell>
          <cell r="B2553">
            <v>730069</v>
          </cell>
          <cell r="C2553" t="str">
            <v>CE</v>
          </cell>
          <cell r="D2553" t="str">
            <v>CEUTA</v>
          </cell>
          <cell r="E2553" t="str">
            <v>E</v>
          </cell>
          <cell r="F2553" t="str">
            <v>PAQ08a10</v>
          </cell>
          <cell r="G2553" t="str">
            <v>B</v>
          </cell>
          <cell r="H2553">
            <v>0</v>
          </cell>
        </row>
        <row r="2554">
          <cell r="A2554" t="str">
            <v>1;E;CE;B;PAQ10a12</v>
          </cell>
          <cell r="B2554">
            <v>730069</v>
          </cell>
          <cell r="C2554" t="str">
            <v>CE</v>
          </cell>
          <cell r="D2554" t="str">
            <v>CEUTA</v>
          </cell>
          <cell r="E2554" t="str">
            <v>E</v>
          </cell>
          <cell r="F2554" t="str">
            <v>PAQ10a12</v>
          </cell>
          <cell r="G2554" t="str">
            <v>B</v>
          </cell>
          <cell r="H2554">
            <v>0</v>
          </cell>
        </row>
        <row r="2555">
          <cell r="A2555" t="str">
            <v>1;E;CE;B;PAQ12a14</v>
          </cell>
          <cell r="B2555">
            <v>730069</v>
          </cell>
          <cell r="C2555" t="str">
            <v>CE</v>
          </cell>
          <cell r="D2555" t="str">
            <v>CEUTA</v>
          </cell>
          <cell r="E2555" t="str">
            <v>E</v>
          </cell>
          <cell r="F2555" t="str">
            <v>PAQ12a14</v>
          </cell>
          <cell r="G2555" t="str">
            <v>B</v>
          </cell>
          <cell r="H2555">
            <v>0</v>
          </cell>
        </row>
        <row r="2556">
          <cell r="A2556" t="str">
            <v>1;E;CE;B;PAQ14a16</v>
          </cell>
          <cell r="B2556">
            <v>730069</v>
          </cell>
          <cell r="C2556" t="str">
            <v>CE</v>
          </cell>
          <cell r="D2556" t="str">
            <v>CEUTA</v>
          </cell>
          <cell r="E2556" t="str">
            <v>E</v>
          </cell>
          <cell r="F2556" t="str">
            <v>PAQ14a16</v>
          </cell>
          <cell r="G2556" t="str">
            <v>B</v>
          </cell>
          <cell r="H2556">
            <v>0</v>
          </cell>
        </row>
        <row r="2557">
          <cell r="A2557" t="str">
            <v>1;E;CE;B;PAQ16a18</v>
          </cell>
          <cell r="B2557">
            <v>730069</v>
          </cell>
          <cell r="C2557" t="str">
            <v>CE</v>
          </cell>
          <cell r="D2557" t="str">
            <v>CEUTA</v>
          </cell>
          <cell r="E2557" t="str">
            <v>E</v>
          </cell>
          <cell r="F2557" t="str">
            <v>PAQ16a18</v>
          </cell>
          <cell r="G2557" t="str">
            <v>B</v>
          </cell>
          <cell r="H2557">
            <v>0</v>
          </cell>
        </row>
        <row r="2558">
          <cell r="A2558" t="str">
            <v>1;E;CE;B;PAQ18a20</v>
          </cell>
          <cell r="B2558">
            <v>730069</v>
          </cell>
          <cell r="C2558" t="str">
            <v>CE</v>
          </cell>
          <cell r="D2558" t="str">
            <v>CEUTA</v>
          </cell>
          <cell r="E2558" t="str">
            <v>E</v>
          </cell>
          <cell r="F2558" t="str">
            <v>PAQ18a20</v>
          </cell>
          <cell r="G2558" t="str">
            <v>B</v>
          </cell>
          <cell r="H2558">
            <v>0</v>
          </cell>
        </row>
        <row r="2559">
          <cell r="A2559" t="str">
            <v>1;E;CE;B;PAQ20a22</v>
          </cell>
          <cell r="B2559">
            <v>730069</v>
          </cell>
          <cell r="C2559" t="str">
            <v>CE</v>
          </cell>
          <cell r="D2559" t="str">
            <v>CEUTA</v>
          </cell>
          <cell r="E2559" t="str">
            <v>E</v>
          </cell>
          <cell r="F2559" t="str">
            <v>PAQ20a22</v>
          </cell>
          <cell r="G2559" t="str">
            <v>B</v>
          </cell>
          <cell r="H2559">
            <v>0</v>
          </cell>
        </row>
        <row r="2560">
          <cell r="A2560" t="str">
            <v>1;E;CE;B;PAQ22a24</v>
          </cell>
          <cell r="B2560">
            <v>730069</v>
          </cell>
          <cell r="C2560" t="str">
            <v>CE</v>
          </cell>
          <cell r="D2560" t="str">
            <v>CEUTA</v>
          </cell>
          <cell r="E2560" t="str">
            <v>E</v>
          </cell>
          <cell r="F2560" t="str">
            <v>PAQ22a24</v>
          </cell>
          <cell r="G2560" t="str">
            <v>B</v>
          </cell>
          <cell r="H2560">
            <v>0</v>
          </cell>
        </row>
        <row r="2561">
          <cell r="A2561" t="str">
            <v>1;E;CE;B;PAQ24a26</v>
          </cell>
          <cell r="B2561">
            <v>730069</v>
          </cell>
          <cell r="C2561" t="str">
            <v>CE</v>
          </cell>
          <cell r="D2561" t="str">
            <v>CEUTA</v>
          </cell>
          <cell r="E2561" t="str">
            <v>E</v>
          </cell>
          <cell r="F2561" t="str">
            <v>PAQ24a26</v>
          </cell>
          <cell r="G2561" t="str">
            <v>B</v>
          </cell>
          <cell r="H2561">
            <v>0</v>
          </cell>
        </row>
        <row r="2562">
          <cell r="A2562" t="str">
            <v>1;E;CE;B;PAQ26a28</v>
          </cell>
          <cell r="B2562">
            <v>730069</v>
          </cell>
          <cell r="C2562" t="str">
            <v>CE</v>
          </cell>
          <cell r="D2562" t="str">
            <v>CEUTA</v>
          </cell>
          <cell r="E2562" t="str">
            <v>E</v>
          </cell>
          <cell r="F2562" t="str">
            <v>PAQ26a28</v>
          </cell>
          <cell r="G2562" t="str">
            <v>B</v>
          </cell>
          <cell r="H2562">
            <v>0</v>
          </cell>
        </row>
        <row r="2563">
          <cell r="A2563" t="str">
            <v>1;E;CE;B;PAQ28a30</v>
          </cell>
          <cell r="B2563">
            <v>730069</v>
          </cell>
          <cell r="C2563" t="str">
            <v>CE</v>
          </cell>
          <cell r="D2563" t="str">
            <v>CEUTA</v>
          </cell>
          <cell r="E2563" t="str">
            <v>E</v>
          </cell>
          <cell r="F2563" t="str">
            <v>PAQ28a30</v>
          </cell>
          <cell r="G2563" t="str">
            <v>B</v>
          </cell>
          <cell r="H2563">
            <v>0</v>
          </cell>
        </row>
        <row r="2564">
          <cell r="A2564" t="str">
            <v>1;E;CE;B;PAQ30a32</v>
          </cell>
          <cell r="B2564">
            <v>730069</v>
          </cell>
          <cell r="C2564" t="str">
            <v>CE</v>
          </cell>
          <cell r="D2564" t="str">
            <v>CEUTA</v>
          </cell>
          <cell r="E2564" t="str">
            <v>E</v>
          </cell>
          <cell r="F2564" t="str">
            <v>PAQ30a32</v>
          </cell>
          <cell r="G2564" t="str">
            <v>B</v>
          </cell>
          <cell r="H2564">
            <v>0</v>
          </cell>
        </row>
        <row r="2565">
          <cell r="A2565" t="str">
            <v>1;E;CE;B;PAQ32a34</v>
          </cell>
          <cell r="B2565">
            <v>730069</v>
          </cell>
          <cell r="C2565" t="str">
            <v>CE</v>
          </cell>
          <cell r="D2565" t="str">
            <v>CEUTA</v>
          </cell>
          <cell r="E2565" t="str">
            <v>E</v>
          </cell>
          <cell r="F2565" t="str">
            <v>PAQ32a34</v>
          </cell>
          <cell r="G2565" t="str">
            <v>B</v>
          </cell>
          <cell r="H2565">
            <v>0</v>
          </cell>
        </row>
        <row r="2566">
          <cell r="A2566" t="str">
            <v>1;E;CE;B;PAQ34a36</v>
          </cell>
          <cell r="B2566">
            <v>730069</v>
          </cell>
          <cell r="C2566" t="str">
            <v>CE</v>
          </cell>
          <cell r="D2566" t="str">
            <v>CEUTA</v>
          </cell>
          <cell r="E2566" t="str">
            <v>E</v>
          </cell>
          <cell r="F2566" t="str">
            <v>PAQ34a36</v>
          </cell>
          <cell r="G2566" t="str">
            <v>B</v>
          </cell>
          <cell r="H2566">
            <v>0</v>
          </cell>
        </row>
        <row r="2567">
          <cell r="A2567" t="str">
            <v>1;E;CE;B;PAQ36a38</v>
          </cell>
          <cell r="B2567">
            <v>730069</v>
          </cell>
          <cell r="C2567" t="str">
            <v>CE</v>
          </cell>
          <cell r="D2567" t="str">
            <v>CEUTA</v>
          </cell>
          <cell r="E2567" t="str">
            <v>E</v>
          </cell>
          <cell r="F2567" t="str">
            <v>PAQ36a38</v>
          </cell>
          <cell r="G2567" t="str">
            <v>B</v>
          </cell>
          <cell r="H2567">
            <v>0</v>
          </cell>
        </row>
        <row r="2568">
          <cell r="A2568" t="str">
            <v>1;E;CE;F;</v>
          </cell>
          <cell r="B2568">
            <v>730069</v>
          </cell>
          <cell r="C2568" t="str">
            <v>CE</v>
          </cell>
          <cell r="D2568" t="str">
            <v>CEUTA</v>
          </cell>
          <cell r="E2568" t="str">
            <v>E</v>
          </cell>
          <cell r="F2568" t="str">
            <v/>
          </cell>
          <cell r="G2568" t="str">
            <v>F</v>
          </cell>
          <cell r="H2568">
            <v>0</v>
          </cell>
        </row>
        <row r="2569">
          <cell r="A2569" t="str">
            <v>1;E;CE;B;PAQ38a40</v>
          </cell>
          <cell r="B2569">
            <v>730069</v>
          </cell>
          <cell r="C2569" t="str">
            <v>CE</v>
          </cell>
          <cell r="D2569" t="str">
            <v>CEUTA</v>
          </cell>
          <cell r="E2569" t="str">
            <v>E</v>
          </cell>
          <cell r="F2569" t="str">
            <v>PAQ38a40</v>
          </cell>
          <cell r="G2569" t="str">
            <v>B</v>
          </cell>
          <cell r="H2569">
            <v>0</v>
          </cell>
        </row>
        <row r="2570">
          <cell r="A2570" t="str">
            <v>1;E;CE;E;</v>
          </cell>
          <cell r="B2570">
            <v>730069</v>
          </cell>
          <cell r="C2570" t="str">
            <v>CE</v>
          </cell>
          <cell r="D2570" t="str">
            <v>CEUTA</v>
          </cell>
          <cell r="E2570" t="str">
            <v>E</v>
          </cell>
          <cell r="F2570" t="str">
            <v/>
          </cell>
          <cell r="G2570" t="str">
            <v>E</v>
          </cell>
          <cell r="H2570">
            <v>0</v>
          </cell>
        </row>
        <row r="2571">
          <cell r="A2571" t="str">
            <v>1;E;CE;P;</v>
          </cell>
          <cell r="B2571">
            <v>730069</v>
          </cell>
          <cell r="C2571" t="str">
            <v>CE</v>
          </cell>
          <cell r="D2571" t="str">
            <v>CEUTA</v>
          </cell>
          <cell r="E2571" t="str">
            <v>E</v>
          </cell>
          <cell r="F2571" t="str">
            <v/>
          </cell>
          <cell r="G2571" t="str">
            <v>P</v>
          </cell>
          <cell r="H2571">
            <v>0</v>
          </cell>
        </row>
        <row r="2572">
          <cell r="A2572" t="str">
            <v>1;F;CE;B;BAG</v>
          </cell>
          <cell r="B2572">
            <v>730069</v>
          </cell>
          <cell r="C2572" t="str">
            <v>CE</v>
          </cell>
          <cell r="D2572" t="str">
            <v>CEUTA</v>
          </cell>
          <cell r="E2572" t="str">
            <v>F</v>
          </cell>
          <cell r="F2572" t="str">
            <v>BAG</v>
          </cell>
          <cell r="G2572" t="str">
            <v>B</v>
          </cell>
          <cell r="H2572">
            <v>0</v>
          </cell>
        </row>
        <row r="2573">
          <cell r="A2573" t="str">
            <v>1;F;CE;B;PAQ00a02</v>
          </cell>
          <cell r="B2573">
            <v>730069</v>
          </cell>
          <cell r="C2573" t="str">
            <v>CE</v>
          </cell>
          <cell r="D2573" t="str">
            <v>CEUTA</v>
          </cell>
          <cell r="E2573" t="str">
            <v>F</v>
          </cell>
          <cell r="F2573" t="str">
            <v>PAQ00a02</v>
          </cell>
          <cell r="G2573" t="str">
            <v>B</v>
          </cell>
          <cell r="H2573">
            <v>0</v>
          </cell>
        </row>
        <row r="2574">
          <cell r="A2574" t="str">
            <v>1;F;CE;B;PAQ02a04</v>
          </cell>
          <cell r="B2574">
            <v>730069</v>
          </cell>
          <cell r="C2574" t="str">
            <v>CE</v>
          </cell>
          <cell r="D2574" t="str">
            <v>CEUTA</v>
          </cell>
          <cell r="E2574" t="str">
            <v>F</v>
          </cell>
          <cell r="F2574" t="str">
            <v>PAQ02a04</v>
          </cell>
          <cell r="G2574" t="str">
            <v>B</v>
          </cell>
          <cell r="H2574">
            <v>0</v>
          </cell>
        </row>
        <row r="2575">
          <cell r="A2575" t="str">
            <v>1;F;CE;B;PAQ04a06</v>
          </cell>
          <cell r="B2575">
            <v>730069</v>
          </cell>
          <cell r="C2575" t="str">
            <v>CE</v>
          </cell>
          <cell r="D2575" t="str">
            <v>CEUTA</v>
          </cell>
          <cell r="E2575" t="str">
            <v>F</v>
          </cell>
          <cell r="F2575" t="str">
            <v>PAQ04a06</v>
          </cell>
          <cell r="G2575" t="str">
            <v>B</v>
          </cell>
          <cell r="H2575">
            <v>0</v>
          </cell>
        </row>
        <row r="2576">
          <cell r="A2576" t="str">
            <v>1;F;CE;B;PAQ06a08</v>
          </cell>
          <cell r="B2576">
            <v>730069</v>
          </cell>
          <cell r="C2576" t="str">
            <v>CE</v>
          </cell>
          <cell r="D2576" t="str">
            <v>CEUTA</v>
          </cell>
          <cell r="E2576" t="str">
            <v>F</v>
          </cell>
          <cell r="F2576" t="str">
            <v>PAQ06a08</v>
          </cell>
          <cell r="G2576" t="str">
            <v>B</v>
          </cell>
          <cell r="H2576">
            <v>0</v>
          </cell>
        </row>
        <row r="2577">
          <cell r="A2577" t="str">
            <v>1;F;CE;B;PAQ08a10</v>
          </cell>
          <cell r="B2577">
            <v>730069</v>
          </cell>
          <cell r="C2577" t="str">
            <v>CE</v>
          </cell>
          <cell r="D2577" t="str">
            <v>CEUTA</v>
          </cell>
          <cell r="E2577" t="str">
            <v>F</v>
          </cell>
          <cell r="F2577" t="str">
            <v>PAQ08a10</v>
          </cell>
          <cell r="G2577" t="str">
            <v>B</v>
          </cell>
          <cell r="H2577">
            <v>0</v>
          </cell>
        </row>
        <row r="2578">
          <cell r="A2578" t="str">
            <v>1;F;CE;B;PAQ10a12</v>
          </cell>
          <cell r="B2578">
            <v>730069</v>
          </cell>
          <cell r="C2578" t="str">
            <v>CE</v>
          </cell>
          <cell r="D2578" t="str">
            <v>CEUTA</v>
          </cell>
          <cell r="E2578" t="str">
            <v>F</v>
          </cell>
          <cell r="F2578" t="str">
            <v>PAQ10a12</v>
          </cell>
          <cell r="G2578" t="str">
            <v>B</v>
          </cell>
          <cell r="H2578">
            <v>0</v>
          </cell>
        </row>
        <row r="2579">
          <cell r="A2579" t="str">
            <v>1;F;CE;B;PAQ12a14</v>
          </cell>
          <cell r="B2579">
            <v>730069</v>
          </cell>
          <cell r="C2579" t="str">
            <v>CE</v>
          </cell>
          <cell r="D2579" t="str">
            <v>CEUTA</v>
          </cell>
          <cell r="E2579" t="str">
            <v>F</v>
          </cell>
          <cell r="F2579" t="str">
            <v>PAQ12a14</v>
          </cell>
          <cell r="G2579" t="str">
            <v>B</v>
          </cell>
          <cell r="H2579">
            <v>0</v>
          </cell>
        </row>
        <row r="2580">
          <cell r="A2580" t="str">
            <v>1;F;CE;B;PAQ14a16</v>
          </cell>
          <cell r="B2580">
            <v>730069</v>
          </cell>
          <cell r="C2580" t="str">
            <v>CE</v>
          </cell>
          <cell r="D2580" t="str">
            <v>CEUTA</v>
          </cell>
          <cell r="E2580" t="str">
            <v>F</v>
          </cell>
          <cell r="F2580" t="str">
            <v>PAQ14a16</v>
          </cell>
          <cell r="G2580" t="str">
            <v>B</v>
          </cell>
          <cell r="H2580">
            <v>0</v>
          </cell>
        </row>
        <row r="2581">
          <cell r="A2581" t="str">
            <v>1;F;CE;B;PAQ16a18</v>
          </cell>
          <cell r="B2581">
            <v>730069</v>
          </cell>
          <cell r="C2581" t="str">
            <v>CE</v>
          </cell>
          <cell r="D2581" t="str">
            <v>CEUTA</v>
          </cell>
          <cell r="E2581" t="str">
            <v>F</v>
          </cell>
          <cell r="F2581" t="str">
            <v>PAQ16a18</v>
          </cell>
          <cell r="G2581" t="str">
            <v>B</v>
          </cell>
          <cell r="H2581">
            <v>0</v>
          </cell>
        </row>
        <row r="2582">
          <cell r="A2582" t="str">
            <v>1;F;CE;B;PAQ18a20</v>
          </cell>
          <cell r="B2582">
            <v>730069</v>
          </cell>
          <cell r="C2582" t="str">
            <v>CE</v>
          </cell>
          <cell r="D2582" t="str">
            <v>CEUTA</v>
          </cell>
          <cell r="E2582" t="str">
            <v>F</v>
          </cell>
          <cell r="F2582" t="str">
            <v>PAQ18a20</v>
          </cell>
          <cell r="G2582" t="str">
            <v>B</v>
          </cell>
          <cell r="H2582">
            <v>0</v>
          </cell>
        </row>
        <row r="2583">
          <cell r="A2583" t="str">
            <v>1;F;CE;B;PAQ20a22</v>
          </cell>
          <cell r="B2583">
            <v>730069</v>
          </cell>
          <cell r="C2583" t="str">
            <v>CE</v>
          </cell>
          <cell r="D2583" t="str">
            <v>CEUTA</v>
          </cell>
          <cell r="E2583" t="str">
            <v>F</v>
          </cell>
          <cell r="F2583" t="str">
            <v>PAQ20a22</v>
          </cell>
          <cell r="G2583" t="str">
            <v>B</v>
          </cell>
          <cell r="H2583">
            <v>0</v>
          </cell>
        </row>
        <row r="2584">
          <cell r="A2584" t="str">
            <v>1;F;CE;B;PAQ22a24</v>
          </cell>
          <cell r="B2584">
            <v>730069</v>
          </cell>
          <cell r="C2584" t="str">
            <v>CE</v>
          </cell>
          <cell r="D2584" t="str">
            <v>CEUTA</v>
          </cell>
          <cell r="E2584" t="str">
            <v>F</v>
          </cell>
          <cell r="F2584" t="str">
            <v>PAQ22a24</v>
          </cell>
          <cell r="G2584" t="str">
            <v>B</v>
          </cell>
          <cell r="H2584">
            <v>0</v>
          </cell>
        </row>
        <row r="2585">
          <cell r="A2585" t="str">
            <v>1;F;CE;B;PAQ24a26</v>
          </cell>
          <cell r="B2585">
            <v>730069</v>
          </cell>
          <cell r="C2585" t="str">
            <v>CE</v>
          </cell>
          <cell r="D2585" t="str">
            <v>CEUTA</v>
          </cell>
          <cell r="E2585" t="str">
            <v>F</v>
          </cell>
          <cell r="F2585" t="str">
            <v>PAQ24a26</v>
          </cell>
          <cell r="G2585" t="str">
            <v>B</v>
          </cell>
          <cell r="H2585">
            <v>0</v>
          </cell>
        </row>
        <row r="2586">
          <cell r="A2586" t="str">
            <v>1;F;CE;B;PAQ26a28</v>
          </cell>
          <cell r="B2586">
            <v>730069</v>
          </cell>
          <cell r="C2586" t="str">
            <v>CE</v>
          </cell>
          <cell r="D2586" t="str">
            <v>CEUTA</v>
          </cell>
          <cell r="E2586" t="str">
            <v>F</v>
          </cell>
          <cell r="F2586" t="str">
            <v>PAQ26a28</v>
          </cell>
          <cell r="G2586" t="str">
            <v>B</v>
          </cell>
          <cell r="H2586">
            <v>0</v>
          </cell>
        </row>
        <row r="2587">
          <cell r="A2587" t="str">
            <v>1;F;CE;B;PAQ28a30</v>
          </cell>
          <cell r="B2587">
            <v>730069</v>
          </cell>
          <cell r="C2587" t="str">
            <v>CE</v>
          </cell>
          <cell r="D2587" t="str">
            <v>CEUTA</v>
          </cell>
          <cell r="E2587" t="str">
            <v>F</v>
          </cell>
          <cell r="F2587" t="str">
            <v>PAQ28a30</v>
          </cell>
          <cell r="G2587" t="str">
            <v>B</v>
          </cell>
          <cell r="H2587">
            <v>0</v>
          </cell>
        </row>
        <row r="2588">
          <cell r="A2588" t="str">
            <v>1;F;CE;B;PAQ30a32</v>
          </cell>
          <cell r="B2588">
            <v>730069</v>
          </cell>
          <cell r="C2588" t="str">
            <v>CE</v>
          </cell>
          <cell r="D2588" t="str">
            <v>CEUTA</v>
          </cell>
          <cell r="E2588" t="str">
            <v>F</v>
          </cell>
          <cell r="F2588" t="str">
            <v>PAQ30a32</v>
          </cell>
          <cell r="G2588" t="str">
            <v>B</v>
          </cell>
          <cell r="H2588">
            <v>0</v>
          </cell>
        </row>
        <row r="2589">
          <cell r="A2589" t="str">
            <v>1;F;CE;B;PAQ32a34</v>
          </cell>
          <cell r="B2589">
            <v>730069</v>
          </cell>
          <cell r="C2589" t="str">
            <v>CE</v>
          </cell>
          <cell r="D2589" t="str">
            <v>CEUTA</v>
          </cell>
          <cell r="E2589" t="str">
            <v>F</v>
          </cell>
          <cell r="F2589" t="str">
            <v>PAQ32a34</v>
          </cell>
          <cell r="G2589" t="str">
            <v>B</v>
          </cell>
          <cell r="H2589">
            <v>0</v>
          </cell>
        </row>
        <row r="2590">
          <cell r="A2590" t="str">
            <v>1;F;CE;B;PAQ34a36</v>
          </cell>
          <cell r="B2590">
            <v>730069</v>
          </cell>
          <cell r="C2590" t="str">
            <v>CE</v>
          </cell>
          <cell r="D2590" t="str">
            <v>CEUTA</v>
          </cell>
          <cell r="E2590" t="str">
            <v>F</v>
          </cell>
          <cell r="F2590" t="str">
            <v>PAQ34a36</v>
          </cell>
          <cell r="G2590" t="str">
            <v>B</v>
          </cell>
          <cell r="H2590">
            <v>0</v>
          </cell>
        </row>
        <row r="2591">
          <cell r="A2591" t="str">
            <v>1;F;CE;B;PAQ36a38</v>
          </cell>
          <cell r="B2591">
            <v>730069</v>
          </cell>
          <cell r="C2591" t="str">
            <v>CE</v>
          </cell>
          <cell r="D2591" t="str">
            <v>CEUTA</v>
          </cell>
          <cell r="E2591" t="str">
            <v>F</v>
          </cell>
          <cell r="F2591" t="str">
            <v>PAQ36a38</v>
          </cell>
          <cell r="G2591" t="str">
            <v>B</v>
          </cell>
          <cell r="H2591">
            <v>0</v>
          </cell>
        </row>
        <row r="2592">
          <cell r="A2592" t="str">
            <v>1;F;CE;F;</v>
          </cell>
          <cell r="B2592">
            <v>730069</v>
          </cell>
          <cell r="C2592" t="str">
            <v>CE</v>
          </cell>
          <cell r="D2592" t="str">
            <v>CEUTA</v>
          </cell>
          <cell r="E2592" t="str">
            <v>F</v>
          </cell>
          <cell r="F2592" t="str">
            <v/>
          </cell>
          <cell r="G2592" t="str">
            <v>F</v>
          </cell>
          <cell r="H2592">
            <v>0</v>
          </cell>
        </row>
        <row r="2593">
          <cell r="A2593" t="str">
            <v>1;F;CE;B;PAQ38a40</v>
          </cell>
          <cell r="B2593">
            <v>730069</v>
          </cell>
          <cell r="C2593" t="str">
            <v>CE</v>
          </cell>
          <cell r="D2593" t="str">
            <v>CEUTA</v>
          </cell>
          <cell r="E2593" t="str">
            <v>F</v>
          </cell>
          <cell r="F2593" t="str">
            <v>PAQ38a40</v>
          </cell>
          <cell r="G2593" t="str">
            <v>B</v>
          </cell>
          <cell r="H2593">
            <v>0</v>
          </cell>
        </row>
        <row r="2594">
          <cell r="A2594" t="str">
            <v>1;F;CE;E;</v>
          </cell>
          <cell r="B2594">
            <v>730069</v>
          </cell>
          <cell r="C2594" t="str">
            <v>CE</v>
          </cell>
          <cell r="D2594" t="str">
            <v>CEUTA</v>
          </cell>
          <cell r="E2594" t="str">
            <v>F</v>
          </cell>
          <cell r="F2594" t="str">
            <v/>
          </cell>
          <cell r="G2594" t="str">
            <v>E</v>
          </cell>
          <cell r="H2594">
            <v>0</v>
          </cell>
        </row>
        <row r="2595">
          <cell r="A2595" t="str">
            <v>1;F;CE;P;</v>
          </cell>
          <cell r="B2595">
            <v>730069</v>
          </cell>
          <cell r="C2595" t="str">
            <v>CE</v>
          </cell>
          <cell r="D2595" t="str">
            <v>CEUTA</v>
          </cell>
          <cell r="E2595" t="str">
            <v>F</v>
          </cell>
          <cell r="F2595" t="str">
            <v/>
          </cell>
          <cell r="G2595" t="str">
            <v>P</v>
          </cell>
          <cell r="H2595">
            <v>0</v>
          </cell>
        </row>
        <row r="2596">
          <cell r="A2596" t="str">
            <v>1;G;CE;B;BAG</v>
          </cell>
          <cell r="B2596">
            <v>730069</v>
          </cell>
          <cell r="C2596" t="str">
            <v>CE</v>
          </cell>
          <cell r="D2596" t="str">
            <v>CEUTA</v>
          </cell>
          <cell r="E2596" t="str">
            <v>G</v>
          </cell>
          <cell r="F2596" t="str">
            <v>BAG</v>
          </cell>
          <cell r="G2596" t="str">
            <v>B</v>
          </cell>
          <cell r="H2596">
            <v>0</v>
          </cell>
        </row>
        <row r="2597">
          <cell r="A2597" t="str">
            <v>1;G;CE;B;PAQ00a02</v>
          </cell>
          <cell r="B2597">
            <v>730069</v>
          </cell>
          <cell r="C2597" t="str">
            <v>CE</v>
          </cell>
          <cell r="D2597" t="str">
            <v>CEUTA</v>
          </cell>
          <cell r="E2597" t="str">
            <v>G</v>
          </cell>
          <cell r="F2597" t="str">
            <v>PAQ00a02</v>
          </cell>
          <cell r="G2597" t="str">
            <v>B</v>
          </cell>
          <cell r="H2597">
            <v>0</v>
          </cell>
        </row>
        <row r="2598">
          <cell r="A2598" t="str">
            <v>1;G;CE;B;PAQ02a04</v>
          </cell>
          <cell r="B2598">
            <v>730069</v>
          </cell>
          <cell r="C2598" t="str">
            <v>CE</v>
          </cell>
          <cell r="D2598" t="str">
            <v>CEUTA</v>
          </cell>
          <cell r="E2598" t="str">
            <v>G</v>
          </cell>
          <cell r="F2598" t="str">
            <v>PAQ02a04</v>
          </cell>
          <cell r="G2598" t="str">
            <v>B</v>
          </cell>
          <cell r="H2598">
            <v>0</v>
          </cell>
        </row>
        <row r="2599">
          <cell r="A2599" t="str">
            <v>1;G;CE;B;PAQ04a06</v>
          </cell>
          <cell r="B2599">
            <v>730069</v>
          </cell>
          <cell r="C2599" t="str">
            <v>CE</v>
          </cell>
          <cell r="D2599" t="str">
            <v>CEUTA</v>
          </cell>
          <cell r="E2599" t="str">
            <v>G</v>
          </cell>
          <cell r="F2599" t="str">
            <v>PAQ04a06</v>
          </cell>
          <cell r="G2599" t="str">
            <v>B</v>
          </cell>
          <cell r="H2599">
            <v>0</v>
          </cell>
        </row>
        <row r="2600">
          <cell r="A2600" t="str">
            <v>1;G;CE;B;PAQ06a08</v>
          </cell>
          <cell r="B2600">
            <v>730069</v>
          </cell>
          <cell r="C2600" t="str">
            <v>CE</v>
          </cell>
          <cell r="D2600" t="str">
            <v>CEUTA</v>
          </cell>
          <cell r="E2600" t="str">
            <v>G</v>
          </cell>
          <cell r="F2600" t="str">
            <v>PAQ06a08</v>
          </cell>
          <cell r="G2600" t="str">
            <v>B</v>
          </cell>
          <cell r="H2600">
            <v>0</v>
          </cell>
        </row>
        <row r="2601">
          <cell r="A2601" t="str">
            <v>1;G;CE;B;PAQ08a10</v>
          </cell>
          <cell r="B2601">
            <v>730069</v>
          </cell>
          <cell r="C2601" t="str">
            <v>CE</v>
          </cell>
          <cell r="D2601" t="str">
            <v>CEUTA</v>
          </cell>
          <cell r="E2601" t="str">
            <v>G</v>
          </cell>
          <cell r="F2601" t="str">
            <v>PAQ08a10</v>
          </cell>
          <cell r="G2601" t="str">
            <v>B</v>
          </cell>
          <cell r="H2601">
            <v>0</v>
          </cell>
        </row>
        <row r="2602">
          <cell r="A2602" t="str">
            <v>1;G;CE;B;PAQ10a12</v>
          </cell>
          <cell r="B2602">
            <v>730069</v>
          </cell>
          <cell r="C2602" t="str">
            <v>CE</v>
          </cell>
          <cell r="D2602" t="str">
            <v>CEUTA</v>
          </cell>
          <cell r="E2602" t="str">
            <v>G</v>
          </cell>
          <cell r="F2602" t="str">
            <v>PAQ10a12</v>
          </cell>
          <cell r="G2602" t="str">
            <v>B</v>
          </cell>
          <cell r="H2602">
            <v>0</v>
          </cell>
        </row>
        <row r="2603">
          <cell r="A2603" t="str">
            <v>1;G;CE;B;PAQ12a14</v>
          </cell>
          <cell r="B2603">
            <v>730069</v>
          </cell>
          <cell r="C2603" t="str">
            <v>CE</v>
          </cell>
          <cell r="D2603" t="str">
            <v>CEUTA</v>
          </cell>
          <cell r="E2603" t="str">
            <v>G</v>
          </cell>
          <cell r="F2603" t="str">
            <v>PAQ12a14</v>
          </cell>
          <cell r="G2603" t="str">
            <v>B</v>
          </cell>
          <cell r="H2603">
            <v>0</v>
          </cell>
        </row>
        <row r="2604">
          <cell r="A2604" t="str">
            <v>1;G;CE;B;PAQ14a16</v>
          </cell>
          <cell r="B2604">
            <v>730069</v>
          </cell>
          <cell r="C2604" t="str">
            <v>CE</v>
          </cell>
          <cell r="D2604" t="str">
            <v>CEUTA</v>
          </cell>
          <cell r="E2604" t="str">
            <v>G</v>
          </cell>
          <cell r="F2604" t="str">
            <v>PAQ14a16</v>
          </cell>
          <cell r="G2604" t="str">
            <v>B</v>
          </cell>
          <cell r="H2604">
            <v>0</v>
          </cell>
        </row>
        <row r="2605">
          <cell r="A2605" t="str">
            <v>1;G;CE;B;PAQ16a18</v>
          </cell>
          <cell r="B2605">
            <v>730069</v>
          </cell>
          <cell r="C2605" t="str">
            <v>CE</v>
          </cell>
          <cell r="D2605" t="str">
            <v>CEUTA</v>
          </cell>
          <cell r="E2605" t="str">
            <v>G</v>
          </cell>
          <cell r="F2605" t="str">
            <v>PAQ16a18</v>
          </cell>
          <cell r="G2605" t="str">
            <v>B</v>
          </cell>
          <cell r="H2605">
            <v>0</v>
          </cell>
        </row>
        <row r="2606">
          <cell r="A2606" t="str">
            <v>1;G;CE;B;PAQ18a20</v>
          </cell>
          <cell r="B2606">
            <v>730069</v>
          </cell>
          <cell r="C2606" t="str">
            <v>CE</v>
          </cell>
          <cell r="D2606" t="str">
            <v>CEUTA</v>
          </cell>
          <cell r="E2606" t="str">
            <v>G</v>
          </cell>
          <cell r="F2606" t="str">
            <v>PAQ18a20</v>
          </cell>
          <cell r="G2606" t="str">
            <v>B</v>
          </cell>
          <cell r="H2606">
            <v>0</v>
          </cell>
        </row>
        <row r="2607">
          <cell r="A2607" t="str">
            <v>1;G;CE;B;PAQ20a22</v>
          </cell>
          <cell r="B2607">
            <v>730069</v>
          </cell>
          <cell r="C2607" t="str">
            <v>CE</v>
          </cell>
          <cell r="D2607" t="str">
            <v>CEUTA</v>
          </cell>
          <cell r="E2607" t="str">
            <v>G</v>
          </cell>
          <cell r="F2607" t="str">
            <v>PAQ20a22</v>
          </cell>
          <cell r="G2607" t="str">
            <v>B</v>
          </cell>
          <cell r="H2607">
            <v>0</v>
          </cell>
        </row>
        <row r="2608">
          <cell r="A2608" t="str">
            <v>1;G;CE;B;PAQ22a24</v>
          </cell>
          <cell r="B2608">
            <v>730069</v>
          </cell>
          <cell r="C2608" t="str">
            <v>CE</v>
          </cell>
          <cell r="D2608" t="str">
            <v>CEUTA</v>
          </cell>
          <cell r="E2608" t="str">
            <v>G</v>
          </cell>
          <cell r="F2608" t="str">
            <v>PAQ22a24</v>
          </cell>
          <cell r="G2608" t="str">
            <v>B</v>
          </cell>
          <cell r="H2608">
            <v>0</v>
          </cell>
        </row>
        <row r="2609">
          <cell r="A2609" t="str">
            <v>1;G;CE;B;PAQ24a26</v>
          </cell>
          <cell r="B2609">
            <v>730069</v>
          </cell>
          <cell r="C2609" t="str">
            <v>CE</v>
          </cell>
          <cell r="D2609" t="str">
            <v>CEUTA</v>
          </cell>
          <cell r="E2609" t="str">
            <v>G</v>
          </cell>
          <cell r="F2609" t="str">
            <v>PAQ24a26</v>
          </cell>
          <cell r="G2609" t="str">
            <v>B</v>
          </cell>
          <cell r="H2609">
            <v>0</v>
          </cell>
        </row>
        <row r="2610">
          <cell r="A2610" t="str">
            <v>1;G;CE;B;PAQ26a28</v>
          </cell>
          <cell r="B2610">
            <v>730069</v>
          </cell>
          <cell r="C2610" t="str">
            <v>CE</v>
          </cell>
          <cell r="D2610" t="str">
            <v>CEUTA</v>
          </cell>
          <cell r="E2610" t="str">
            <v>G</v>
          </cell>
          <cell r="F2610" t="str">
            <v>PAQ26a28</v>
          </cell>
          <cell r="G2610" t="str">
            <v>B</v>
          </cell>
          <cell r="H2610">
            <v>0</v>
          </cell>
        </row>
        <row r="2611">
          <cell r="A2611" t="str">
            <v>1;G;CE;B;PAQ28a30</v>
          </cell>
          <cell r="B2611">
            <v>730069</v>
          </cell>
          <cell r="C2611" t="str">
            <v>CE</v>
          </cell>
          <cell r="D2611" t="str">
            <v>CEUTA</v>
          </cell>
          <cell r="E2611" t="str">
            <v>G</v>
          </cell>
          <cell r="F2611" t="str">
            <v>PAQ28a30</v>
          </cell>
          <cell r="G2611" t="str">
            <v>B</v>
          </cell>
          <cell r="H2611">
            <v>0</v>
          </cell>
        </row>
        <row r="2612">
          <cell r="A2612" t="str">
            <v>1;G;CE;B;PAQ30a32</v>
          </cell>
          <cell r="B2612">
            <v>730069</v>
          </cell>
          <cell r="C2612" t="str">
            <v>CE</v>
          </cell>
          <cell r="D2612" t="str">
            <v>CEUTA</v>
          </cell>
          <cell r="E2612" t="str">
            <v>G</v>
          </cell>
          <cell r="F2612" t="str">
            <v>PAQ30a32</v>
          </cell>
          <cell r="G2612" t="str">
            <v>B</v>
          </cell>
          <cell r="H2612">
            <v>0</v>
          </cell>
        </row>
        <row r="2613">
          <cell r="A2613" t="str">
            <v>1;G;CE;B;PAQ32a34</v>
          </cell>
          <cell r="B2613">
            <v>730069</v>
          </cell>
          <cell r="C2613" t="str">
            <v>CE</v>
          </cell>
          <cell r="D2613" t="str">
            <v>CEUTA</v>
          </cell>
          <cell r="E2613" t="str">
            <v>G</v>
          </cell>
          <cell r="F2613" t="str">
            <v>PAQ32a34</v>
          </cell>
          <cell r="G2613" t="str">
            <v>B</v>
          </cell>
          <cell r="H2613">
            <v>0</v>
          </cell>
        </row>
        <row r="2614">
          <cell r="A2614" t="str">
            <v>1;G;CE;B;PAQ34a36</v>
          </cell>
          <cell r="B2614">
            <v>730069</v>
          </cell>
          <cell r="C2614" t="str">
            <v>CE</v>
          </cell>
          <cell r="D2614" t="str">
            <v>CEUTA</v>
          </cell>
          <cell r="E2614" t="str">
            <v>G</v>
          </cell>
          <cell r="F2614" t="str">
            <v>PAQ34a36</v>
          </cell>
          <cell r="G2614" t="str">
            <v>B</v>
          </cell>
          <cell r="H2614">
            <v>0</v>
          </cell>
        </row>
        <row r="2615">
          <cell r="A2615" t="str">
            <v>1;G;CE;B;PAQ36a38</v>
          </cell>
          <cell r="B2615">
            <v>730069</v>
          </cell>
          <cell r="C2615" t="str">
            <v>CE</v>
          </cell>
          <cell r="D2615" t="str">
            <v>CEUTA</v>
          </cell>
          <cell r="E2615" t="str">
            <v>G</v>
          </cell>
          <cell r="F2615" t="str">
            <v>PAQ36a38</v>
          </cell>
          <cell r="G2615" t="str">
            <v>B</v>
          </cell>
          <cell r="H2615">
            <v>0</v>
          </cell>
        </row>
        <row r="2616">
          <cell r="A2616" t="str">
            <v>1;G;CE;F;</v>
          </cell>
          <cell r="B2616">
            <v>730069</v>
          </cell>
          <cell r="C2616" t="str">
            <v>CE</v>
          </cell>
          <cell r="D2616" t="str">
            <v>CEUTA</v>
          </cell>
          <cell r="E2616" t="str">
            <v>G</v>
          </cell>
          <cell r="F2616" t="str">
            <v/>
          </cell>
          <cell r="G2616" t="str">
            <v>F</v>
          </cell>
          <cell r="H2616">
            <v>0</v>
          </cell>
        </row>
        <row r="2617">
          <cell r="A2617" t="str">
            <v>1;G;CE;B;PAQ38a40</v>
          </cell>
          <cell r="B2617">
            <v>730069</v>
          </cell>
          <cell r="C2617" t="str">
            <v>CE</v>
          </cell>
          <cell r="D2617" t="str">
            <v>CEUTA</v>
          </cell>
          <cell r="E2617" t="str">
            <v>G</v>
          </cell>
          <cell r="F2617" t="str">
            <v>PAQ38a40</v>
          </cell>
          <cell r="G2617" t="str">
            <v>B</v>
          </cell>
          <cell r="H2617">
            <v>0</v>
          </cell>
        </row>
        <row r="2618">
          <cell r="A2618" t="str">
            <v>1;G;CE;E;</v>
          </cell>
          <cell r="B2618">
            <v>730069</v>
          </cell>
          <cell r="C2618" t="str">
            <v>CE</v>
          </cell>
          <cell r="D2618" t="str">
            <v>CEUTA</v>
          </cell>
          <cell r="E2618" t="str">
            <v>G</v>
          </cell>
          <cell r="F2618" t="str">
            <v/>
          </cell>
          <cell r="G2618" t="str">
            <v>E</v>
          </cell>
          <cell r="H2618">
            <v>0</v>
          </cell>
        </row>
        <row r="2619">
          <cell r="A2619" t="str">
            <v>1;G;CE;P;</v>
          </cell>
          <cell r="B2619">
            <v>730069</v>
          </cell>
          <cell r="C2619" t="str">
            <v>CE</v>
          </cell>
          <cell r="D2619" t="str">
            <v>CEUTA</v>
          </cell>
          <cell r="E2619" t="str">
            <v>G</v>
          </cell>
          <cell r="F2619" t="str">
            <v/>
          </cell>
          <cell r="G2619" t="str">
            <v>P</v>
          </cell>
          <cell r="H2619">
            <v>0</v>
          </cell>
        </row>
        <row r="2620">
          <cell r="A2620" t="str">
            <v>1;01;CE;B;BAG</v>
          </cell>
          <cell r="B2620">
            <v>730069</v>
          </cell>
          <cell r="C2620" t="str">
            <v>CE</v>
          </cell>
          <cell r="D2620" t="str">
            <v>CEUTA</v>
          </cell>
          <cell r="E2620" t="str">
            <v>01</v>
          </cell>
          <cell r="F2620" t="str">
            <v>BAG</v>
          </cell>
          <cell r="G2620" t="str">
            <v>B</v>
          </cell>
          <cell r="H2620">
            <v>21.55</v>
          </cell>
        </row>
        <row r="2621">
          <cell r="A2621" t="str">
            <v>1;01;CE;B;DOCS</v>
          </cell>
          <cell r="B2621">
            <v>730069</v>
          </cell>
          <cell r="C2621" t="str">
            <v>CE</v>
          </cell>
          <cell r="D2621" t="str">
            <v>CEUTA</v>
          </cell>
          <cell r="E2621" t="str">
            <v>01</v>
          </cell>
          <cell r="F2621" t="str">
            <v>DOCS</v>
          </cell>
          <cell r="G2621" t="str">
            <v>B</v>
          </cell>
          <cell r="H2621">
            <v>14.2</v>
          </cell>
        </row>
        <row r="2622">
          <cell r="A2622" t="str">
            <v>1;01;CE;B;PAQ00a02</v>
          </cell>
          <cell r="B2622">
            <v>730069</v>
          </cell>
          <cell r="C2622" t="str">
            <v>CE</v>
          </cell>
          <cell r="D2622" t="str">
            <v>CEUTA</v>
          </cell>
          <cell r="E2622" t="str">
            <v>01</v>
          </cell>
          <cell r="F2622" t="str">
            <v>PAQ00a02</v>
          </cell>
          <cell r="G2622" t="str">
            <v>B</v>
          </cell>
          <cell r="H2622">
            <v>25.16</v>
          </cell>
        </row>
        <row r="2623">
          <cell r="A2623" t="str">
            <v>1;01;CE;B;PAQ02a04</v>
          </cell>
          <cell r="B2623">
            <v>730069</v>
          </cell>
          <cell r="C2623" t="str">
            <v>CE</v>
          </cell>
          <cell r="D2623" t="str">
            <v>CEUTA</v>
          </cell>
          <cell r="E2623" t="str">
            <v>01</v>
          </cell>
          <cell r="F2623" t="str">
            <v>PAQ02a04</v>
          </cell>
          <cell r="G2623" t="str">
            <v>B</v>
          </cell>
          <cell r="H2623">
            <v>42.04</v>
          </cell>
        </row>
        <row r="2624">
          <cell r="A2624" t="str">
            <v>1;01;CE;B;PAQ04a06</v>
          </cell>
          <cell r="B2624">
            <v>730069</v>
          </cell>
          <cell r="C2624" t="str">
            <v>CE</v>
          </cell>
          <cell r="D2624" t="str">
            <v>CEUTA</v>
          </cell>
          <cell r="E2624" t="str">
            <v>01</v>
          </cell>
          <cell r="F2624" t="str">
            <v>PAQ04a06</v>
          </cell>
          <cell r="G2624" t="str">
            <v>B</v>
          </cell>
          <cell r="H2624">
            <v>62.04</v>
          </cell>
        </row>
        <row r="2625">
          <cell r="A2625" t="str">
            <v>1;01;CE;B;PAQ06a08</v>
          </cell>
          <cell r="B2625">
            <v>730069</v>
          </cell>
          <cell r="C2625" t="str">
            <v>CE</v>
          </cell>
          <cell r="D2625" t="str">
            <v>CEUTA</v>
          </cell>
          <cell r="E2625" t="str">
            <v>01</v>
          </cell>
          <cell r="F2625" t="str">
            <v>PAQ06a08</v>
          </cell>
          <cell r="G2625" t="str">
            <v>B</v>
          </cell>
          <cell r="H2625">
            <v>82.06</v>
          </cell>
        </row>
        <row r="2626">
          <cell r="A2626" t="str">
            <v>1;01;CE;B;PAQ08a10</v>
          </cell>
          <cell r="B2626">
            <v>730069</v>
          </cell>
          <cell r="C2626" t="str">
            <v>CE</v>
          </cell>
          <cell r="D2626" t="str">
            <v>CEUTA</v>
          </cell>
          <cell r="E2626" t="str">
            <v>01</v>
          </cell>
          <cell r="F2626" t="str">
            <v>PAQ08a10</v>
          </cell>
          <cell r="G2626" t="str">
            <v>B</v>
          </cell>
          <cell r="H2626">
            <v>102.07</v>
          </cell>
        </row>
        <row r="2627">
          <cell r="A2627" t="str">
            <v>1;01;CE;B;PAQ10a12</v>
          </cell>
          <cell r="B2627">
            <v>730069</v>
          </cell>
          <cell r="C2627" t="str">
            <v>CE</v>
          </cell>
          <cell r="D2627" t="str">
            <v>CEUTA</v>
          </cell>
          <cell r="E2627" t="str">
            <v>01</v>
          </cell>
          <cell r="F2627" t="str">
            <v>PAQ10a12</v>
          </cell>
          <cell r="G2627" t="str">
            <v>B</v>
          </cell>
          <cell r="H2627">
            <v>122.08</v>
          </cell>
        </row>
        <row r="2628">
          <cell r="A2628" t="str">
            <v>1;01;CE;B;PAQ12a14</v>
          </cell>
          <cell r="B2628">
            <v>730069</v>
          </cell>
          <cell r="C2628" t="str">
            <v>CE</v>
          </cell>
          <cell r="D2628" t="str">
            <v>CEUTA</v>
          </cell>
          <cell r="E2628" t="str">
            <v>01</v>
          </cell>
          <cell r="F2628" t="str">
            <v>PAQ12a14</v>
          </cell>
          <cell r="G2628" t="str">
            <v>B</v>
          </cell>
          <cell r="H2628">
            <v>142.09</v>
          </cell>
        </row>
        <row r="2629">
          <cell r="A2629" t="str">
            <v>1;01;CE;B;PAQ14a16</v>
          </cell>
          <cell r="B2629">
            <v>730069</v>
          </cell>
          <cell r="C2629" t="str">
            <v>CE</v>
          </cell>
          <cell r="D2629" t="str">
            <v>CEUTA</v>
          </cell>
          <cell r="E2629" t="str">
            <v>01</v>
          </cell>
          <cell r="F2629" t="str">
            <v>PAQ14a16</v>
          </cell>
          <cell r="G2629" t="str">
            <v>B</v>
          </cell>
          <cell r="H2629">
            <v>162.1</v>
          </cell>
        </row>
        <row r="2630">
          <cell r="A2630" t="str">
            <v>1;01;CE;B;PAQ16a18</v>
          </cell>
          <cell r="B2630">
            <v>730069</v>
          </cell>
          <cell r="C2630" t="str">
            <v>CE</v>
          </cell>
          <cell r="D2630" t="str">
            <v>CEUTA</v>
          </cell>
          <cell r="E2630" t="str">
            <v>01</v>
          </cell>
          <cell r="F2630" t="str">
            <v>PAQ16a18</v>
          </cell>
          <cell r="G2630" t="str">
            <v>B</v>
          </cell>
          <cell r="H2630">
            <v>182.11</v>
          </cell>
        </row>
        <row r="2631">
          <cell r="A2631" t="str">
            <v>1;01;CE;B;PAQ18a20</v>
          </cell>
          <cell r="B2631">
            <v>730069</v>
          </cell>
          <cell r="C2631" t="str">
            <v>CE</v>
          </cell>
          <cell r="D2631" t="str">
            <v>CEUTA</v>
          </cell>
          <cell r="E2631" t="str">
            <v>01</v>
          </cell>
          <cell r="F2631" t="str">
            <v>PAQ18a20</v>
          </cell>
          <cell r="G2631" t="str">
            <v>B</v>
          </cell>
          <cell r="H2631">
            <v>202.13</v>
          </cell>
        </row>
        <row r="2632">
          <cell r="A2632" t="str">
            <v>1;01;CE;B;PAQ20a22</v>
          </cell>
          <cell r="B2632">
            <v>730069</v>
          </cell>
          <cell r="C2632" t="str">
            <v>CE</v>
          </cell>
          <cell r="D2632" t="str">
            <v>CEUTA</v>
          </cell>
          <cell r="E2632" t="str">
            <v>01</v>
          </cell>
          <cell r="F2632" t="str">
            <v>PAQ20a22</v>
          </cell>
          <cell r="G2632" t="str">
            <v>B</v>
          </cell>
          <cell r="H2632">
            <v>222.13</v>
          </cell>
        </row>
        <row r="2633">
          <cell r="A2633" t="str">
            <v>1;01;CE;B;PAQ22a24</v>
          </cell>
          <cell r="B2633">
            <v>730069</v>
          </cell>
          <cell r="C2633" t="str">
            <v>CE</v>
          </cell>
          <cell r="D2633" t="str">
            <v>CEUTA</v>
          </cell>
          <cell r="E2633" t="str">
            <v>01</v>
          </cell>
          <cell r="F2633" t="str">
            <v>PAQ22a24</v>
          </cell>
          <cell r="G2633" t="str">
            <v>B</v>
          </cell>
          <cell r="H2633">
            <v>242.14</v>
          </cell>
        </row>
        <row r="2634">
          <cell r="A2634" t="str">
            <v>1;01;CE;B;PAQ24a26</v>
          </cell>
          <cell r="B2634">
            <v>730069</v>
          </cell>
          <cell r="C2634" t="str">
            <v>CE</v>
          </cell>
          <cell r="D2634" t="str">
            <v>CEUTA</v>
          </cell>
          <cell r="E2634" t="str">
            <v>01</v>
          </cell>
          <cell r="F2634" t="str">
            <v>PAQ24a26</v>
          </cell>
          <cell r="G2634" t="str">
            <v>B</v>
          </cell>
          <cell r="H2634">
            <v>262.14999999999998</v>
          </cell>
        </row>
        <row r="2635">
          <cell r="A2635" t="str">
            <v>1;01;CE;B;PAQ26a28</v>
          </cell>
          <cell r="B2635">
            <v>730069</v>
          </cell>
          <cell r="C2635" t="str">
            <v>CE</v>
          </cell>
          <cell r="D2635" t="str">
            <v>CEUTA</v>
          </cell>
          <cell r="E2635" t="str">
            <v>01</v>
          </cell>
          <cell r="F2635" t="str">
            <v>PAQ26a28</v>
          </cell>
          <cell r="G2635" t="str">
            <v>B</v>
          </cell>
          <cell r="H2635">
            <v>282.17</v>
          </cell>
        </row>
        <row r="2636">
          <cell r="A2636" t="str">
            <v>1;01;CE;B;PAQ28a30</v>
          </cell>
          <cell r="B2636">
            <v>730069</v>
          </cell>
          <cell r="C2636" t="str">
            <v>CE</v>
          </cell>
          <cell r="D2636" t="str">
            <v>CEUTA</v>
          </cell>
          <cell r="E2636" t="str">
            <v>01</v>
          </cell>
          <cell r="F2636" t="str">
            <v>PAQ28a30</v>
          </cell>
          <cell r="G2636" t="str">
            <v>B</v>
          </cell>
          <cell r="H2636">
            <v>302.17</v>
          </cell>
        </row>
        <row r="2637">
          <cell r="A2637" t="str">
            <v>1;01;CE;B;PAQ30a32</v>
          </cell>
          <cell r="B2637">
            <v>730069</v>
          </cell>
          <cell r="C2637" t="str">
            <v>CE</v>
          </cell>
          <cell r="D2637" t="str">
            <v>CEUTA</v>
          </cell>
          <cell r="E2637" t="str">
            <v>01</v>
          </cell>
          <cell r="F2637" t="str">
            <v>PAQ30a32</v>
          </cell>
          <cell r="G2637" t="str">
            <v>B</v>
          </cell>
          <cell r="H2637">
            <v>322.18</v>
          </cell>
        </row>
        <row r="2638">
          <cell r="A2638" t="str">
            <v>1;01;CE;B;PAQ32a34</v>
          </cell>
          <cell r="B2638">
            <v>730069</v>
          </cell>
          <cell r="C2638" t="str">
            <v>CE</v>
          </cell>
          <cell r="D2638" t="str">
            <v>CEUTA</v>
          </cell>
          <cell r="E2638" t="str">
            <v>01</v>
          </cell>
          <cell r="F2638" t="str">
            <v>PAQ32a34</v>
          </cell>
          <cell r="G2638" t="str">
            <v>B</v>
          </cell>
          <cell r="H2638">
            <v>342.2</v>
          </cell>
        </row>
        <row r="2639">
          <cell r="A2639" t="str">
            <v>1;01;CE;B;PAQ34a36</v>
          </cell>
          <cell r="B2639">
            <v>730069</v>
          </cell>
          <cell r="C2639" t="str">
            <v>CE</v>
          </cell>
          <cell r="D2639" t="str">
            <v>CEUTA</v>
          </cell>
          <cell r="E2639" t="str">
            <v>01</v>
          </cell>
          <cell r="F2639" t="str">
            <v>PAQ34a36</v>
          </cell>
          <cell r="G2639" t="str">
            <v>B</v>
          </cell>
          <cell r="H2639">
            <v>362.21</v>
          </cell>
        </row>
        <row r="2640">
          <cell r="A2640" t="str">
            <v>1;01;CE;B;PAQ36a38</v>
          </cell>
          <cell r="B2640">
            <v>730069</v>
          </cell>
          <cell r="C2640" t="str">
            <v>CE</v>
          </cell>
          <cell r="D2640" t="str">
            <v>CEUTA</v>
          </cell>
          <cell r="E2640" t="str">
            <v>01</v>
          </cell>
          <cell r="F2640" t="str">
            <v>PAQ36a38</v>
          </cell>
          <cell r="G2640" t="str">
            <v>B</v>
          </cell>
          <cell r="H2640">
            <v>382.21</v>
          </cell>
        </row>
        <row r="2641">
          <cell r="A2641" t="str">
            <v>1;01;CE;F;</v>
          </cell>
          <cell r="B2641">
            <v>730069</v>
          </cell>
          <cell r="C2641" t="str">
            <v>CE</v>
          </cell>
          <cell r="D2641" t="str">
            <v>CEUTA</v>
          </cell>
          <cell r="E2641" t="str">
            <v>01</v>
          </cell>
          <cell r="F2641" t="str">
            <v/>
          </cell>
          <cell r="G2641" t="str">
            <v>F</v>
          </cell>
          <cell r="H2641">
            <v>20.010000000000002</v>
          </cell>
        </row>
        <row r="2642">
          <cell r="A2642" t="str">
            <v>1;01;CE;B;PAQ38a40</v>
          </cell>
          <cell r="B2642">
            <v>730069</v>
          </cell>
          <cell r="C2642" t="str">
            <v>CE</v>
          </cell>
          <cell r="D2642" t="str">
            <v>CEUTA</v>
          </cell>
          <cell r="E2642" t="str">
            <v>01</v>
          </cell>
          <cell r="F2642" t="str">
            <v>PAQ38a40</v>
          </cell>
          <cell r="G2642" t="str">
            <v>B</v>
          </cell>
          <cell r="H2642">
            <v>402.22</v>
          </cell>
        </row>
        <row r="2643">
          <cell r="A2643" t="str">
            <v>1;01;CE;E;</v>
          </cell>
          <cell r="B2643">
            <v>730069</v>
          </cell>
          <cell r="C2643" t="str">
            <v>CE</v>
          </cell>
          <cell r="D2643" t="str">
            <v>CEUTA</v>
          </cell>
          <cell r="E2643" t="str">
            <v>01</v>
          </cell>
          <cell r="F2643" t="str">
            <v/>
          </cell>
          <cell r="G2643" t="str">
            <v>E</v>
          </cell>
          <cell r="H2643">
            <v>0</v>
          </cell>
        </row>
        <row r="2644">
          <cell r="A2644" t="str">
            <v>1;01;CE;P;</v>
          </cell>
          <cell r="B2644">
            <v>730069</v>
          </cell>
          <cell r="C2644" t="str">
            <v>CE</v>
          </cell>
          <cell r="D2644" t="str">
            <v>CEUTA</v>
          </cell>
          <cell r="E2644" t="str">
            <v>01</v>
          </cell>
          <cell r="F2644" t="str">
            <v/>
          </cell>
          <cell r="G2644" t="str">
            <v>P</v>
          </cell>
          <cell r="H2644">
            <v>0</v>
          </cell>
        </row>
        <row r="2645">
          <cell r="A2645" t="str">
            <v>1;02;CE;B;BAG</v>
          </cell>
          <cell r="B2645">
            <v>730069</v>
          </cell>
          <cell r="C2645" t="str">
            <v>CE</v>
          </cell>
          <cell r="D2645" t="str">
            <v>CEUTA</v>
          </cell>
          <cell r="E2645" t="str">
            <v>02</v>
          </cell>
          <cell r="F2645" t="str">
            <v>BAG</v>
          </cell>
          <cell r="G2645" t="str">
            <v>B</v>
          </cell>
          <cell r="H2645">
            <v>19.54</v>
          </cell>
        </row>
        <row r="2646">
          <cell r="A2646" t="str">
            <v>1;02;CE;B;DOCS</v>
          </cell>
          <cell r="B2646">
            <v>730069</v>
          </cell>
          <cell r="C2646" t="str">
            <v>CE</v>
          </cell>
          <cell r="D2646" t="str">
            <v>CEUTA</v>
          </cell>
          <cell r="E2646" t="str">
            <v>02</v>
          </cell>
          <cell r="F2646" t="str">
            <v>DOCS</v>
          </cell>
          <cell r="G2646" t="str">
            <v>B</v>
          </cell>
          <cell r="H2646">
            <v>10.19</v>
          </cell>
        </row>
        <row r="2647">
          <cell r="A2647" t="str">
            <v>1;02;CE;B;PAQ00a02</v>
          </cell>
          <cell r="B2647">
            <v>730069</v>
          </cell>
          <cell r="C2647" t="str">
            <v>CE</v>
          </cell>
          <cell r="D2647" t="str">
            <v>CEUTA</v>
          </cell>
          <cell r="E2647" t="str">
            <v>02</v>
          </cell>
          <cell r="F2647" t="str">
            <v>PAQ00a02</v>
          </cell>
          <cell r="G2647" t="str">
            <v>B</v>
          </cell>
          <cell r="H2647">
            <v>23.05</v>
          </cell>
        </row>
        <row r="2648">
          <cell r="A2648" t="str">
            <v>1;02;CE;B;PAQ02a04</v>
          </cell>
          <cell r="B2648">
            <v>730069</v>
          </cell>
          <cell r="C2648" t="str">
            <v>CE</v>
          </cell>
          <cell r="D2648" t="str">
            <v>CEUTA</v>
          </cell>
          <cell r="E2648" t="str">
            <v>02</v>
          </cell>
          <cell r="F2648" t="str">
            <v>PAQ02a04</v>
          </cell>
          <cell r="G2648" t="str">
            <v>B</v>
          </cell>
          <cell r="H2648">
            <v>37.700000000000003</v>
          </cell>
        </row>
        <row r="2649">
          <cell r="A2649" t="str">
            <v>1;02;CE;B;PAQ04a06</v>
          </cell>
          <cell r="B2649">
            <v>730069</v>
          </cell>
          <cell r="C2649" t="str">
            <v>CE</v>
          </cell>
          <cell r="D2649" t="str">
            <v>CEUTA</v>
          </cell>
          <cell r="E2649" t="str">
            <v>02</v>
          </cell>
          <cell r="F2649" t="str">
            <v>PAQ04a06</v>
          </cell>
          <cell r="G2649" t="str">
            <v>B</v>
          </cell>
          <cell r="H2649">
            <v>49.93</v>
          </cell>
        </row>
        <row r="2650">
          <cell r="A2650" t="str">
            <v>1;02;CE;B;PAQ06a08</v>
          </cell>
          <cell r="B2650">
            <v>730069</v>
          </cell>
          <cell r="C2650" t="str">
            <v>CE</v>
          </cell>
          <cell r="D2650" t="str">
            <v>CEUTA</v>
          </cell>
          <cell r="E2650" t="str">
            <v>02</v>
          </cell>
          <cell r="F2650" t="str">
            <v>PAQ06a08</v>
          </cell>
          <cell r="G2650" t="str">
            <v>B</v>
          </cell>
          <cell r="H2650">
            <v>62.17</v>
          </cell>
        </row>
        <row r="2651">
          <cell r="A2651" t="str">
            <v>1;02;CE;B;PAQ08a10</v>
          </cell>
          <cell r="B2651">
            <v>730069</v>
          </cell>
          <cell r="C2651" t="str">
            <v>CE</v>
          </cell>
          <cell r="D2651" t="str">
            <v>CEUTA</v>
          </cell>
          <cell r="E2651" t="str">
            <v>02</v>
          </cell>
          <cell r="F2651" t="str">
            <v>PAQ08a10</v>
          </cell>
          <cell r="G2651" t="str">
            <v>B</v>
          </cell>
          <cell r="H2651">
            <v>74.400000000000006</v>
          </cell>
        </row>
        <row r="2652">
          <cell r="A2652" t="str">
            <v>1;02;CE;B;PAQ10a12</v>
          </cell>
          <cell r="B2652">
            <v>730069</v>
          </cell>
          <cell r="C2652" t="str">
            <v>CE</v>
          </cell>
          <cell r="D2652" t="str">
            <v>CEUTA</v>
          </cell>
          <cell r="E2652" t="str">
            <v>02</v>
          </cell>
          <cell r="F2652" t="str">
            <v>PAQ10a12</v>
          </cell>
          <cell r="G2652" t="str">
            <v>B</v>
          </cell>
          <cell r="H2652">
            <v>86.65</v>
          </cell>
        </row>
        <row r="2653">
          <cell r="A2653" t="str">
            <v>1;02;CE;B;PAQ12a14</v>
          </cell>
          <cell r="B2653">
            <v>730069</v>
          </cell>
          <cell r="C2653" t="str">
            <v>CE</v>
          </cell>
          <cell r="D2653" t="str">
            <v>CEUTA</v>
          </cell>
          <cell r="E2653" t="str">
            <v>02</v>
          </cell>
          <cell r="F2653" t="str">
            <v>PAQ12a14</v>
          </cell>
          <cell r="G2653" t="str">
            <v>B</v>
          </cell>
          <cell r="H2653">
            <v>98.88</v>
          </cell>
        </row>
        <row r="2654">
          <cell r="A2654" t="str">
            <v>1;02;CE;B;PAQ14a16</v>
          </cell>
          <cell r="B2654">
            <v>730069</v>
          </cell>
          <cell r="C2654" t="str">
            <v>CE</v>
          </cell>
          <cell r="D2654" t="str">
            <v>CEUTA</v>
          </cell>
          <cell r="E2654" t="str">
            <v>02</v>
          </cell>
          <cell r="F2654" t="str">
            <v>PAQ14a16</v>
          </cell>
          <cell r="G2654" t="str">
            <v>B</v>
          </cell>
          <cell r="H2654">
            <v>111.12</v>
          </cell>
        </row>
        <row r="2655">
          <cell r="A2655" t="str">
            <v>1;02;CE;B;PAQ16a18</v>
          </cell>
          <cell r="B2655">
            <v>730069</v>
          </cell>
          <cell r="C2655" t="str">
            <v>CE</v>
          </cell>
          <cell r="D2655" t="str">
            <v>CEUTA</v>
          </cell>
          <cell r="E2655" t="str">
            <v>02</v>
          </cell>
          <cell r="F2655" t="str">
            <v>PAQ16a18</v>
          </cell>
          <cell r="G2655" t="str">
            <v>B</v>
          </cell>
          <cell r="H2655">
            <v>123.35</v>
          </cell>
        </row>
        <row r="2656">
          <cell r="A2656" t="str">
            <v>1;02;CE;B;PAQ18a20</v>
          </cell>
          <cell r="B2656">
            <v>730069</v>
          </cell>
          <cell r="C2656" t="str">
            <v>CE</v>
          </cell>
          <cell r="D2656" t="str">
            <v>CEUTA</v>
          </cell>
          <cell r="E2656" t="str">
            <v>02</v>
          </cell>
          <cell r="F2656" t="str">
            <v>PAQ18a20</v>
          </cell>
          <cell r="G2656" t="str">
            <v>B</v>
          </cell>
          <cell r="H2656">
            <v>135.6</v>
          </cell>
        </row>
        <row r="2657">
          <cell r="A2657" t="str">
            <v>1;02;CE;B;PAQ20a22</v>
          </cell>
          <cell r="B2657">
            <v>730069</v>
          </cell>
          <cell r="C2657" t="str">
            <v>CE</v>
          </cell>
          <cell r="D2657" t="str">
            <v>CEUTA</v>
          </cell>
          <cell r="E2657" t="str">
            <v>02</v>
          </cell>
          <cell r="F2657" t="str">
            <v>PAQ20a22</v>
          </cell>
          <cell r="G2657" t="str">
            <v>B</v>
          </cell>
          <cell r="H2657">
            <v>147.83000000000001</v>
          </cell>
        </row>
        <row r="2658">
          <cell r="A2658" t="str">
            <v>1;02;CE;B;PAQ22a24</v>
          </cell>
          <cell r="B2658">
            <v>730069</v>
          </cell>
          <cell r="C2658" t="str">
            <v>CE</v>
          </cell>
          <cell r="D2658" t="str">
            <v>CEUTA</v>
          </cell>
          <cell r="E2658" t="str">
            <v>02</v>
          </cell>
          <cell r="F2658" t="str">
            <v>PAQ22a24</v>
          </cell>
          <cell r="G2658" t="str">
            <v>B</v>
          </cell>
          <cell r="H2658">
            <v>160.07</v>
          </cell>
        </row>
        <row r="2659">
          <cell r="A2659" t="str">
            <v>1;02;CE;B;PAQ24a26</v>
          </cell>
          <cell r="B2659">
            <v>730069</v>
          </cell>
          <cell r="C2659" t="str">
            <v>CE</v>
          </cell>
          <cell r="D2659" t="str">
            <v>CEUTA</v>
          </cell>
          <cell r="E2659" t="str">
            <v>02</v>
          </cell>
          <cell r="F2659" t="str">
            <v>PAQ24a26</v>
          </cell>
          <cell r="G2659" t="str">
            <v>B</v>
          </cell>
          <cell r="H2659">
            <v>172.31</v>
          </cell>
        </row>
        <row r="2660">
          <cell r="A2660" t="str">
            <v>1;02;CE;B;PAQ26a28</v>
          </cell>
          <cell r="B2660">
            <v>730069</v>
          </cell>
          <cell r="C2660" t="str">
            <v>CE</v>
          </cell>
          <cell r="D2660" t="str">
            <v>CEUTA</v>
          </cell>
          <cell r="E2660" t="str">
            <v>02</v>
          </cell>
          <cell r="F2660" t="str">
            <v>PAQ26a28</v>
          </cell>
          <cell r="G2660" t="str">
            <v>B</v>
          </cell>
          <cell r="H2660">
            <v>184.55</v>
          </cell>
        </row>
        <row r="2661">
          <cell r="A2661" t="str">
            <v>1;02;CE;B;PAQ28a30</v>
          </cell>
          <cell r="B2661">
            <v>730069</v>
          </cell>
          <cell r="C2661" t="str">
            <v>CE</v>
          </cell>
          <cell r="D2661" t="str">
            <v>CEUTA</v>
          </cell>
          <cell r="E2661" t="str">
            <v>02</v>
          </cell>
          <cell r="F2661" t="str">
            <v>PAQ28a30</v>
          </cell>
          <cell r="G2661" t="str">
            <v>B</v>
          </cell>
          <cell r="H2661">
            <v>196.78</v>
          </cell>
        </row>
        <row r="2662">
          <cell r="A2662" t="str">
            <v>1;02;CE;B;PAQ30a32</v>
          </cell>
          <cell r="B2662">
            <v>730069</v>
          </cell>
          <cell r="C2662" t="str">
            <v>CE</v>
          </cell>
          <cell r="D2662" t="str">
            <v>CEUTA</v>
          </cell>
          <cell r="E2662" t="str">
            <v>02</v>
          </cell>
          <cell r="F2662" t="str">
            <v>PAQ30a32</v>
          </cell>
          <cell r="G2662" t="str">
            <v>B</v>
          </cell>
          <cell r="H2662">
            <v>209.02</v>
          </cell>
        </row>
        <row r="2663">
          <cell r="A2663" t="str">
            <v>1;02;CE;B;PAQ32a34</v>
          </cell>
          <cell r="B2663">
            <v>730069</v>
          </cell>
          <cell r="C2663" t="str">
            <v>CE</v>
          </cell>
          <cell r="D2663" t="str">
            <v>CEUTA</v>
          </cell>
          <cell r="E2663" t="str">
            <v>02</v>
          </cell>
          <cell r="F2663" t="str">
            <v>PAQ32a34</v>
          </cell>
          <cell r="G2663" t="str">
            <v>B</v>
          </cell>
          <cell r="H2663">
            <v>221.26</v>
          </cell>
        </row>
        <row r="2664">
          <cell r="A2664" t="str">
            <v>1;02;CE;B;PAQ34a36</v>
          </cell>
          <cell r="B2664">
            <v>730069</v>
          </cell>
          <cell r="C2664" t="str">
            <v>CE</v>
          </cell>
          <cell r="D2664" t="str">
            <v>CEUTA</v>
          </cell>
          <cell r="E2664" t="str">
            <v>02</v>
          </cell>
          <cell r="F2664" t="str">
            <v>PAQ34a36</v>
          </cell>
          <cell r="G2664" t="str">
            <v>B</v>
          </cell>
          <cell r="H2664">
            <v>233.5</v>
          </cell>
        </row>
        <row r="2665">
          <cell r="A2665" t="str">
            <v>1;02;CE;B;PAQ36a38</v>
          </cell>
          <cell r="B2665">
            <v>730069</v>
          </cell>
          <cell r="C2665" t="str">
            <v>CE</v>
          </cell>
          <cell r="D2665" t="str">
            <v>CEUTA</v>
          </cell>
          <cell r="E2665" t="str">
            <v>02</v>
          </cell>
          <cell r="F2665" t="str">
            <v>PAQ36a38</v>
          </cell>
          <cell r="G2665" t="str">
            <v>B</v>
          </cell>
          <cell r="H2665">
            <v>245.73</v>
          </cell>
        </row>
        <row r="2666">
          <cell r="A2666" t="str">
            <v>1;02;CE;B;PAQ38a40</v>
          </cell>
          <cell r="B2666">
            <v>730069</v>
          </cell>
          <cell r="C2666" t="str">
            <v>CE</v>
          </cell>
          <cell r="D2666" t="str">
            <v>CEUTA</v>
          </cell>
          <cell r="E2666" t="str">
            <v>02</v>
          </cell>
          <cell r="F2666" t="str">
            <v>PAQ38a40</v>
          </cell>
          <cell r="G2666" t="str">
            <v>B</v>
          </cell>
          <cell r="H2666">
            <v>257.97000000000003</v>
          </cell>
        </row>
        <row r="2667">
          <cell r="A2667" t="str">
            <v>1;02;CE;F;</v>
          </cell>
          <cell r="B2667">
            <v>730069</v>
          </cell>
          <cell r="C2667" t="str">
            <v>CE</v>
          </cell>
          <cell r="D2667" t="str">
            <v>CEUTA</v>
          </cell>
          <cell r="E2667" t="str">
            <v>02</v>
          </cell>
          <cell r="F2667" t="str">
            <v/>
          </cell>
          <cell r="G2667" t="str">
            <v>F</v>
          </cell>
          <cell r="H2667">
            <v>12.24</v>
          </cell>
        </row>
        <row r="2668">
          <cell r="A2668" t="str">
            <v>1;02;CE;E;</v>
          </cell>
          <cell r="B2668">
            <v>730069</v>
          </cell>
          <cell r="C2668" t="str">
            <v>CE</v>
          </cell>
          <cell r="D2668" t="str">
            <v>CEUTA</v>
          </cell>
          <cell r="E2668" t="str">
            <v>02</v>
          </cell>
          <cell r="F2668" t="str">
            <v/>
          </cell>
          <cell r="G2668" t="str">
            <v>E</v>
          </cell>
          <cell r="H2668">
            <v>0</v>
          </cell>
        </row>
        <row r="2669">
          <cell r="A2669" t="str">
            <v>1;02;CE;P;</v>
          </cell>
          <cell r="B2669">
            <v>730069</v>
          </cell>
          <cell r="C2669" t="str">
            <v>CE</v>
          </cell>
          <cell r="D2669" t="str">
            <v>CEUTA</v>
          </cell>
          <cell r="E2669" t="str">
            <v>02</v>
          </cell>
          <cell r="F2669" t="str">
            <v/>
          </cell>
          <cell r="G2669" t="str">
            <v>P</v>
          </cell>
          <cell r="H2669">
            <v>0</v>
          </cell>
        </row>
        <row r="2670">
          <cell r="A2670" t="str">
            <v>1;04;CE;B;BAG</v>
          </cell>
          <cell r="B2670">
            <v>730069</v>
          </cell>
          <cell r="C2670" t="str">
            <v>CE</v>
          </cell>
          <cell r="D2670" t="str">
            <v>CEUTA</v>
          </cell>
          <cell r="E2670" t="str">
            <v>04</v>
          </cell>
          <cell r="F2670" t="str">
            <v>BAG</v>
          </cell>
          <cell r="G2670" t="str">
            <v>B</v>
          </cell>
          <cell r="H2670">
            <v>5.76</v>
          </cell>
        </row>
        <row r="2671">
          <cell r="A2671" t="str">
            <v>1;05;CE;B;BAG</v>
          </cell>
          <cell r="B2671">
            <v>730069</v>
          </cell>
          <cell r="C2671" t="str">
            <v>CE</v>
          </cell>
          <cell r="D2671" t="str">
            <v>CEUTA</v>
          </cell>
          <cell r="E2671" t="str">
            <v>05</v>
          </cell>
          <cell r="F2671" t="str">
            <v>BAG</v>
          </cell>
          <cell r="G2671" t="str">
            <v>B</v>
          </cell>
          <cell r="H2671">
            <v>5.76</v>
          </cell>
        </row>
        <row r="2672">
          <cell r="A2672" t="str">
            <v>1;06;CE;B;BAG</v>
          </cell>
          <cell r="B2672">
            <v>730069</v>
          </cell>
          <cell r="C2672" t="str">
            <v>CE</v>
          </cell>
          <cell r="D2672" t="str">
            <v>CEUTA</v>
          </cell>
          <cell r="E2672" t="str">
            <v>06</v>
          </cell>
          <cell r="F2672" t="str">
            <v>BAG</v>
          </cell>
          <cell r="G2672" t="str">
            <v>B</v>
          </cell>
          <cell r="H2672">
            <v>0</v>
          </cell>
        </row>
        <row r="2673">
          <cell r="A2673" t="str">
            <v>1;06;CE;B;DOCS</v>
          </cell>
          <cell r="B2673">
            <v>730069</v>
          </cell>
          <cell r="C2673" t="str">
            <v>CE</v>
          </cell>
          <cell r="D2673" t="str">
            <v>CEUTA</v>
          </cell>
          <cell r="E2673" t="str">
            <v>06</v>
          </cell>
          <cell r="F2673" t="str">
            <v>DOCS</v>
          </cell>
          <cell r="G2673" t="str">
            <v>B</v>
          </cell>
          <cell r="H2673">
            <v>0</v>
          </cell>
        </row>
        <row r="2674">
          <cell r="A2674" t="str">
            <v>1;06;CE;B;PAQ00a02</v>
          </cell>
          <cell r="B2674">
            <v>730069</v>
          </cell>
          <cell r="C2674" t="str">
            <v>CE</v>
          </cell>
          <cell r="D2674" t="str">
            <v>CEUTA</v>
          </cell>
          <cell r="E2674" t="str">
            <v>06</v>
          </cell>
          <cell r="F2674" t="str">
            <v>PAQ00a02</v>
          </cell>
          <cell r="G2674" t="str">
            <v>B</v>
          </cell>
          <cell r="H2674">
            <v>0</v>
          </cell>
        </row>
        <row r="2675">
          <cell r="A2675" t="str">
            <v>1;06;CE;B;PAQ02a04</v>
          </cell>
          <cell r="B2675">
            <v>730069</v>
          </cell>
          <cell r="C2675" t="str">
            <v>CE</v>
          </cell>
          <cell r="D2675" t="str">
            <v>CEUTA</v>
          </cell>
          <cell r="E2675" t="str">
            <v>06</v>
          </cell>
          <cell r="F2675" t="str">
            <v>PAQ02a04</v>
          </cell>
          <cell r="G2675" t="str">
            <v>B</v>
          </cell>
          <cell r="H2675">
            <v>0</v>
          </cell>
        </row>
        <row r="2676">
          <cell r="A2676" t="str">
            <v>1;06;CE;B;PAQ04a06</v>
          </cell>
          <cell r="B2676">
            <v>730069</v>
          </cell>
          <cell r="C2676" t="str">
            <v>CE</v>
          </cell>
          <cell r="D2676" t="str">
            <v>CEUTA</v>
          </cell>
          <cell r="E2676" t="str">
            <v>06</v>
          </cell>
          <cell r="F2676" t="str">
            <v>PAQ04a06</v>
          </cell>
          <cell r="G2676" t="str">
            <v>B</v>
          </cell>
          <cell r="H2676">
            <v>0</v>
          </cell>
        </row>
        <row r="2677">
          <cell r="A2677" t="str">
            <v>1;06;CE;B;PAQ06a08</v>
          </cell>
          <cell r="B2677">
            <v>730069</v>
          </cell>
          <cell r="C2677" t="str">
            <v>CE</v>
          </cell>
          <cell r="D2677" t="str">
            <v>CEUTA</v>
          </cell>
          <cell r="E2677" t="str">
            <v>06</v>
          </cell>
          <cell r="F2677" t="str">
            <v>PAQ06a08</v>
          </cell>
          <cell r="G2677" t="str">
            <v>B</v>
          </cell>
          <cell r="H2677">
            <v>0</v>
          </cell>
        </row>
        <row r="2678">
          <cell r="A2678" t="str">
            <v>1;06;CE;B;PAQ08a10</v>
          </cell>
          <cell r="B2678">
            <v>730069</v>
          </cell>
          <cell r="C2678" t="str">
            <v>CE</v>
          </cell>
          <cell r="D2678" t="str">
            <v>CEUTA</v>
          </cell>
          <cell r="E2678" t="str">
            <v>06</v>
          </cell>
          <cell r="F2678" t="str">
            <v>PAQ08a10</v>
          </cell>
          <cell r="G2678" t="str">
            <v>B</v>
          </cell>
          <cell r="H2678">
            <v>0</v>
          </cell>
        </row>
        <row r="2679">
          <cell r="A2679" t="str">
            <v>1;06;CE;B;PAQ10a12</v>
          </cell>
          <cell r="B2679">
            <v>730069</v>
          </cell>
          <cell r="C2679" t="str">
            <v>CE</v>
          </cell>
          <cell r="D2679" t="str">
            <v>CEUTA</v>
          </cell>
          <cell r="E2679" t="str">
            <v>06</v>
          </cell>
          <cell r="F2679" t="str">
            <v>PAQ10a12</v>
          </cell>
          <cell r="G2679" t="str">
            <v>B</v>
          </cell>
          <cell r="H2679">
            <v>0</v>
          </cell>
        </row>
        <row r="2680">
          <cell r="A2680" t="str">
            <v>1;06;CE;B;PAQ12a14</v>
          </cell>
          <cell r="B2680">
            <v>730069</v>
          </cell>
          <cell r="C2680" t="str">
            <v>CE</v>
          </cell>
          <cell r="D2680" t="str">
            <v>CEUTA</v>
          </cell>
          <cell r="E2680" t="str">
            <v>06</v>
          </cell>
          <cell r="F2680" t="str">
            <v>PAQ12a14</v>
          </cell>
          <cell r="G2680" t="str">
            <v>B</v>
          </cell>
          <cell r="H2680">
            <v>0</v>
          </cell>
        </row>
        <row r="2681">
          <cell r="A2681" t="str">
            <v>1;06;CE;B;PAQ14a16</v>
          </cell>
          <cell r="B2681">
            <v>730069</v>
          </cell>
          <cell r="C2681" t="str">
            <v>CE</v>
          </cell>
          <cell r="D2681" t="str">
            <v>CEUTA</v>
          </cell>
          <cell r="E2681" t="str">
            <v>06</v>
          </cell>
          <cell r="F2681" t="str">
            <v>PAQ14a16</v>
          </cell>
          <cell r="G2681" t="str">
            <v>B</v>
          </cell>
          <cell r="H2681">
            <v>0</v>
          </cell>
        </row>
        <row r="2682">
          <cell r="A2682" t="str">
            <v>1;06;CE;B;PAQ16a18</v>
          </cell>
          <cell r="B2682">
            <v>730069</v>
          </cell>
          <cell r="C2682" t="str">
            <v>CE</v>
          </cell>
          <cell r="D2682" t="str">
            <v>CEUTA</v>
          </cell>
          <cell r="E2682" t="str">
            <v>06</v>
          </cell>
          <cell r="F2682" t="str">
            <v>PAQ16a18</v>
          </cell>
          <cell r="G2682" t="str">
            <v>B</v>
          </cell>
          <cell r="H2682">
            <v>0</v>
          </cell>
        </row>
        <row r="2683">
          <cell r="A2683" t="str">
            <v>1;06;CE;B;PAQ18a20</v>
          </cell>
          <cell r="B2683">
            <v>730069</v>
          </cell>
          <cell r="C2683" t="str">
            <v>CE</v>
          </cell>
          <cell r="D2683" t="str">
            <v>CEUTA</v>
          </cell>
          <cell r="E2683" t="str">
            <v>06</v>
          </cell>
          <cell r="F2683" t="str">
            <v>PAQ18a20</v>
          </cell>
          <cell r="G2683" t="str">
            <v>B</v>
          </cell>
          <cell r="H2683">
            <v>0</v>
          </cell>
        </row>
        <row r="2684">
          <cell r="A2684" t="str">
            <v>1;06;CE;B;PAQ20a22</v>
          </cell>
          <cell r="B2684">
            <v>730069</v>
          </cell>
          <cell r="C2684" t="str">
            <v>CE</v>
          </cell>
          <cell r="D2684" t="str">
            <v>CEUTA</v>
          </cell>
          <cell r="E2684" t="str">
            <v>06</v>
          </cell>
          <cell r="F2684" t="str">
            <v>PAQ20a22</v>
          </cell>
          <cell r="G2684" t="str">
            <v>B</v>
          </cell>
          <cell r="H2684">
            <v>0</v>
          </cell>
        </row>
        <row r="2685">
          <cell r="A2685" t="str">
            <v>1;06;CE;B;PAQ22a24</v>
          </cell>
          <cell r="B2685">
            <v>730069</v>
          </cell>
          <cell r="C2685" t="str">
            <v>CE</v>
          </cell>
          <cell r="D2685" t="str">
            <v>CEUTA</v>
          </cell>
          <cell r="E2685" t="str">
            <v>06</v>
          </cell>
          <cell r="F2685" t="str">
            <v>PAQ22a24</v>
          </cell>
          <cell r="G2685" t="str">
            <v>B</v>
          </cell>
          <cell r="H2685">
            <v>0</v>
          </cell>
        </row>
        <row r="2686">
          <cell r="A2686" t="str">
            <v>1;06;CE;B;PAQ24a26</v>
          </cell>
          <cell r="B2686">
            <v>730069</v>
          </cell>
          <cell r="C2686" t="str">
            <v>CE</v>
          </cell>
          <cell r="D2686" t="str">
            <v>CEUTA</v>
          </cell>
          <cell r="E2686" t="str">
            <v>06</v>
          </cell>
          <cell r="F2686" t="str">
            <v>PAQ24a26</v>
          </cell>
          <cell r="G2686" t="str">
            <v>B</v>
          </cell>
          <cell r="H2686">
            <v>0</v>
          </cell>
        </row>
        <row r="2687">
          <cell r="A2687" t="str">
            <v>1;06;CE;B;PAQ26a28</v>
          </cell>
          <cell r="B2687">
            <v>730069</v>
          </cell>
          <cell r="C2687" t="str">
            <v>CE</v>
          </cell>
          <cell r="D2687" t="str">
            <v>CEUTA</v>
          </cell>
          <cell r="E2687" t="str">
            <v>06</v>
          </cell>
          <cell r="F2687" t="str">
            <v>PAQ26a28</v>
          </cell>
          <cell r="G2687" t="str">
            <v>B</v>
          </cell>
          <cell r="H2687">
            <v>0</v>
          </cell>
        </row>
        <row r="2688">
          <cell r="A2688" t="str">
            <v>1;06;CE;B;PAQ28a30</v>
          </cell>
          <cell r="B2688">
            <v>730069</v>
          </cell>
          <cell r="C2688" t="str">
            <v>CE</v>
          </cell>
          <cell r="D2688" t="str">
            <v>CEUTA</v>
          </cell>
          <cell r="E2688" t="str">
            <v>06</v>
          </cell>
          <cell r="F2688" t="str">
            <v>PAQ28a30</v>
          </cell>
          <cell r="G2688" t="str">
            <v>B</v>
          </cell>
          <cell r="H2688">
            <v>0</v>
          </cell>
        </row>
        <row r="2689">
          <cell r="A2689" t="str">
            <v>1;06;CE;B;PAQ30a32</v>
          </cell>
          <cell r="B2689">
            <v>730069</v>
          </cell>
          <cell r="C2689" t="str">
            <v>CE</v>
          </cell>
          <cell r="D2689" t="str">
            <v>CEUTA</v>
          </cell>
          <cell r="E2689" t="str">
            <v>06</v>
          </cell>
          <cell r="F2689" t="str">
            <v>PAQ30a32</v>
          </cell>
          <cell r="G2689" t="str">
            <v>B</v>
          </cell>
          <cell r="H2689">
            <v>0</v>
          </cell>
        </row>
        <row r="2690">
          <cell r="A2690" t="str">
            <v>1;06;CE;B;PAQ32a34</v>
          </cell>
          <cell r="B2690">
            <v>730069</v>
          </cell>
          <cell r="C2690" t="str">
            <v>CE</v>
          </cell>
          <cell r="D2690" t="str">
            <v>CEUTA</v>
          </cell>
          <cell r="E2690" t="str">
            <v>06</v>
          </cell>
          <cell r="F2690" t="str">
            <v>PAQ32a34</v>
          </cell>
          <cell r="G2690" t="str">
            <v>B</v>
          </cell>
          <cell r="H2690">
            <v>0</v>
          </cell>
        </row>
        <row r="2691">
          <cell r="A2691" t="str">
            <v>1;06;CE;B;PAQ34a36</v>
          </cell>
          <cell r="B2691">
            <v>730069</v>
          </cell>
          <cell r="C2691" t="str">
            <v>CE</v>
          </cell>
          <cell r="D2691" t="str">
            <v>CEUTA</v>
          </cell>
          <cell r="E2691" t="str">
            <v>06</v>
          </cell>
          <cell r="F2691" t="str">
            <v>PAQ34a36</v>
          </cell>
          <cell r="G2691" t="str">
            <v>B</v>
          </cell>
          <cell r="H2691">
            <v>0</v>
          </cell>
        </row>
        <row r="2692">
          <cell r="A2692" t="str">
            <v>1;06;CE;B;PAQ36a38</v>
          </cell>
          <cell r="B2692">
            <v>730069</v>
          </cell>
          <cell r="C2692" t="str">
            <v>CE</v>
          </cell>
          <cell r="D2692" t="str">
            <v>CEUTA</v>
          </cell>
          <cell r="E2692" t="str">
            <v>06</v>
          </cell>
          <cell r="F2692" t="str">
            <v>PAQ36a38</v>
          </cell>
          <cell r="G2692" t="str">
            <v>B</v>
          </cell>
          <cell r="H2692">
            <v>0</v>
          </cell>
        </row>
        <row r="2693">
          <cell r="A2693" t="str">
            <v>1;06;CE;B;PAQ38a40</v>
          </cell>
          <cell r="B2693">
            <v>730069</v>
          </cell>
          <cell r="C2693" t="str">
            <v>CE</v>
          </cell>
          <cell r="D2693" t="str">
            <v>CEUTA</v>
          </cell>
          <cell r="E2693" t="str">
            <v>06</v>
          </cell>
          <cell r="F2693" t="str">
            <v>PAQ38a40</v>
          </cell>
          <cell r="G2693" t="str">
            <v>B</v>
          </cell>
          <cell r="H2693">
            <v>0</v>
          </cell>
        </row>
        <row r="2694">
          <cell r="A2694" t="str">
            <v>1;06;CE;F;</v>
          </cell>
          <cell r="B2694">
            <v>730069</v>
          </cell>
          <cell r="C2694" t="str">
            <v>CE</v>
          </cell>
          <cell r="D2694" t="str">
            <v>CEUTA</v>
          </cell>
          <cell r="E2694" t="str">
            <v>06</v>
          </cell>
          <cell r="F2694" t="str">
            <v/>
          </cell>
          <cell r="G2694" t="str">
            <v>F</v>
          </cell>
          <cell r="H2694">
            <v>0</v>
          </cell>
        </row>
        <row r="2695">
          <cell r="A2695" t="str">
            <v>1;06;CE;E;</v>
          </cell>
          <cell r="B2695">
            <v>730069</v>
          </cell>
          <cell r="C2695" t="str">
            <v>CE</v>
          </cell>
          <cell r="D2695" t="str">
            <v>CEUTA</v>
          </cell>
          <cell r="E2695" t="str">
            <v>06</v>
          </cell>
          <cell r="F2695" t="str">
            <v/>
          </cell>
          <cell r="G2695" t="str">
            <v>E</v>
          </cell>
          <cell r="H2695">
            <v>0</v>
          </cell>
        </row>
        <row r="2696">
          <cell r="A2696" t="str">
            <v>1;06;CE;P;</v>
          </cell>
          <cell r="B2696">
            <v>730069</v>
          </cell>
          <cell r="C2696" t="str">
            <v>CE</v>
          </cell>
          <cell r="D2696" t="str">
            <v>CEUTA</v>
          </cell>
          <cell r="E2696" t="str">
            <v>06</v>
          </cell>
          <cell r="F2696" t="str">
            <v/>
          </cell>
          <cell r="G2696" t="str">
            <v>P</v>
          </cell>
          <cell r="H2696">
            <v>0</v>
          </cell>
        </row>
        <row r="2697">
          <cell r="A2697" t="str">
            <v>1;07;CE;B;BAG</v>
          </cell>
          <cell r="B2697">
            <v>730069</v>
          </cell>
          <cell r="C2697" t="str">
            <v>CE</v>
          </cell>
          <cell r="D2697" t="str">
            <v>CEUTA</v>
          </cell>
          <cell r="E2697" t="str">
            <v>07</v>
          </cell>
          <cell r="F2697" t="str">
            <v>BAG</v>
          </cell>
          <cell r="G2697" t="str">
            <v>B</v>
          </cell>
          <cell r="H2697">
            <v>0</v>
          </cell>
        </row>
        <row r="2698">
          <cell r="A2698" t="str">
            <v>1;07;CE;B;DOCS</v>
          </cell>
          <cell r="B2698">
            <v>730069</v>
          </cell>
          <cell r="C2698" t="str">
            <v>CE</v>
          </cell>
          <cell r="D2698" t="str">
            <v>CEUTA</v>
          </cell>
          <cell r="E2698" t="str">
            <v>07</v>
          </cell>
          <cell r="F2698" t="str">
            <v>DOCS</v>
          </cell>
          <cell r="G2698" t="str">
            <v>B</v>
          </cell>
          <cell r="H2698">
            <v>0</v>
          </cell>
        </row>
        <row r="2699">
          <cell r="A2699" t="str">
            <v>1;07;CE;B;PAQ00a02</v>
          </cell>
          <cell r="B2699">
            <v>730069</v>
          </cell>
          <cell r="C2699" t="str">
            <v>CE</v>
          </cell>
          <cell r="D2699" t="str">
            <v>CEUTA</v>
          </cell>
          <cell r="E2699" t="str">
            <v>07</v>
          </cell>
          <cell r="F2699" t="str">
            <v>PAQ00a02</v>
          </cell>
          <cell r="G2699" t="str">
            <v>B</v>
          </cell>
          <cell r="H2699">
            <v>0</v>
          </cell>
        </row>
        <row r="2700">
          <cell r="A2700" t="str">
            <v>1;07;CE;B;PAQ02a04</v>
          </cell>
          <cell r="B2700">
            <v>730069</v>
          </cell>
          <cell r="C2700" t="str">
            <v>CE</v>
          </cell>
          <cell r="D2700" t="str">
            <v>CEUTA</v>
          </cell>
          <cell r="E2700" t="str">
            <v>07</v>
          </cell>
          <cell r="F2700" t="str">
            <v>PAQ02a04</v>
          </cell>
          <cell r="G2700" t="str">
            <v>B</v>
          </cell>
          <cell r="H2700">
            <v>0</v>
          </cell>
        </row>
        <row r="2701">
          <cell r="A2701" t="str">
            <v>1;07;CE;B;PAQ04a06</v>
          </cell>
          <cell r="B2701">
            <v>730069</v>
          </cell>
          <cell r="C2701" t="str">
            <v>CE</v>
          </cell>
          <cell r="D2701" t="str">
            <v>CEUTA</v>
          </cell>
          <cell r="E2701" t="str">
            <v>07</v>
          </cell>
          <cell r="F2701" t="str">
            <v>PAQ04a06</v>
          </cell>
          <cell r="G2701" t="str">
            <v>B</v>
          </cell>
          <cell r="H2701">
            <v>0</v>
          </cell>
        </row>
        <row r="2702">
          <cell r="A2702" t="str">
            <v>1;07;CE;B;PAQ06a08</v>
          </cell>
          <cell r="B2702">
            <v>730069</v>
          </cell>
          <cell r="C2702" t="str">
            <v>CE</v>
          </cell>
          <cell r="D2702" t="str">
            <v>CEUTA</v>
          </cell>
          <cell r="E2702" t="str">
            <v>07</v>
          </cell>
          <cell r="F2702" t="str">
            <v>PAQ06a08</v>
          </cell>
          <cell r="G2702" t="str">
            <v>B</v>
          </cell>
          <cell r="H2702">
            <v>0</v>
          </cell>
        </row>
        <row r="2703">
          <cell r="A2703" t="str">
            <v>1;07;CE;B;PAQ08a10</v>
          </cell>
          <cell r="B2703">
            <v>730069</v>
          </cell>
          <cell r="C2703" t="str">
            <v>CE</v>
          </cell>
          <cell r="D2703" t="str">
            <v>CEUTA</v>
          </cell>
          <cell r="E2703" t="str">
            <v>07</v>
          </cell>
          <cell r="F2703" t="str">
            <v>PAQ08a10</v>
          </cell>
          <cell r="G2703" t="str">
            <v>B</v>
          </cell>
          <cell r="H2703">
            <v>0</v>
          </cell>
        </row>
        <row r="2704">
          <cell r="A2704" t="str">
            <v>1;07;CE;B;PAQ10a12</v>
          </cell>
          <cell r="B2704">
            <v>730069</v>
          </cell>
          <cell r="C2704" t="str">
            <v>CE</v>
          </cell>
          <cell r="D2704" t="str">
            <v>CEUTA</v>
          </cell>
          <cell r="E2704" t="str">
            <v>07</v>
          </cell>
          <cell r="F2704" t="str">
            <v>PAQ10a12</v>
          </cell>
          <cell r="G2704" t="str">
            <v>B</v>
          </cell>
          <cell r="H2704">
            <v>0</v>
          </cell>
        </row>
        <row r="2705">
          <cell r="A2705" t="str">
            <v>1;07;CE;B;PAQ12a14</v>
          </cell>
          <cell r="B2705">
            <v>730069</v>
          </cell>
          <cell r="C2705" t="str">
            <v>CE</v>
          </cell>
          <cell r="D2705" t="str">
            <v>CEUTA</v>
          </cell>
          <cell r="E2705" t="str">
            <v>07</v>
          </cell>
          <cell r="F2705" t="str">
            <v>PAQ12a14</v>
          </cell>
          <cell r="G2705" t="str">
            <v>B</v>
          </cell>
          <cell r="H2705">
            <v>0</v>
          </cell>
        </row>
        <row r="2706">
          <cell r="A2706" t="str">
            <v>1;07;CE;B;PAQ14a16</v>
          </cell>
          <cell r="B2706">
            <v>730069</v>
          </cell>
          <cell r="C2706" t="str">
            <v>CE</v>
          </cell>
          <cell r="D2706" t="str">
            <v>CEUTA</v>
          </cell>
          <cell r="E2706" t="str">
            <v>07</v>
          </cell>
          <cell r="F2706" t="str">
            <v>PAQ14a16</v>
          </cell>
          <cell r="G2706" t="str">
            <v>B</v>
          </cell>
          <cell r="H2706">
            <v>0</v>
          </cell>
        </row>
        <row r="2707">
          <cell r="A2707" t="str">
            <v>1;07;CE;B;PAQ16a18</v>
          </cell>
          <cell r="B2707">
            <v>730069</v>
          </cell>
          <cell r="C2707" t="str">
            <v>CE</v>
          </cell>
          <cell r="D2707" t="str">
            <v>CEUTA</v>
          </cell>
          <cell r="E2707" t="str">
            <v>07</v>
          </cell>
          <cell r="F2707" t="str">
            <v>PAQ16a18</v>
          </cell>
          <cell r="G2707" t="str">
            <v>B</v>
          </cell>
          <cell r="H2707">
            <v>0</v>
          </cell>
        </row>
        <row r="2708">
          <cell r="A2708" t="str">
            <v>1;07;CE;B;PAQ18a20</v>
          </cell>
          <cell r="B2708">
            <v>730069</v>
          </cell>
          <cell r="C2708" t="str">
            <v>CE</v>
          </cell>
          <cell r="D2708" t="str">
            <v>CEUTA</v>
          </cell>
          <cell r="E2708" t="str">
            <v>07</v>
          </cell>
          <cell r="F2708" t="str">
            <v>PAQ18a20</v>
          </cell>
          <cell r="G2708" t="str">
            <v>B</v>
          </cell>
          <cell r="H2708">
            <v>0</v>
          </cell>
        </row>
        <row r="2709">
          <cell r="A2709" t="str">
            <v>1;07;CE;B;PAQ20a22</v>
          </cell>
          <cell r="B2709">
            <v>730069</v>
          </cell>
          <cell r="C2709" t="str">
            <v>CE</v>
          </cell>
          <cell r="D2709" t="str">
            <v>CEUTA</v>
          </cell>
          <cell r="E2709" t="str">
            <v>07</v>
          </cell>
          <cell r="F2709" t="str">
            <v>PAQ20a22</v>
          </cell>
          <cell r="G2709" t="str">
            <v>B</v>
          </cell>
          <cell r="H2709">
            <v>0</v>
          </cell>
        </row>
        <row r="2710">
          <cell r="A2710" t="str">
            <v>1;07;CE;B;PAQ22a24</v>
          </cell>
          <cell r="B2710">
            <v>730069</v>
          </cell>
          <cell r="C2710" t="str">
            <v>CE</v>
          </cell>
          <cell r="D2710" t="str">
            <v>CEUTA</v>
          </cell>
          <cell r="E2710" t="str">
            <v>07</v>
          </cell>
          <cell r="F2710" t="str">
            <v>PAQ22a24</v>
          </cell>
          <cell r="G2710" t="str">
            <v>B</v>
          </cell>
          <cell r="H2710">
            <v>0</v>
          </cell>
        </row>
        <row r="2711">
          <cell r="A2711" t="str">
            <v>1;07;CE;B;PAQ24a26</v>
          </cell>
          <cell r="B2711">
            <v>730069</v>
          </cell>
          <cell r="C2711" t="str">
            <v>CE</v>
          </cell>
          <cell r="D2711" t="str">
            <v>CEUTA</v>
          </cell>
          <cell r="E2711" t="str">
            <v>07</v>
          </cell>
          <cell r="F2711" t="str">
            <v>PAQ24a26</v>
          </cell>
          <cell r="G2711" t="str">
            <v>B</v>
          </cell>
          <cell r="H2711">
            <v>0</v>
          </cell>
        </row>
        <row r="2712">
          <cell r="A2712" t="str">
            <v>1;07;CE;B;PAQ26a28</v>
          </cell>
          <cell r="B2712">
            <v>730069</v>
          </cell>
          <cell r="C2712" t="str">
            <v>CE</v>
          </cell>
          <cell r="D2712" t="str">
            <v>CEUTA</v>
          </cell>
          <cell r="E2712" t="str">
            <v>07</v>
          </cell>
          <cell r="F2712" t="str">
            <v>PAQ26a28</v>
          </cell>
          <cell r="G2712" t="str">
            <v>B</v>
          </cell>
          <cell r="H2712">
            <v>0</v>
          </cell>
        </row>
        <row r="2713">
          <cell r="A2713" t="str">
            <v>1;07;CE;B;PAQ28a30</v>
          </cell>
          <cell r="B2713">
            <v>730069</v>
          </cell>
          <cell r="C2713" t="str">
            <v>CE</v>
          </cell>
          <cell r="D2713" t="str">
            <v>CEUTA</v>
          </cell>
          <cell r="E2713" t="str">
            <v>07</v>
          </cell>
          <cell r="F2713" t="str">
            <v>PAQ28a30</v>
          </cell>
          <cell r="G2713" t="str">
            <v>B</v>
          </cell>
          <cell r="H2713">
            <v>0</v>
          </cell>
        </row>
        <row r="2714">
          <cell r="A2714" t="str">
            <v>1;07;CE;B;PAQ30a32</v>
          </cell>
          <cell r="B2714">
            <v>730069</v>
          </cell>
          <cell r="C2714" t="str">
            <v>CE</v>
          </cell>
          <cell r="D2714" t="str">
            <v>CEUTA</v>
          </cell>
          <cell r="E2714" t="str">
            <v>07</v>
          </cell>
          <cell r="F2714" t="str">
            <v>PAQ30a32</v>
          </cell>
          <cell r="G2714" t="str">
            <v>B</v>
          </cell>
          <cell r="H2714">
            <v>0</v>
          </cell>
        </row>
        <row r="2715">
          <cell r="A2715" t="str">
            <v>1;07;CE;B;PAQ32a34</v>
          </cell>
          <cell r="B2715">
            <v>730069</v>
          </cell>
          <cell r="C2715" t="str">
            <v>CE</v>
          </cell>
          <cell r="D2715" t="str">
            <v>CEUTA</v>
          </cell>
          <cell r="E2715" t="str">
            <v>07</v>
          </cell>
          <cell r="F2715" t="str">
            <v>PAQ32a34</v>
          </cell>
          <cell r="G2715" t="str">
            <v>B</v>
          </cell>
          <cell r="H2715">
            <v>0</v>
          </cell>
        </row>
        <row r="2716">
          <cell r="A2716" t="str">
            <v>1;07;CE;B;PAQ34a36</v>
          </cell>
          <cell r="B2716">
            <v>730069</v>
          </cell>
          <cell r="C2716" t="str">
            <v>CE</v>
          </cell>
          <cell r="D2716" t="str">
            <v>CEUTA</v>
          </cell>
          <cell r="E2716" t="str">
            <v>07</v>
          </cell>
          <cell r="F2716" t="str">
            <v>PAQ34a36</v>
          </cell>
          <cell r="G2716" t="str">
            <v>B</v>
          </cell>
          <cell r="H2716">
            <v>0</v>
          </cell>
        </row>
        <row r="2717">
          <cell r="A2717" t="str">
            <v>1;07;CE;B;PAQ36a38</v>
          </cell>
          <cell r="B2717">
            <v>730069</v>
          </cell>
          <cell r="C2717" t="str">
            <v>CE</v>
          </cell>
          <cell r="D2717" t="str">
            <v>CEUTA</v>
          </cell>
          <cell r="E2717" t="str">
            <v>07</v>
          </cell>
          <cell r="F2717" t="str">
            <v>PAQ36a38</v>
          </cell>
          <cell r="G2717" t="str">
            <v>B</v>
          </cell>
          <cell r="H2717">
            <v>0</v>
          </cell>
        </row>
        <row r="2718">
          <cell r="A2718" t="str">
            <v>1;07;CE;B;PAQ38a40</v>
          </cell>
          <cell r="B2718">
            <v>730069</v>
          </cell>
          <cell r="C2718" t="str">
            <v>CE</v>
          </cell>
          <cell r="D2718" t="str">
            <v>CEUTA</v>
          </cell>
          <cell r="E2718" t="str">
            <v>07</v>
          </cell>
          <cell r="F2718" t="str">
            <v>PAQ38a40</v>
          </cell>
          <cell r="G2718" t="str">
            <v>B</v>
          </cell>
          <cell r="H2718">
            <v>0</v>
          </cell>
        </row>
        <row r="2719">
          <cell r="A2719" t="str">
            <v>1;07;CE;F;</v>
          </cell>
          <cell r="B2719">
            <v>730069</v>
          </cell>
          <cell r="C2719" t="str">
            <v>CE</v>
          </cell>
          <cell r="D2719" t="str">
            <v>CEUTA</v>
          </cell>
          <cell r="E2719" t="str">
            <v>07</v>
          </cell>
          <cell r="F2719" t="str">
            <v/>
          </cell>
          <cell r="G2719" t="str">
            <v>F</v>
          </cell>
          <cell r="H2719">
            <v>0</v>
          </cell>
        </row>
        <row r="2720">
          <cell r="A2720" t="str">
            <v>1;07;CE;P;</v>
          </cell>
          <cell r="B2720">
            <v>730069</v>
          </cell>
          <cell r="C2720" t="str">
            <v>CE</v>
          </cell>
          <cell r="D2720" t="str">
            <v>CEUTA</v>
          </cell>
          <cell r="E2720" t="str">
            <v>07</v>
          </cell>
          <cell r="F2720" t="str">
            <v/>
          </cell>
          <cell r="G2720" t="str">
            <v>P</v>
          </cell>
          <cell r="H2720">
            <v>0</v>
          </cell>
        </row>
        <row r="2721">
          <cell r="A2721" t="str">
            <v>1;07;CE;E;</v>
          </cell>
          <cell r="B2721">
            <v>730069</v>
          </cell>
          <cell r="C2721" t="str">
            <v>CE</v>
          </cell>
          <cell r="D2721" t="str">
            <v>CEUTA</v>
          </cell>
          <cell r="E2721" t="str">
            <v>07</v>
          </cell>
          <cell r="F2721" t="str">
            <v/>
          </cell>
          <cell r="G2721" t="str">
            <v>E</v>
          </cell>
          <cell r="H2721">
            <v>0</v>
          </cell>
        </row>
        <row r="2722">
          <cell r="A2722" t="str">
            <v>1;10;CE;B;BAG</v>
          </cell>
          <cell r="B2722">
            <v>730069</v>
          </cell>
          <cell r="C2722" t="str">
            <v>CE</v>
          </cell>
          <cell r="D2722" t="str">
            <v>CEUTA</v>
          </cell>
          <cell r="E2722" t="str">
            <v>10</v>
          </cell>
          <cell r="F2722" t="str">
            <v>BAG</v>
          </cell>
          <cell r="G2722" t="str">
            <v>B</v>
          </cell>
          <cell r="H2722">
            <v>1.7</v>
          </cell>
        </row>
        <row r="2723">
          <cell r="A2723" t="str">
            <v>1;10;CE;B;DOCS</v>
          </cell>
          <cell r="B2723">
            <v>730069</v>
          </cell>
          <cell r="C2723" t="str">
            <v>CE</v>
          </cell>
          <cell r="D2723" t="str">
            <v>CEUTA</v>
          </cell>
          <cell r="E2723" t="str">
            <v>10</v>
          </cell>
          <cell r="F2723" t="str">
            <v>DOCS</v>
          </cell>
          <cell r="G2723" t="str">
            <v>B</v>
          </cell>
          <cell r="H2723">
            <v>1.7</v>
          </cell>
        </row>
        <row r="2724">
          <cell r="A2724" t="str">
            <v>1;14;CE;B;BAG</v>
          </cell>
          <cell r="B2724">
            <v>730069</v>
          </cell>
          <cell r="C2724" t="str">
            <v>CE</v>
          </cell>
          <cell r="D2724" t="str">
            <v>CEUTA</v>
          </cell>
          <cell r="E2724" t="str">
            <v>14</v>
          </cell>
          <cell r="F2724" t="str">
            <v>BAG</v>
          </cell>
          <cell r="G2724" t="str">
            <v>B</v>
          </cell>
          <cell r="H2724">
            <v>1.79</v>
          </cell>
        </row>
        <row r="2725">
          <cell r="A2725" t="str">
            <v>1;15;CE;B;BAG</v>
          </cell>
          <cell r="B2725">
            <v>730069</v>
          </cell>
          <cell r="C2725" t="str">
            <v>CE</v>
          </cell>
          <cell r="D2725" t="str">
            <v>CEUTA</v>
          </cell>
          <cell r="E2725" t="str">
            <v>15</v>
          </cell>
          <cell r="F2725" t="str">
            <v>BAG</v>
          </cell>
          <cell r="G2725" t="str">
            <v>B</v>
          </cell>
          <cell r="H2725">
            <v>1.79</v>
          </cell>
        </row>
        <row r="2726">
          <cell r="A2726" t="str">
            <v>1;21;CE;B;BAG</v>
          </cell>
          <cell r="B2726">
            <v>730069</v>
          </cell>
          <cell r="C2726" t="str">
            <v>CE</v>
          </cell>
          <cell r="D2726" t="str">
            <v>CEUTA</v>
          </cell>
          <cell r="E2726" t="str">
            <v>21</v>
          </cell>
          <cell r="F2726" t="str">
            <v>BAG</v>
          </cell>
          <cell r="G2726" t="str">
            <v>B</v>
          </cell>
          <cell r="H2726">
            <v>28.96</v>
          </cell>
        </row>
        <row r="2727">
          <cell r="A2727" t="str">
            <v>1;21;CE;B;DOCS</v>
          </cell>
          <cell r="B2727">
            <v>730069</v>
          </cell>
          <cell r="C2727" t="str">
            <v>CE</v>
          </cell>
          <cell r="D2727" t="str">
            <v>CEUTA</v>
          </cell>
          <cell r="E2727" t="str">
            <v>21</v>
          </cell>
          <cell r="F2727" t="str">
            <v>DOCS</v>
          </cell>
          <cell r="G2727" t="str">
            <v>B</v>
          </cell>
          <cell r="H2727">
            <v>28.96</v>
          </cell>
        </row>
        <row r="2728">
          <cell r="A2728" t="str">
            <v>1;21;CE;B;PAQ00a02</v>
          </cell>
          <cell r="B2728">
            <v>730069</v>
          </cell>
          <cell r="C2728" t="str">
            <v>CE</v>
          </cell>
          <cell r="D2728" t="str">
            <v>CEUTA</v>
          </cell>
          <cell r="E2728" t="str">
            <v>21</v>
          </cell>
          <cell r="F2728" t="str">
            <v>PAQ00a02</v>
          </cell>
          <cell r="G2728" t="str">
            <v>B</v>
          </cell>
          <cell r="H2728">
            <v>32.590000000000003</v>
          </cell>
        </row>
        <row r="2729">
          <cell r="A2729" t="str">
            <v>1;21;CE;B;PAQ02a04</v>
          </cell>
          <cell r="B2729">
            <v>730069</v>
          </cell>
          <cell r="C2729" t="str">
            <v>CE</v>
          </cell>
          <cell r="D2729" t="str">
            <v>CEUTA</v>
          </cell>
          <cell r="E2729" t="str">
            <v>21</v>
          </cell>
          <cell r="F2729" t="str">
            <v>PAQ02a04</v>
          </cell>
          <cell r="G2729" t="str">
            <v>B</v>
          </cell>
          <cell r="H2729">
            <v>49.44</v>
          </cell>
        </row>
        <row r="2730">
          <cell r="A2730" t="str">
            <v>1;21;CE;B;PAQ04a06</v>
          </cell>
          <cell r="B2730">
            <v>730069</v>
          </cell>
          <cell r="C2730" t="str">
            <v>CE</v>
          </cell>
          <cell r="D2730" t="str">
            <v>CEUTA</v>
          </cell>
          <cell r="E2730" t="str">
            <v>21</v>
          </cell>
          <cell r="F2730" t="str">
            <v>PAQ04a06</v>
          </cell>
          <cell r="G2730" t="str">
            <v>B</v>
          </cell>
          <cell r="H2730">
            <v>69.459999999999994</v>
          </cell>
        </row>
        <row r="2731">
          <cell r="A2731" t="str">
            <v>1;21;CE;B;PAQ06a08</v>
          </cell>
          <cell r="B2731">
            <v>730069</v>
          </cell>
          <cell r="C2731" t="str">
            <v>CE</v>
          </cell>
          <cell r="D2731" t="str">
            <v>CEUTA</v>
          </cell>
          <cell r="E2731" t="str">
            <v>21</v>
          </cell>
          <cell r="F2731" t="str">
            <v>PAQ06a08</v>
          </cell>
          <cell r="G2731" t="str">
            <v>B</v>
          </cell>
          <cell r="H2731">
            <v>89.47</v>
          </cell>
        </row>
        <row r="2732">
          <cell r="A2732" t="str">
            <v>1;21;CE;B;PAQ08a10</v>
          </cell>
          <cell r="B2732">
            <v>730069</v>
          </cell>
          <cell r="C2732" t="str">
            <v>CE</v>
          </cell>
          <cell r="D2732" t="str">
            <v>CEUTA</v>
          </cell>
          <cell r="E2732" t="str">
            <v>21</v>
          </cell>
          <cell r="F2732" t="str">
            <v>PAQ08a10</v>
          </cell>
          <cell r="G2732" t="str">
            <v>B</v>
          </cell>
          <cell r="H2732">
            <v>109.48</v>
          </cell>
        </row>
        <row r="2733">
          <cell r="A2733" t="str">
            <v>1;21;CE;B;PAQ10a12</v>
          </cell>
          <cell r="B2733">
            <v>730069</v>
          </cell>
          <cell r="C2733" t="str">
            <v>CE</v>
          </cell>
          <cell r="D2733" t="str">
            <v>CEUTA</v>
          </cell>
          <cell r="E2733" t="str">
            <v>21</v>
          </cell>
          <cell r="F2733" t="str">
            <v>PAQ10a12</v>
          </cell>
          <cell r="G2733" t="str">
            <v>B</v>
          </cell>
          <cell r="H2733">
            <v>129.49</v>
          </cell>
        </row>
        <row r="2734">
          <cell r="A2734" t="str">
            <v>1;21;CE;B;PAQ12a14</v>
          </cell>
          <cell r="B2734">
            <v>730069</v>
          </cell>
          <cell r="C2734" t="str">
            <v>CE</v>
          </cell>
          <cell r="D2734" t="str">
            <v>CEUTA</v>
          </cell>
          <cell r="E2734" t="str">
            <v>21</v>
          </cell>
          <cell r="F2734" t="str">
            <v>PAQ12a14</v>
          </cell>
          <cell r="G2734" t="str">
            <v>B</v>
          </cell>
          <cell r="H2734">
            <v>149.5</v>
          </cell>
        </row>
        <row r="2735">
          <cell r="A2735" t="str">
            <v>1;21;CE;B;PAQ14a16</v>
          </cell>
          <cell r="B2735">
            <v>730069</v>
          </cell>
          <cell r="C2735" t="str">
            <v>CE</v>
          </cell>
          <cell r="D2735" t="str">
            <v>CEUTA</v>
          </cell>
          <cell r="E2735" t="str">
            <v>21</v>
          </cell>
          <cell r="F2735" t="str">
            <v>PAQ14a16</v>
          </cell>
          <cell r="G2735" t="str">
            <v>B</v>
          </cell>
          <cell r="H2735">
            <v>169.51</v>
          </cell>
        </row>
        <row r="2736">
          <cell r="A2736" t="str">
            <v>1;21;CE;B;PAQ16a18</v>
          </cell>
          <cell r="B2736">
            <v>730069</v>
          </cell>
          <cell r="C2736" t="str">
            <v>CE</v>
          </cell>
          <cell r="D2736" t="str">
            <v>CEUTA</v>
          </cell>
          <cell r="E2736" t="str">
            <v>21</v>
          </cell>
          <cell r="F2736" t="str">
            <v>PAQ16a18</v>
          </cell>
          <cell r="G2736" t="str">
            <v>B</v>
          </cell>
          <cell r="H2736">
            <v>189.53</v>
          </cell>
        </row>
        <row r="2737">
          <cell r="A2737" t="str">
            <v>1;21;CE;B;PAQ18a20</v>
          </cell>
          <cell r="B2737">
            <v>730069</v>
          </cell>
          <cell r="C2737" t="str">
            <v>CE</v>
          </cell>
          <cell r="D2737" t="str">
            <v>CEUTA</v>
          </cell>
          <cell r="E2737" t="str">
            <v>21</v>
          </cell>
          <cell r="F2737" t="str">
            <v>PAQ18a20</v>
          </cell>
          <cell r="G2737" t="str">
            <v>B</v>
          </cell>
          <cell r="H2737">
            <v>209.53</v>
          </cell>
        </row>
        <row r="2738">
          <cell r="A2738" t="str">
            <v>1;21;CE;B;PAQ20a22</v>
          </cell>
          <cell r="B2738">
            <v>730069</v>
          </cell>
          <cell r="C2738" t="str">
            <v>CE</v>
          </cell>
          <cell r="D2738" t="str">
            <v>CEUTA</v>
          </cell>
          <cell r="E2738" t="str">
            <v>21</v>
          </cell>
          <cell r="F2738" t="str">
            <v>PAQ20a22</v>
          </cell>
          <cell r="G2738" t="str">
            <v>B</v>
          </cell>
          <cell r="H2738">
            <v>229.54</v>
          </cell>
        </row>
        <row r="2739">
          <cell r="A2739" t="str">
            <v>1;21;CE;B;PAQ22a24</v>
          </cell>
          <cell r="B2739">
            <v>730069</v>
          </cell>
          <cell r="C2739" t="str">
            <v>CE</v>
          </cell>
          <cell r="D2739" t="str">
            <v>CEUTA</v>
          </cell>
          <cell r="E2739" t="str">
            <v>21</v>
          </cell>
          <cell r="F2739" t="str">
            <v>PAQ22a24</v>
          </cell>
          <cell r="G2739" t="str">
            <v>B</v>
          </cell>
          <cell r="H2739">
            <v>249.55</v>
          </cell>
        </row>
        <row r="2740">
          <cell r="A2740" t="str">
            <v>1;21;CE;B;PAQ24a26</v>
          </cell>
          <cell r="B2740">
            <v>730069</v>
          </cell>
          <cell r="C2740" t="str">
            <v>CE</v>
          </cell>
          <cell r="D2740" t="str">
            <v>CEUTA</v>
          </cell>
          <cell r="E2740" t="str">
            <v>21</v>
          </cell>
          <cell r="F2740" t="str">
            <v>PAQ24a26</v>
          </cell>
          <cell r="G2740" t="str">
            <v>B</v>
          </cell>
          <cell r="H2740">
            <v>269.57</v>
          </cell>
        </row>
        <row r="2741">
          <cell r="A2741" t="str">
            <v>1;21;CE;B;PAQ26a28</v>
          </cell>
          <cell r="B2741">
            <v>730069</v>
          </cell>
          <cell r="C2741" t="str">
            <v>CE</v>
          </cell>
          <cell r="D2741" t="str">
            <v>CEUTA</v>
          </cell>
          <cell r="E2741" t="str">
            <v>21</v>
          </cell>
          <cell r="F2741" t="str">
            <v>PAQ26a28</v>
          </cell>
          <cell r="G2741" t="str">
            <v>B</v>
          </cell>
          <cell r="H2741">
            <v>289.57</v>
          </cell>
        </row>
        <row r="2742">
          <cell r="A2742" t="str">
            <v>1;21;CE;B;PAQ28a30</v>
          </cell>
          <cell r="B2742">
            <v>730069</v>
          </cell>
          <cell r="C2742" t="str">
            <v>CE</v>
          </cell>
          <cell r="D2742" t="str">
            <v>CEUTA</v>
          </cell>
          <cell r="E2742" t="str">
            <v>21</v>
          </cell>
          <cell r="F2742" t="str">
            <v>PAQ28a30</v>
          </cell>
          <cell r="G2742" t="str">
            <v>B</v>
          </cell>
          <cell r="H2742">
            <v>309.58</v>
          </cell>
        </row>
        <row r="2743">
          <cell r="A2743" t="str">
            <v>1;21;CE;B;PAQ30a32</v>
          </cell>
          <cell r="B2743">
            <v>730069</v>
          </cell>
          <cell r="C2743" t="str">
            <v>CE</v>
          </cell>
          <cell r="D2743" t="str">
            <v>CEUTA</v>
          </cell>
          <cell r="E2743" t="str">
            <v>21</v>
          </cell>
          <cell r="F2743" t="str">
            <v>PAQ30a32</v>
          </cell>
          <cell r="G2743" t="str">
            <v>B</v>
          </cell>
          <cell r="H2743">
            <v>329.6</v>
          </cell>
        </row>
        <row r="2744">
          <cell r="A2744" t="str">
            <v>1;21;CE;B;PAQ32a34</v>
          </cell>
          <cell r="B2744">
            <v>730069</v>
          </cell>
          <cell r="C2744" t="str">
            <v>CE</v>
          </cell>
          <cell r="D2744" t="str">
            <v>CEUTA</v>
          </cell>
          <cell r="E2744" t="str">
            <v>21</v>
          </cell>
          <cell r="F2744" t="str">
            <v>PAQ32a34</v>
          </cell>
          <cell r="G2744" t="str">
            <v>B</v>
          </cell>
          <cell r="H2744">
            <v>349.61</v>
          </cell>
        </row>
        <row r="2745">
          <cell r="A2745" t="str">
            <v>1;21;CE;B;PAQ34a36</v>
          </cell>
          <cell r="B2745">
            <v>730069</v>
          </cell>
          <cell r="C2745" t="str">
            <v>CE</v>
          </cell>
          <cell r="D2745" t="str">
            <v>CEUTA</v>
          </cell>
          <cell r="E2745" t="str">
            <v>21</v>
          </cell>
          <cell r="F2745" t="str">
            <v>PAQ34a36</v>
          </cell>
          <cell r="G2745" t="str">
            <v>B</v>
          </cell>
          <cell r="H2745">
            <v>369.61</v>
          </cell>
        </row>
        <row r="2746">
          <cell r="A2746" t="str">
            <v>1;21;CE;B;PAQ36a38</v>
          </cell>
          <cell r="B2746">
            <v>730069</v>
          </cell>
          <cell r="C2746" t="str">
            <v>CE</v>
          </cell>
          <cell r="D2746" t="str">
            <v>CEUTA</v>
          </cell>
          <cell r="E2746" t="str">
            <v>21</v>
          </cell>
          <cell r="F2746" t="str">
            <v>PAQ36a38</v>
          </cell>
          <cell r="G2746" t="str">
            <v>B</v>
          </cell>
          <cell r="H2746">
            <v>389.62</v>
          </cell>
        </row>
        <row r="2747">
          <cell r="A2747" t="str">
            <v>1;21;CE;B;PAQ38a40</v>
          </cell>
          <cell r="B2747">
            <v>730069</v>
          </cell>
          <cell r="C2747" t="str">
            <v>CE</v>
          </cell>
          <cell r="D2747" t="str">
            <v>CEUTA</v>
          </cell>
          <cell r="E2747" t="str">
            <v>21</v>
          </cell>
          <cell r="F2747" t="str">
            <v>PAQ38a40</v>
          </cell>
          <cell r="G2747" t="str">
            <v>B</v>
          </cell>
          <cell r="H2747">
            <v>409.64</v>
          </cell>
        </row>
        <row r="2748">
          <cell r="A2748" t="str">
            <v>1;21;CE;F;</v>
          </cell>
          <cell r="B2748">
            <v>730069</v>
          </cell>
          <cell r="C2748" t="str">
            <v>CE</v>
          </cell>
          <cell r="D2748" t="str">
            <v>CEUTA</v>
          </cell>
          <cell r="E2748" t="str">
            <v>21</v>
          </cell>
          <cell r="F2748" t="str">
            <v/>
          </cell>
          <cell r="G2748" t="str">
            <v>F</v>
          </cell>
          <cell r="H2748">
            <v>20.010000000000002</v>
          </cell>
        </row>
        <row r="2749">
          <cell r="A2749" t="str">
            <v>1;21;CE;E;</v>
          </cell>
          <cell r="B2749">
            <v>730069</v>
          </cell>
          <cell r="C2749" t="str">
            <v>CE</v>
          </cell>
          <cell r="D2749" t="str">
            <v>CEUTA</v>
          </cell>
          <cell r="E2749" t="str">
            <v>21</v>
          </cell>
          <cell r="F2749" t="str">
            <v/>
          </cell>
          <cell r="G2749" t="str">
            <v>E</v>
          </cell>
          <cell r="H2749">
            <v>0</v>
          </cell>
        </row>
        <row r="2750">
          <cell r="A2750" t="str">
            <v>1;21;CE;P;</v>
          </cell>
          <cell r="B2750">
            <v>730069</v>
          </cell>
          <cell r="C2750" t="str">
            <v>CE</v>
          </cell>
          <cell r="D2750" t="str">
            <v>CEUTA</v>
          </cell>
          <cell r="E2750" t="str">
            <v>21</v>
          </cell>
          <cell r="F2750" t="str">
            <v/>
          </cell>
          <cell r="G2750" t="str">
            <v>P</v>
          </cell>
          <cell r="H2750">
            <v>0</v>
          </cell>
        </row>
        <row r="2751">
          <cell r="A2751" t="str">
            <v>1;61;CE;B;BAG</v>
          </cell>
          <cell r="B2751">
            <v>730069</v>
          </cell>
          <cell r="C2751" t="str">
            <v>CE</v>
          </cell>
          <cell r="D2751" t="str">
            <v>CEUTA</v>
          </cell>
          <cell r="E2751" t="str">
            <v>61</v>
          </cell>
          <cell r="F2751" t="str">
            <v>BAG</v>
          </cell>
          <cell r="G2751" t="str">
            <v>B</v>
          </cell>
          <cell r="H2751">
            <v>23.05</v>
          </cell>
        </row>
        <row r="2752">
          <cell r="A2752" t="str">
            <v>1;61;CE;B;PAQ00a02</v>
          </cell>
          <cell r="B2752">
            <v>730069</v>
          </cell>
          <cell r="C2752" t="str">
            <v>CE</v>
          </cell>
          <cell r="D2752" t="str">
            <v>CEUTA</v>
          </cell>
          <cell r="E2752" t="str">
            <v>61</v>
          </cell>
          <cell r="F2752" t="str">
            <v>PAQ00a02</v>
          </cell>
          <cell r="G2752" t="str">
            <v>B</v>
          </cell>
          <cell r="H2752">
            <v>26.65</v>
          </cell>
        </row>
        <row r="2753">
          <cell r="A2753" t="str">
            <v>1;61;CE;B;PAQ02a04</v>
          </cell>
          <cell r="B2753">
            <v>730069</v>
          </cell>
          <cell r="C2753" t="str">
            <v>CE</v>
          </cell>
          <cell r="D2753" t="str">
            <v>CEUTA</v>
          </cell>
          <cell r="E2753" t="str">
            <v>61</v>
          </cell>
          <cell r="F2753" t="str">
            <v>PAQ02a04</v>
          </cell>
          <cell r="G2753" t="str">
            <v>B</v>
          </cell>
          <cell r="H2753">
            <v>43.5</v>
          </cell>
        </row>
        <row r="2754">
          <cell r="A2754" t="str">
            <v>1;61;CE;B;PAQ04a06</v>
          </cell>
          <cell r="B2754">
            <v>730069</v>
          </cell>
          <cell r="C2754" t="str">
            <v>CE</v>
          </cell>
          <cell r="D2754" t="str">
            <v>CEUTA</v>
          </cell>
          <cell r="E2754" t="str">
            <v>61</v>
          </cell>
          <cell r="F2754" t="str">
            <v>PAQ04a06</v>
          </cell>
          <cell r="G2754" t="str">
            <v>B</v>
          </cell>
          <cell r="H2754">
            <v>63.51</v>
          </cell>
        </row>
        <row r="2755">
          <cell r="A2755" t="str">
            <v>1;61;CE;B;PAQ06a08</v>
          </cell>
          <cell r="B2755">
            <v>730069</v>
          </cell>
          <cell r="C2755" t="str">
            <v>CE</v>
          </cell>
          <cell r="D2755" t="str">
            <v>CEUTA</v>
          </cell>
          <cell r="E2755" t="str">
            <v>61</v>
          </cell>
          <cell r="F2755" t="str">
            <v>PAQ06a08</v>
          </cell>
          <cell r="G2755" t="str">
            <v>B</v>
          </cell>
          <cell r="H2755">
            <v>83.53</v>
          </cell>
        </row>
        <row r="2756">
          <cell r="A2756" t="str">
            <v>1;61;CE;B;PAQ08a10</v>
          </cell>
          <cell r="B2756">
            <v>730069</v>
          </cell>
          <cell r="C2756" t="str">
            <v>CE</v>
          </cell>
          <cell r="D2756" t="str">
            <v>CEUTA</v>
          </cell>
          <cell r="E2756" t="str">
            <v>61</v>
          </cell>
          <cell r="F2756" t="str">
            <v>PAQ08a10</v>
          </cell>
          <cell r="G2756" t="str">
            <v>B</v>
          </cell>
          <cell r="H2756">
            <v>103.54</v>
          </cell>
        </row>
        <row r="2757">
          <cell r="A2757" t="str">
            <v>1;61;CE;B;PAQ10a12</v>
          </cell>
          <cell r="B2757">
            <v>730069</v>
          </cell>
          <cell r="C2757" t="str">
            <v>CE</v>
          </cell>
          <cell r="D2757" t="str">
            <v>CEUTA</v>
          </cell>
          <cell r="E2757" t="str">
            <v>61</v>
          </cell>
          <cell r="F2757" t="str">
            <v>PAQ10a12</v>
          </cell>
          <cell r="G2757" t="str">
            <v>B</v>
          </cell>
          <cell r="H2757">
            <v>123.54</v>
          </cell>
        </row>
        <row r="2758">
          <cell r="A2758" t="str">
            <v>1;61;CE;B;PAQ12a14</v>
          </cell>
          <cell r="B2758">
            <v>730069</v>
          </cell>
          <cell r="C2758" t="str">
            <v>CE</v>
          </cell>
          <cell r="D2758" t="str">
            <v>CEUTA</v>
          </cell>
          <cell r="E2758" t="str">
            <v>61</v>
          </cell>
          <cell r="F2758" t="str">
            <v>PAQ12a14</v>
          </cell>
          <cell r="G2758" t="str">
            <v>B</v>
          </cell>
          <cell r="H2758">
            <v>143.56</v>
          </cell>
        </row>
        <row r="2759">
          <cell r="A2759" t="str">
            <v>1;61;CE;B;PAQ14a16</v>
          </cell>
          <cell r="B2759">
            <v>730069</v>
          </cell>
          <cell r="C2759" t="str">
            <v>CE</v>
          </cell>
          <cell r="D2759" t="str">
            <v>CEUTA</v>
          </cell>
          <cell r="E2759" t="str">
            <v>61</v>
          </cell>
          <cell r="F2759" t="str">
            <v>PAQ14a16</v>
          </cell>
          <cell r="G2759" t="str">
            <v>B</v>
          </cell>
          <cell r="H2759">
            <v>163.57</v>
          </cell>
        </row>
        <row r="2760">
          <cell r="A2760" t="str">
            <v>1;61;CE;B;PAQ16a18</v>
          </cell>
          <cell r="B2760">
            <v>730069</v>
          </cell>
          <cell r="C2760" t="str">
            <v>CE</v>
          </cell>
          <cell r="D2760" t="str">
            <v>CEUTA</v>
          </cell>
          <cell r="E2760" t="str">
            <v>61</v>
          </cell>
          <cell r="F2760" t="str">
            <v>PAQ16a18</v>
          </cell>
          <cell r="G2760" t="str">
            <v>B</v>
          </cell>
          <cell r="H2760">
            <v>183.58</v>
          </cell>
        </row>
        <row r="2761">
          <cell r="A2761" t="str">
            <v>1;61;CE;B;PAQ18a20</v>
          </cell>
          <cell r="B2761">
            <v>730069</v>
          </cell>
          <cell r="C2761" t="str">
            <v>CE</v>
          </cell>
          <cell r="D2761" t="str">
            <v>CEUTA</v>
          </cell>
          <cell r="E2761" t="str">
            <v>61</v>
          </cell>
          <cell r="F2761" t="str">
            <v>PAQ18a20</v>
          </cell>
          <cell r="G2761" t="str">
            <v>B</v>
          </cell>
          <cell r="H2761">
            <v>203.58</v>
          </cell>
        </row>
        <row r="2762">
          <cell r="A2762" t="str">
            <v>1;61;CE;B;PAQ20a22</v>
          </cell>
          <cell r="B2762">
            <v>730069</v>
          </cell>
          <cell r="C2762" t="str">
            <v>CE</v>
          </cell>
          <cell r="D2762" t="str">
            <v>CEUTA</v>
          </cell>
          <cell r="E2762" t="str">
            <v>61</v>
          </cell>
          <cell r="F2762" t="str">
            <v>PAQ20a22</v>
          </cell>
          <cell r="G2762" t="str">
            <v>B</v>
          </cell>
          <cell r="H2762">
            <v>223.6</v>
          </cell>
        </row>
        <row r="2763">
          <cell r="A2763" t="str">
            <v>1;61;CE;B;PAQ22a24</v>
          </cell>
          <cell r="B2763">
            <v>730069</v>
          </cell>
          <cell r="C2763" t="str">
            <v>CE</v>
          </cell>
          <cell r="D2763" t="str">
            <v>CEUTA</v>
          </cell>
          <cell r="E2763" t="str">
            <v>61</v>
          </cell>
          <cell r="F2763" t="str">
            <v>PAQ22a24</v>
          </cell>
          <cell r="G2763" t="str">
            <v>B</v>
          </cell>
          <cell r="H2763">
            <v>243.61</v>
          </cell>
        </row>
        <row r="2764">
          <cell r="A2764" t="str">
            <v>1;61;CE;B;PAQ24a26</v>
          </cell>
          <cell r="B2764">
            <v>730069</v>
          </cell>
          <cell r="C2764" t="str">
            <v>CE</v>
          </cell>
          <cell r="D2764" t="str">
            <v>CEUTA</v>
          </cell>
          <cell r="E2764" t="str">
            <v>61</v>
          </cell>
          <cell r="F2764" t="str">
            <v>PAQ24a26</v>
          </cell>
          <cell r="G2764" t="str">
            <v>B</v>
          </cell>
          <cell r="H2764">
            <v>263.62</v>
          </cell>
        </row>
        <row r="2765">
          <cell r="A2765" t="str">
            <v>1;61;CE;B;PAQ26a28</v>
          </cell>
          <cell r="B2765">
            <v>730069</v>
          </cell>
          <cell r="C2765" t="str">
            <v>CE</v>
          </cell>
          <cell r="D2765" t="str">
            <v>CEUTA</v>
          </cell>
          <cell r="E2765" t="str">
            <v>61</v>
          </cell>
          <cell r="F2765" t="str">
            <v>PAQ26a28</v>
          </cell>
          <cell r="G2765" t="str">
            <v>B</v>
          </cell>
          <cell r="H2765">
            <v>283.63</v>
          </cell>
        </row>
        <row r="2766">
          <cell r="A2766" t="str">
            <v>1;61;CE;B;PAQ28a30</v>
          </cell>
          <cell r="B2766">
            <v>730069</v>
          </cell>
          <cell r="C2766" t="str">
            <v>CE</v>
          </cell>
          <cell r="D2766" t="str">
            <v>CEUTA</v>
          </cell>
          <cell r="E2766" t="str">
            <v>61</v>
          </cell>
          <cell r="F2766" t="str">
            <v>PAQ28a30</v>
          </cell>
          <cell r="G2766" t="str">
            <v>B</v>
          </cell>
          <cell r="H2766">
            <v>303.64</v>
          </cell>
        </row>
        <row r="2767">
          <cell r="A2767" t="str">
            <v>1;61;CE;B;PAQ30a32</v>
          </cell>
          <cell r="B2767">
            <v>730069</v>
          </cell>
          <cell r="C2767" t="str">
            <v>CE</v>
          </cell>
          <cell r="D2767" t="str">
            <v>CEUTA</v>
          </cell>
          <cell r="E2767" t="str">
            <v>61</v>
          </cell>
          <cell r="F2767" t="str">
            <v>PAQ30a32</v>
          </cell>
          <cell r="G2767" t="str">
            <v>B</v>
          </cell>
          <cell r="H2767">
            <v>323.64999999999998</v>
          </cell>
        </row>
        <row r="2768">
          <cell r="A2768" t="str">
            <v>1;61;CE;B;PAQ32a34</v>
          </cell>
          <cell r="B2768">
            <v>730069</v>
          </cell>
          <cell r="C2768" t="str">
            <v>CE</v>
          </cell>
          <cell r="D2768" t="str">
            <v>CEUTA</v>
          </cell>
          <cell r="E2768" t="str">
            <v>61</v>
          </cell>
          <cell r="F2768" t="str">
            <v>PAQ32a34</v>
          </cell>
          <cell r="G2768" t="str">
            <v>B</v>
          </cell>
          <cell r="H2768">
            <v>343.67</v>
          </cell>
        </row>
        <row r="2769">
          <cell r="A2769" t="str">
            <v>1;61;CE;B;PAQ34a36</v>
          </cell>
          <cell r="B2769">
            <v>730069</v>
          </cell>
          <cell r="C2769" t="str">
            <v>CE</v>
          </cell>
          <cell r="D2769" t="str">
            <v>CEUTA</v>
          </cell>
          <cell r="E2769" t="str">
            <v>61</v>
          </cell>
          <cell r="F2769" t="str">
            <v>PAQ34a36</v>
          </cell>
          <cell r="G2769" t="str">
            <v>B</v>
          </cell>
          <cell r="H2769">
            <v>363.67</v>
          </cell>
        </row>
        <row r="2770">
          <cell r="A2770" t="str">
            <v>1;61;CE;B;PAQ36a38</v>
          </cell>
          <cell r="B2770">
            <v>730069</v>
          </cell>
          <cell r="C2770" t="str">
            <v>CE</v>
          </cell>
          <cell r="D2770" t="str">
            <v>CEUTA</v>
          </cell>
          <cell r="E2770" t="str">
            <v>61</v>
          </cell>
          <cell r="F2770" t="str">
            <v>PAQ36a38</v>
          </cell>
          <cell r="G2770" t="str">
            <v>B</v>
          </cell>
          <cell r="H2770">
            <v>383.68</v>
          </cell>
        </row>
        <row r="2771">
          <cell r="A2771" t="str">
            <v>1;61;CE;F;</v>
          </cell>
          <cell r="B2771">
            <v>730069</v>
          </cell>
          <cell r="C2771" t="str">
            <v>CE</v>
          </cell>
          <cell r="D2771" t="str">
            <v>CEUTA</v>
          </cell>
          <cell r="E2771" t="str">
            <v>61</v>
          </cell>
          <cell r="F2771" t="str">
            <v/>
          </cell>
          <cell r="G2771" t="str">
            <v>F</v>
          </cell>
          <cell r="H2771">
            <v>20.010000000000002</v>
          </cell>
        </row>
        <row r="2772">
          <cell r="A2772" t="str">
            <v>1;61;CE;B;PAQ38a40</v>
          </cell>
          <cell r="B2772">
            <v>730069</v>
          </cell>
          <cell r="C2772" t="str">
            <v>CE</v>
          </cell>
          <cell r="D2772" t="str">
            <v>CEUTA</v>
          </cell>
          <cell r="E2772" t="str">
            <v>61</v>
          </cell>
          <cell r="F2772" t="str">
            <v>PAQ38a40</v>
          </cell>
          <cell r="G2772" t="str">
            <v>B</v>
          </cell>
          <cell r="H2772">
            <v>403.69</v>
          </cell>
        </row>
        <row r="2773">
          <cell r="A2773" t="str">
            <v>1;61;CE;E;</v>
          </cell>
          <cell r="B2773">
            <v>730069</v>
          </cell>
          <cell r="C2773" t="str">
            <v>CE</v>
          </cell>
          <cell r="D2773" t="str">
            <v>CEUTA</v>
          </cell>
          <cell r="E2773" t="str">
            <v>61</v>
          </cell>
          <cell r="F2773" t="str">
            <v/>
          </cell>
          <cell r="G2773" t="str">
            <v>E</v>
          </cell>
          <cell r="H2773">
            <v>0</v>
          </cell>
        </row>
        <row r="2774">
          <cell r="A2774" t="str">
            <v>1;61;CE;P;</v>
          </cell>
          <cell r="B2774">
            <v>730069</v>
          </cell>
          <cell r="C2774" t="str">
            <v>CE</v>
          </cell>
          <cell r="D2774" t="str">
            <v>CEUTA</v>
          </cell>
          <cell r="E2774" t="str">
            <v>61</v>
          </cell>
          <cell r="F2774" t="str">
            <v/>
          </cell>
          <cell r="G2774" t="str">
            <v>P</v>
          </cell>
          <cell r="H2774">
            <v>0</v>
          </cell>
        </row>
        <row r="2775">
          <cell r="A2775" t="str">
            <v>1;71;CE;B;48L 15-25</v>
          </cell>
          <cell r="B2775">
            <v>730069</v>
          </cell>
          <cell r="C2775" t="str">
            <v>CE</v>
          </cell>
          <cell r="D2775" t="str">
            <v>CEUTA</v>
          </cell>
          <cell r="E2775" t="str">
            <v>71</v>
          </cell>
          <cell r="F2775" t="str">
            <v>48L 15-25</v>
          </cell>
          <cell r="G2775" t="str">
            <v>B</v>
          </cell>
          <cell r="H2775">
            <v>177.29</v>
          </cell>
        </row>
        <row r="2776">
          <cell r="A2776" t="str">
            <v>1;71;CE;B;48LAR</v>
          </cell>
          <cell r="B2776">
            <v>730069</v>
          </cell>
          <cell r="C2776" t="str">
            <v>CE</v>
          </cell>
          <cell r="D2776" t="str">
            <v>CEUTA</v>
          </cell>
          <cell r="E2776" t="str">
            <v>71</v>
          </cell>
          <cell r="F2776" t="str">
            <v>48LAR</v>
          </cell>
          <cell r="G2776" t="str">
            <v>B</v>
          </cell>
          <cell r="H2776">
            <v>174.67</v>
          </cell>
        </row>
        <row r="2777">
          <cell r="A2777" t="str">
            <v>1;71;CE;B;48M 15-25</v>
          </cell>
          <cell r="B2777">
            <v>730069</v>
          </cell>
          <cell r="C2777" t="str">
            <v>CE</v>
          </cell>
          <cell r="D2777" t="str">
            <v>CEUTA</v>
          </cell>
          <cell r="E2777" t="str">
            <v>71</v>
          </cell>
          <cell r="F2777" t="str">
            <v>48M 15-25</v>
          </cell>
          <cell r="G2777" t="str">
            <v>B</v>
          </cell>
          <cell r="H2777">
            <v>153.13</v>
          </cell>
        </row>
        <row r="2778">
          <cell r="A2778" t="str">
            <v>1;71;CE;B;48MED</v>
          </cell>
          <cell r="B2778">
            <v>730069</v>
          </cell>
          <cell r="C2778" t="str">
            <v>CE</v>
          </cell>
          <cell r="D2778" t="str">
            <v>CEUTA</v>
          </cell>
          <cell r="E2778" t="str">
            <v>71</v>
          </cell>
          <cell r="F2778" t="str">
            <v>48MED</v>
          </cell>
          <cell r="G2778" t="str">
            <v>B</v>
          </cell>
          <cell r="H2778">
            <v>136.57</v>
          </cell>
        </row>
        <row r="2779">
          <cell r="A2779" t="str">
            <v>1;71;CE;B;48S 15-25</v>
          </cell>
          <cell r="B2779">
            <v>730069</v>
          </cell>
          <cell r="C2779" t="str">
            <v>CE</v>
          </cell>
          <cell r="D2779" t="str">
            <v>CEUTA</v>
          </cell>
          <cell r="E2779" t="str">
            <v>71</v>
          </cell>
          <cell r="F2779" t="str">
            <v>48S 15-25</v>
          </cell>
          <cell r="G2779" t="str">
            <v>B</v>
          </cell>
          <cell r="H2779">
            <v>127.88</v>
          </cell>
        </row>
        <row r="2780">
          <cell r="A2780" t="str">
            <v>1;71;CE;B;48SMA</v>
          </cell>
          <cell r="B2780">
            <v>730069</v>
          </cell>
          <cell r="C2780" t="str">
            <v>CE</v>
          </cell>
          <cell r="D2780" t="str">
            <v>CEUTA</v>
          </cell>
          <cell r="E2780" t="str">
            <v>71</v>
          </cell>
          <cell r="F2780" t="str">
            <v>48SMA</v>
          </cell>
          <cell r="G2780" t="str">
            <v>B</v>
          </cell>
          <cell r="H2780">
            <v>118.15</v>
          </cell>
        </row>
        <row r="2781">
          <cell r="A2781" t="str">
            <v>1;71;CE;B;96M 15-25</v>
          </cell>
          <cell r="B2781">
            <v>730069</v>
          </cell>
          <cell r="C2781" t="str">
            <v>CE</v>
          </cell>
          <cell r="D2781" t="str">
            <v>CEUTA</v>
          </cell>
          <cell r="E2781" t="str">
            <v>71</v>
          </cell>
          <cell r="F2781" t="str">
            <v>96M 15-25</v>
          </cell>
          <cell r="G2781" t="str">
            <v>B</v>
          </cell>
          <cell r="H2781">
            <v>269.02</v>
          </cell>
        </row>
        <row r="2782">
          <cell r="A2782" t="str">
            <v>1;71;CE;B;96MED</v>
          </cell>
          <cell r="B2782">
            <v>730069</v>
          </cell>
          <cell r="C2782" t="str">
            <v>CE</v>
          </cell>
          <cell r="D2782" t="str">
            <v>CEUTA</v>
          </cell>
          <cell r="E2782" t="str">
            <v>71</v>
          </cell>
          <cell r="F2782" t="str">
            <v>96MED</v>
          </cell>
          <cell r="G2782" t="str">
            <v>B</v>
          </cell>
          <cell r="H2782">
            <v>233.86</v>
          </cell>
        </row>
        <row r="2783">
          <cell r="A2783" t="str">
            <v>1;71;CE;B;96S 15-25</v>
          </cell>
          <cell r="B2783">
            <v>730069</v>
          </cell>
          <cell r="C2783" t="str">
            <v>CE</v>
          </cell>
          <cell r="D2783" t="str">
            <v>CEUTA</v>
          </cell>
          <cell r="E2783" t="str">
            <v>71</v>
          </cell>
          <cell r="F2783" t="str">
            <v>96S 15-25</v>
          </cell>
          <cell r="G2783" t="str">
            <v>B</v>
          </cell>
          <cell r="H2783">
            <v>190.89</v>
          </cell>
        </row>
        <row r="2784">
          <cell r="A2784" t="str">
            <v>1;71;CE;B;96SMA</v>
          </cell>
          <cell r="B2784">
            <v>730069</v>
          </cell>
          <cell r="C2784" t="str">
            <v>CE</v>
          </cell>
          <cell r="D2784" t="str">
            <v>CEUTA</v>
          </cell>
          <cell r="E2784" t="str">
            <v>71</v>
          </cell>
          <cell r="F2784" t="str">
            <v>96SMA</v>
          </cell>
          <cell r="G2784" t="str">
            <v>B</v>
          </cell>
          <cell r="H2784">
            <v>157.22</v>
          </cell>
        </row>
        <row r="2785">
          <cell r="A2785" t="str">
            <v>1;78;CE;B;48L 15-25</v>
          </cell>
          <cell r="B2785">
            <v>730069</v>
          </cell>
          <cell r="C2785" t="str">
            <v>CE</v>
          </cell>
          <cell r="D2785" t="str">
            <v>CEUTA</v>
          </cell>
          <cell r="E2785" t="str">
            <v>78</v>
          </cell>
          <cell r="F2785" t="str">
            <v>48L 15-25</v>
          </cell>
          <cell r="G2785" t="str">
            <v>B</v>
          </cell>
          <cell r="H2785">
            <v>5</v>
          </cell>
        </row>
        <row r="2786">
          <cell r="A2786" t="str">
            <v>1;78;CE;B;48LAR</v>
          </cell>
          <cell r="B2786">
            <v>730069</v>
          </cell>
          <cell r="C2786" t="str">
            <v>CE</v>
          </cell>
          <cell r="D2786" t="str">
            <v>CEUTA</v>
          </cell>
          <cell r="E2786" t="str">
            <v>78</v>
          </cell>
          <cell r="F2786" t="str">
            <v>48LAR</v>
          </cell>
          <cell r="G2786" t="str">
            <v>B</v>
          </cell>
          <cell r="H2786">
            <v>5</v>
          </cell>
        </row>
        <row r="2787">
          <cell r="A2787" t="str">
            <v>1;78;CE;B;48M 15-25</v>
          </cell>
          <cell r="B2787">
            <v>730069</v>
          </cell>
          <cell r="C2787" t="str">
            <v>CE</v>
          </cell>
          <cell r="D2787" t="str">
            <v>CEUTA</v>
          </cell>
          <cell r="E2787" t="str">
            <v>78</v>
          </cell>
          <cell r="F2787" t="str">
            <v>48M 15-25</v>
          </cell>
          <cell r="G2787" t="str">
            <v>B</v>
          </cell>
          <cell r="H2787">
            <v>5</v>
          </cell>
        </row>
        <row r="2788">
          <cell r="A2788" t="str">
            <v>1;78;CE;B;48MED</v>
          </cell>
          <cell r="B2788">
            <v>730069</v>
          </cell>
          <cell r="C2788" t="str">
            <v>CE</v>
          </cell>
          <cell r="D2788" t="str">
            <v>CEUTA</v>
          </cell>
          <cell r="E2788" t="str">
            <v>78</v>
          </cell>
          <cell r="F2788" t="str">
            <v>48MED</v>
          </cell>
          <cell r="G2788" t="str">
            <v>B</v>
          </cell>
          <cell r="H2788">
            <v>5</v>
          </cell>
        </row>
        <row r="2789">
          <cell r="A2789" t="str">
            <v>1;78;CE;B;48S 15-25</v>
          </cell>
          <cell r="B2789">
            <v>730069</v>
          </cell>
          <cell r="C2789" t="str">
            <v>CE</v>
          </cell>
          <cell r="D2789" t="str">
            <v>CEUTA</v>
          </cell>
          <cell r="E2789" t="str">
            <v>78</v>
          </cell>
          <cell r="F2789" t="str">
            <v>48S 15-25</v>
          </cell>
          <cell r="G2789" t="str">
            <v>B</v>
          </cell>
          <cell r="H2789">
            <v>5</v>
          </cell>
        </row>
        <row r="2790">
          <cell r="A2790" t="str">
            <v>1;78;CE;B;48SMA</v>
          </cell>
          <cell r="B2790">
            <v>730069</v>
          </cell>
          <cell r="C2790" t="str">
            <v>CE</v>
          </cell>
          <cell r="D2790" t="str">
            <v>CEUTA</v>
          </cell>
          <cell r="E2790" t="str">
            <v>78</v>
          </cell>
          <cell r="F2790" t="str">
            <v>48SMA</v>
          </cell>
          <cell r="G2790" t="str">
            <v>B</v>
          </cell>
          <cell r="H2790">
            <v>5</v>
          </cell>
        </row>
        <row r="2791">
          <cell r="A2791" t="str">
            <v>1;78;CE;B;96M 15-25</v>
          </cell>
          <cell r="B2791">
            <v>730069</v>
          </cell>
          <cell r="C2791" t="str">
            <v>CE</v>
          </cell>
          <cell r="D2791" t="str">
            <v>CEUTA</v>
          </cell>
          <cell r="E2791" t="str">
            <v>78</v>
          </cell>
          <cell r="F2791" t="str">
            <v>96M 15-25</v>
          </cell>
          <cell r="G2791" t="str">
            <v>B</v>
          </cell>
          <cell r="H2791">
            <v>5</v>
          </cell>
        </row>
        <row r="2792">
          <cell r="A2792" t="str">
            <v>1;78;CE;B;96MED</v>
          </cell>
          <cell r="B2792">
            <v>730069</v>
          </cell>
          <cell r="C2792" t="str">
            <v>CE</v>
          </cell>
          <cell r="D2792" t="str">
            <v>CEUTA</v>
          </cell>
          <cell r="E2792" t="str">
            <v>78</v>
          </cell>
          <cell r="F2792" t="str">
            <v>96MED</v>
          </cell>
          <cell r="G2792" t="str">
            <v>B</v>
          </cell>
          <cell r="H2792">
            <v>5</v>
          </cell>
        </row>
        <row r="2793">
          <cell r="A2793" t="str">
            <v>1;78;CE;B;96S 15-25</v>
          </cell>
          <cell r="B2793">
            <v>730069</v>
          </cell>
          <cell r="C2793" t="str">
            <v>CE</v>
          </cell>
          <cell r="D2793" t="str">
            <v>CEUTA</v>
          </cell>
          <cell r="E2793" t="str">
            <v>78</v>
          </cell>
          <cell r="F2793" t="str">
            <v>96S 15-25</v>
          </cell>
          <cell r="G2793" t="str">
            <v>B</v>
          </cell>
          <cell r="H2793">
            <v>5</v>
          </cell>
        </row>
        <row r="2794">
          <cell r="A2794" t="str">
            <v>1;78;CE;B;96SMA</v>
          </cell>
          <cell r="B2794">
            <v>730069</v>
          </cell>
          <cell r="C2794" t="str">
            <v>CE</v>
          </cell>
          <cell r="D2794" t="str">
            <v>CEUTA</v>
          </cell>
          <cell r="E2794" t="str">
            <v>78</v>
          </cell>
          <cell r="F2794" t="str">
            <v>96SMA</v>
          </cell>
          <cell r="G2794" t="str">
            <v>B</v>
          </cell>
          <cell r="H2794">
            <v>5</v>
          </cell>
        </row>
        <row r="2795">
          <cell r="A2795" t="str">
            <v>1;79;CE;B;48L 15-25</v>
          </cell>
          <cell r="B2795">
            <v>730069</v>
          </cell>
          <cell r="C2795" t="str">
            <v>CE</v>
          </cell>
          <cell r="D2795" t="str">
            <v>CEUTA</v>
          </cell>
          <cell r="E2795" t="str">
            <v>79</v>
          </cell>
          <cell r="F2795" t="str">
            <v>48L 15-25</v>
          </cell>
          <cell r="G2795" t="str">
            <v>B</v>
          </cell>
          <cell r="H2795">
            <v>0</v>
          </cell>
        </row>
        <row r="2796">
          <cell r="A2796" t="str">
            <v>1;79;CE;B;48LAR</v>
          </cell>
          <cell r="B2796">
            <v>730069</v>
          </cell>
          <cell r="C2796" t="str">
            <v>CE</v>
          </cell>
          <cell r="D2796" t="str">
            <v>CEUTA</v>
          </cell>
          <cell r="E2796" t="str">
            <v>79</v>
          </cell>
          <cell r="F2796" t="str">
            <v>48LAR</v>
          </cell>
          <cell r="G2796" t="str">
            <v>B</v>
          </cell>
          <cell r="H2796">
            <v>0</v>
          </cell>
        </row>
        <row r="2797">
          <cell r="A2797" t="str">
            <v>1;79;CE;B;48M 15-25</v>
          </cell>
          <cell r="B2797">
            <v>730069</v>
          </cell>
          <cell r="C2797" t="str">
            <v>CE</v>
          </cell>
          <cell r="D2797" t="str">
            <v>CEUTA</v>
          </cell>
          <cell r="E2797" t="str">
            <v>79</v>
          </cell>
          <cell r="F2797" t="str">
            <v>48M 15-25</v>
          </cell>
          <cell r="G2797" t="str">
            <v>B</v>
          </cell>
          <cell r="H2797">
            <v>0</v>
          </cell>
        </row>
        <row r="2798">
          <cell r="A2798" t="str">
            <v>1;79;CE;B;48MED</v>
          </cell>
          <cell r="B2798">
            <v>730069</v>
          </cell>
          <cell r="C2798" t="str">
            <v>CE</v>
          </cell>
          <cell r="D2798" t="str">
            <v>CEUTA</v>
          </cell>
          <cell r="E2798" t="str">
            <v>79</v>
          </cell>
          <cell r="F2798" t="str">
            <v>48MED</v>
          </cell>
          <cell r="G2798" t="str">
            <v>B</v>
          </cell>
          <cell r="H2798">
            <v>0</v>
          </cell>
        </row>
        <row r="2799">
          <cell r="A2799" t="str">
            <v>1;79;CE;B;48S 15-25</v>
          </cell>
          <cell r="B2799">
            <v>730069</v>
          </cell>
          <cell r="C2799" t="str">
            <v>CE</v>
          </cell>
          <cell r="D2799" t="str">
            <v>CEUTA</v>
          </cell>
          <cell r="E2799" t="str">
            <v>79</v>
          </cell>
          <cell r="F2799" t="str">
            <v>48S 15-25</v>
          </cell>
          <cell r="G2799" t="str">
            <v>B</v>
          </cell>
          <cell r="H2799">
            <v>0</v>
          </cell>
        </row>
        <row r="2800">
          <cell r="A2800" t="str">
            <v>1;79;CE;B;48SMA</v>
          </cell>
          <cell r="B2800">
            <v>730069</v>
          </cell>
          <cell r="C2800" t="str">
            <v>CE</v>
          </cell>
          <cell r="D2800" t="str">
            <v>CEUTA</v>
          </cell>
          <cell r="E2800" t="str">
            <v>79</v>
          </cell>
          <cell r="F2800" t="str">
            <v>48SMA</v>
          </cell>
          <cell r="G2800" t="str">
            <v>B</v>
          </cell>
          <cell r="H2800">
            <v>0</v>
          </cell>
        </row>
        <row r="2801">
          <cell r="A2801" t="str">
            <v>1;79;CE;B;96M 15-25</v>
          </cell>
          <cell r="B2801">
            <v>730069</v>
          </cell>
          <cell r="C2801" t="str">
            <v>CE</v>
          </cell>
          <cell r="D2801" t="str">
            <v>CEUTA</v>
          </cell>
          <cell r="E2801" t="str">
            <v>79</v>
          </cell>
          <cell r="F2801" t="str">
            <v>96M 15-25</v>
          </cell>
          <cell r="G2801" t="str">
            <v>B</v>
          </cell>
          <cell r="H2801">
            <v>0</v>
          </cell>
        </row>
        <row r="2802">
          <cell r="A2802" t="str">
            <v>1;79;CE;B;96MED</v>
          </cell>
          <cell r="B2802">
            <v>730069</v>
          </cell>
          <cell r="C2802" t="str">
            <v>CE</v>
          </cell>
          <cell r="D2802" t="str">
            <v>CEUTA</v>
          </cell>
          <cell r="E2802" t="str">
            <v>79</v>
          </cell>
          <cell r="F2802" t="str">
            <v>96MED</v>
          </cell>
          <cell r="G2802" t="str">
            <v>B</v>
          </cell>
          <cell r="H2802">
            <v>0</v>
          </cell>
        </row>
        <row r="2803">
          <cell r="A2803" t="str">
            <v>1;79;CE;B;96S 15-25</v>
          </cell>
          <cell r="B2803">
            <v>730069</v>
          </cell>
          <cell r="C2803" t="str">
            <v>CE</v>
          </cell>
          <cell r="D2803" t="str">
            <v>CEUTA</v>
          </cell>
          <cell r="E2803" t="str">
            <v>79</v>
          </cell>
          <cell r="F2803" t="str">
            <v>96S 15-25</v>
          </cell>
          <cell r="G2803" t="str">
            <v>B</v>
          </cell>
          <cell r="H2803">
            <v>0</v>
          </cell>
        </row>
        <row r="2804">
          <cell r="A2804" t="str">
            <v>1;79;CE;B;96SMA</v>
          </cell>
          <cell r="B2804">
            <v>730069</v>
          </cell>
          <cell r="C2804" t="str">
            <v>CE</v>
          </cell>
          <cell r="D2804" t="str">
            <v>CEUTA</v>
          </cell>
          <cell r="E2804" t="str">
            <v>79</v>
          </cell>
          <cell r="F2804" t="str">
            <v>96SMA</v>
          </cell>
          <cell r="G2804" t="str">
            <v>B</v>
          </cell>
          <cell r="H2804">
            <v>0</v>
          </cell>
        </row>
        <row r="2805">
          <cell r="A2805" t="str">
            <v>1;01;CG;B;BAG</v>
          </cell>
          <cell r="B2805">
            <v>730069</v>
          </cell>
          <cell r="C2805" t="str">
            <v>CG</v>
          </cell>
          <cell r="D2805" t="str">
            <v>CANARIAS GIBRALTAR</v>
          </cell>
          <cell r="E2805" t="str">
            <v>01</v>
          </cell>
          <cell r="F2805" t="str">
            <v>BAG</v>
          </cell>
          <cell r="G2805" t="str">
            <v>B</v>
          </cell>
          <cell r="H2805">
            <v>21.55</v>
          </cell>
        </row>
        <row r="2806">
          <cell r="A2806" t="str">
            <v>1;01;CG;B;PAQ00a02</v>
          </cell>
          <cell r="B2806">
            <v>730069</v>
          </cell>
          <cell r="C2806" t="str">
            <v>CG</v>
          </cell>
          <cell r="D2806" t="str">
            <v>CANARIAS GIBRALTAR</v>
          </cell>
          <cell r="E2806" t="str">
            <v>01</v>
          </cell>
          <cell r="F2806" t="str">
            <v>PAQ00a02</v>
          </cell>
          <cell r="G2806" t="str">
            <v>B</v>
          </cell>
          <cell r="H2806">
            <v>25.16</v>
          </cell>
        </row>
        <row r="2807">
          <cell r="A2807" t="str">
            <v>1;01;CG;B;PAQ02a04</v>
          </cell>
          <cell r="B2807">
            <v>730069</v>
          </cell>
          <cell r="C2807" t="str">
            <v>CG</v>
          </cell>
          <cell r="D2807" t="str">
            <v>CANARIAS GIBRALTAR</v>
          </cell>
          <cell r="E2807" t="str">
            <v>01</v>
          </cell>
          <cell r="F2807" t="str">
            <v>PAQ02a04</v>
          </cell>
          <cell r="G2807" t="str">
            <v>B</v>
          </cell>
          <cell r="H2807">
            <v>42.04</v>
          </cell>
        </row>
        <row r="2808">
          <cell r="A2808" t="str">
            <v>1;01;CG;B;PAQ04a06</v>
          </cell>
          <cell r="B2808">
            <v>730069</v>
          </cell>
          <cell r="C2808" t="str">
            <v>CG</v>
          </cell>
          <cell r="D2808" t="str">
            <v>CANARIAS GIBRALTAR</v>
          </cell>
          <cell r="E2808" t="str">
            <v>01</v>
          </cell>
          <cell r="F2808" t="str">
            <v>PAQ04a06</v>
          </cell>
          <cell r="G2808" t="str">
            <v>B</v>
          </cell>
          <cell r="H2808">
            <v>62.04</v>
          </cell>
        </row>
        <row r="2809">
          <cell r="A2809" t="str">
            <v>1;01;CG;B;PAQ06a08</v>
          </cell>
          <cell r="B2809">
            <v>730069</v>
          </cell>
          <cell r="C2809" t="str">
            <v>CG</v>
          </cell>
          <cell r="D2809" t="str">
            <v>CANARIAS GIBRALTAR</v>
          </cell>
          <cell r="E2809" t="str">
            <v>01</v>
          </cell>
          <cell r="F2809" t="str">
            <v>PAQ06a08</v>
          </cell>
          <cell r="G2809" t="str">
            <v>B</v>
          </cell>
          <cell r="H2809">
            <v>82.06</v>
          </cell>
        </row>
        <row r="2810">
          <cell r="A2810" t="str">
            <v>1;01;CG;B;PAQ08a10</v>
          </cell>
          <cell r="B2810">
            <v>730069</v>
          </cell>
          <cell r="C2810" t="str">
            <v>CG</v>
          </cell>
          <cell r="D2810" t="str">
            <v>CANARIAS GIBRALTAR</v>
          </cell>
          <cell r="E2810" t="str">
            <v>01</v>
          </cell>
          <cell r="F2810" t="str">
            <v>PAQ08a10</v>
          </cell>
          <cell r="G2810" t="str">
            <v>B</v>
          </cell>
          <cell r="H2810">
            <v>102.07</v>
          </cell>
        </row>
        <row r="2811">
          <cell r="A2811" t="str">
            <v>1;01;CG;B;PAQ10a12</v>
          </cell>
          <cell r="B2811">
            <v>730069</v>
          </cell>
          <cell r="C2811" t="str">
            <v>CG</v>
          </cell>
          <cell r="D2811" t="str">
            <v>CANARIAS GIBRALTAR</v>
          </cell>
          <cell r="E2811" t="str">
            <v>01</v>
          </cell>
          <cell r="F2811" t="str">
            <v>PAQ10a12</v>
          </cell>
          <cell r="G2811" t="str">
            <v>B</v>
          </cell>
          <cell r="H2811">
            <v>122.08</v>
          </cell>
        </row>
        <row r="2812">
          <cell r="A2812" t="str">
            <v>1;01;CG;B;PAQ12a14</v>
          </cell>
          <cell r="B2812">
            <v>730069</v>
          </cell>
          <cell r="C2812" t="str">
            <v>CG</v>
          </cell>
          <cell r="D2812" t="str">
            <v>CANARIAS GIBRALTAR</v>
          </cell>
          <cell r="E2812" t="str">
            <v>01</v>
          </cell>
          <cell r="F2812" t="str">
            <v>PAQ12a14</v>
          </cell>
          <cell r="G2812" t="str">
            <v>B</v>
          </cell>
          <cell r="H2812">
            <v>142.09</v>
          </cell>
        </row>
        <row r="2813">
          <cell r="A2813" t="str">
            <v>1;01;CG;B;PAQ14a16</v>
          </cell>
          <cell r="B2813">
            <v>730069</v>
          </cell>
          <cell r="C2813" t="str">
            <v>CG</v>
          </cell>
          <cell r="D2813" t="str">
            <v>CANARIAS GIBRALTAR</v>
          </cell>
          <cell r="E2813" t="str">
            <v>01</v>
          </cell>
          <cell r="F2813" t="str">
            <v>PAQ14a16</v>
          </cell>
          <cell r="G2813" t="str">
            <v>B</v>
          </cell>
          <cell r="H2813">
            <v>162.1</v>
          </cell>
        </row>
        <row r="2814">
          <cell r="A2814" t="str">
            <v>1;01;CG;B;PAQ16a18</v>
          </cell>
          <cell r="B2814">
            <v>730069</v>
          </cell>
          <cell r="C2814" t="str">
            <v>CG</v>
          </cell>
          <cell r="D2814" t="str">
            <v>CANARIAS GIBRALTAR</v>
          </cell>
          <cell r="E2814" t="str">
            <v>01</v>
          </cell>
          <cell r="F2814" t="str">
            <v>PAQ16a18</v>
          </cell>
          <cell r="G2814" t="str">
            <v>B</v>
          </cell>
          <cell r="H2814">
            <v>182.11</v>
          </cell>
        </row>
        <row r="2815">
          <cell r="A2815" t="str">
            <v>1;01;CG;B;PAQ18a20</v>
          </cell>
          <cell r="B2815">
            <v>730069</v>
          </cell>
          <cell r="C2815" t="str">
            <v>CG</v>
          </cell>
          <cell r="D2815" t="str">
            <v>CANARIAS GIBRALTAR</v>
          </cell>
          <cell r="E2815" t="str">
            <v>01</v>
          </cell>
          <cell r="F2815" t="str">
            <v>PAQ18a20</v>
          </cell>
          <cell r="G2815" t="str">
            <v>B</v>
          </cell>
          <cell r="H2815">
            <v>202.13</v>
          </cell>
        </row>
        <row r="2816">
          <cell r="A2816" t="str">
            <v>1;01;CG;B;PAQ20a22</v>
          </cell>
          <cell r="B2816">
            <v>730069</v>
          </cell>
          <cell r="C2816" t="str">
            <v>CG</v>
          </cell>
          <cell r="D2816" t="str">
            <v>CANARIAS GIBRALTAR</v>
          </cell>
          <cell r="E2816" t="str">
            <v>01</v>
          </cell>
          <cell r="F2816" t="str">
            <v>PAQ20a22</v>
          </cell>
          <cell r="G2816" t="str">
            <v>B</v>
          </cell>
          <cell r="H2816">
            <v>222.13</v>
          </cell>
        </row>
        <row r="2817">
          <cell r="A2817" t="str">
            <v>1;01;CG;B;PAQ22a24</v>
          </cell>
          <cell r="B2817">
            <v>730069</v>
          </cell>
          <cell r="C2817" t="str">
            <v>CG</v>
          </cell>
          <cell r="D2817" t="str">
            <v>CANARIAS GIBRALTAR</v>
          </cell>
          <cell r="E2817" t="str">
            <v>01</v>
          </cell>
          <cell r="F2817" t="str">
            <v>PAQ22a24</v>
          </cell>
          <cell r="G2817" t="str">
            <v>B</v>
          </cell>
          <cell r="H2817">
            <v>242.14</v>
          </cell>
        </row>
        <row r="2818">
          <cell r="A2818" t="str">
            <v>1;01;CG;B;PAQ24a26</v>
          </cell>
          <cell r="B2818">
            <v>730069</v>
          </cell>
          <cell r="C2818" t="str">
            <v>CG</v>
          </cell>
          <cell r="D2818" t="str">
            <v>CANARIAS GIBRALTAR</v>
          </cell>
          <cell r="E2818" t="str">
            <v>01</v>
          </cell>
          <cell r="F2818" t="str">
            <v>PAQ24a26</v>
          </cell>
          <cell r="G2818" t="str">
            <v>B</v>
          </cell>
          <cell r="H2818">
            <v>262.14999999999998</v>
          </cell>
        </row>
        <row r="2819">
          <cell r="A2819" t="str">
            <v>1;01;CG;B;PAQ26a28</v>
          </cell>
          <cell r="B2819">
            <v>730069</v>
          </cell>
          <cell r="C2819" t="str">
            <v>CG</v>
          </cell>
          <cell r="D2819" t="str">
            <v>CANARIAS GIBRALTAR</v>
          </cell>
          <cell r="E2819" t="str">
            <v>01</v>
          </cell>
          <cell r="F2819" t="str">
            <v>PAQ26a28</v>
          </cell>
          <cell r="G2819" t="str">
            <v>B</v>
          </cell>
          <cell r="H2819">
            <v>282.17</v>
          </cell>
        </row>
        <row r="2820">
          <cell r="A2820" t="str">
            <v>1;01;CG;B;PAQ28a30</v>
          </cell>
          <cell r="B2820">
            <v>730069</v>
          </cell>
          <cell r="C2820" t="str">
            <v>CG</v>
          </cell>
          <cell r="D2820" t="str">
            <v>CANARIAS GIBRALTAR</v>
          </cell>
          <cell r="E2820" t="str">
            <v>01</v>
          </cell>
          <cell r="F2820" t="str">
            <v>PAQ28a30</v>
          </cell>
          <cell r="G2820" t="str">
            <v>B</v>
          </cell>
          <cell r="H2820">
            <v>302.17</v>
          </cell>
        </row>
        <row r="2821">
          <cell r="A2821" t="str">
            <v>1;01;CG;B;PAQ30a32</v>
          </cell>
          <cell r="B2821">
            <v>730069</v>
          </cell>
          <cell r="C2821" t="str">
            <v>CG</v>
          </cell>
          <cell r="D2821" t="str">
            <v>CANARIAS GIBRALTAR</v>
          </cell>
          <cell r="E2821" t="str">
            <v>01</v>
          </cell>
          <cell r="F2821" t="str">
            <v>PAQ30a32</v>
          </cell>
          <cell r="G2821" t="str">
            <v>B</v>
          </cell>
          <cell r="H2821">
            <v>322.18</v>
          </cell>
        </row>
        <row r="2822">
          <cell r="A2822" t="str">
            <v>1;01;CG;B;PAQ32a34</v>
          </cell>
          <cell r="B2822">
            <v>730069</v>
          </cell>
          <cell r="C2822" t="str">
            <v>CG</v>
          </cell>
          <cell r="D2822" t="str">
            <v>CANARIAS GIBRALTAR</v>
          </cell>
          <cell r="E2822" t="str">
            <v>01</v>
          </cell>
          <cell r="F2822" t="str">
            <v>PAQ32a34</v>
          </cell>
          <cell r="G2822" t="str">
            <v>B</v>
          </cell>
          <cell r="H2822">
            <v>342.2</v>
          </cell>
        </row>
        <row r="2823">
          <cell r="A2823" t="str">
            <v>1;01;CG;B;PAQ34a36</v>
          </cell>
          <cell r="B2823">
            <v>730069</v>
          </cell>
          <cell r="C2823" t="str">
            <v>CG</v>
          </cell>
          <cell r="D2823" t="str">
            <v>CANARIAS GIBRALTAR</v>
          </cell>
          <cell r="E2823" t="str">
            <v>01</v>
          </cell>
          <cell r="F2823" t="str">
            <v>PAQ34a36</v>
          </cell>
          <cell r="G2823" t="str">
            <v>B</v>
          </cell>
          <cell r="H2823">
            <v>362.21</v>
          </cell>
        </row>
        <row r="2824">
          <cell r="A2824" t="str">
            <v>1;01;CG;B;PAQ36a38</v>
          </cell>
          <cell r="B2824">
            <v>730069</v>
          </cell>
          <cell r="C2824" t="str">
            <v>CG</v>
          </cell>
          <cell r="D2824" t="str">
            <v>CANARIAS GIBRALTAR</v>
          </cell>
          <cell r="E2824" t="str">
            <v>01</v>
          </cell>
          <cell r="F2824" t="str">
            <v>PAQ36a38</v>
          </cell>
          <cell r="G2824" t="str">
            <v>B</v>
          </cell>
          <cell r="H2824">
            <v>382.21</v>
          </cell>
        </row>
        <row r="2825">
          <cell r="A2825" t="str">
            <v>1;01;CG;F;</v>
          </cell>
          <cell r="B2825">
            <v>730069</v>
          </cell>
          <cell r="C2825" t="str">
            <v>CG</v>
          </cell>
          <cell r="D2825" t="str">
            <v>CANARIAS GIBRALTAR</v>
          </cell>
          <cell r="E2825" t="str">
            <v>01</v>
          </cell>
          <cell r="F2825" t="str">
            <v/>
          </cell>
          <cell r="G2825" t="str">
            <v>F</v>
          </cell>
          <cell r="H2825">
            <v>20.010000000000002</v>
          </cell>
        </row>
        <row r="2826">
          <cell r="A2826" t="str">
            <v>1;01;CG;B;PAQ38a40</v>
          </cell>
          <cell r="B2826">
            <v>730069</v>
          </cell>
          <cell r="C2826" t="str">
            <v>CG</v>
          </cell>
          <cell r="D2826" t="str">
            <v>CANARIAS GIBRALTAR</v>
          </cell>
          <cell r="E2826" t="str">
            <v>01</v>
          </cell>
          <cell r="F2826" t="str">
            <v>PAQ38a40</v>
          </cell>
          <cell r="G2826" t="str">
            <v>B</v>
          </cell>
          <cell r="H2826">
            <v>402.22</v>
          </cell>
        </row>
        <row r="2827">
          <cell r="A2827" t="str">
            <v>1;01;CG;P;</v>
          </cell>
          <cell r="B2827">
            <v>730069</v>
          </cell>
          <cell r="C2827" t="str">
            <v>CG</v>
          </cell>
          <cell r="D2827" t="str">
            <v>CANARIAS GIBRALTAR</v>
          </cell>
          <cell r="E2827" t="str">
            <v>01</v>
          </cell>
          <cell r="F2827" t="str">
            <v/>
          </cell>
          <cell r="G2827" t="str">
            <v>P</v>
          </cell>
          <cell r="H2827">
            <v>0</v>
          </cell>
        </row>
        <row r="2828">
          <cell r="A2828" t="str">
            <v>1;01;CG;E;</v>
          </cell>
          <cell r="B2828">
            <v>730069</v>
          </cell>
          <cell r="C2828" t="str">
            <v>CG</v>
          </cell>
          <cell r="D2828" t="str">
            <v>CANARIAS GIBRALTAR</v>
          </cell>
          <cell r="E2828" t="str">
            <v>01</v>
          </cell>
          <cell r="F2828" t="str">
            <v/>
          </cell>
          <cell r="G2828" t="str">
            <v>E</v>
          </cell>
          <cell r="H2828">
            <v>0</v>
          </cell>
        </row>
        <row r="2829">
          <cell r="A2829" t="str">
            <v>1;04;CG;B;BAG</v>
          </cell>
          <cell r="B2829">
            <v>730069</v>
          </cell>
          <cell r="C2829" t="str">
            <v>CG</v>
          </cell>
          <cell r="D2829" t="str">
            <v>CANARIAS GIBRALTAR</v>
          </cell>
          <cell r="E2829" t="str">
            <v>04</v>
          </cell>
          <cell r="F2829" t="str">
            <v>BAG</v>
          </cell>
          <cell r="G2829" t="str">
            <v>B</v>
          </cell>
          <cell r="H2829">
            <v>5.76</v>
          </cell>
        </row>
        <row r="2830">
          <cell r="A2830" t="str">
            <v>1;05;CG;B;BAG</v>
          </cell>
          <cell r="B2830">
            <v>730069</v>
          </cell>
          <cell r="C2830" t="str">
            <v>CG</v>
          </cell>
          <cell r="D2830" t="str">
            <v>CANARIAS GIBRALTAR</v>
          </cell>
          <cell r="E2830" t="str">
            <v>05</v>
          </cell>
          <cell r="F2830" t="str">
            <v>BAG</v>
          </cell>
          <cell r="G2830" t="str">
            <v>B</v>
          </cell>
          <cell r="H2830">
            <v>5.76</v>
          </cell>
        </row>
        <row r="2831">
          <cell r="A2831" t="str">
            <v>1;06;CG;B;BAG</v>
          </cell>
          <cell r="B2831">
            <v>730069</v>
          </cell>
          <cell r="C2831" t="str">
            <v>CG</v>
          </cell>
          <cell r="D2831" t="str">
            <v>CANARIAS GIBRALTAR</v>
          </cell>
          <cell r="E2831" t="str">
            <v>06</v>
          </cell>
          <cell r="F2831" t="str">
            <v>BAG</v>
          </cell>
          <cell r="G2831" t="str">
            <v>B</v>
          </cell>
          <cell r="H2831">
            <v>0</v>
          </cell>
        </row>
        <row r="2832">
          <cell r="A2832" t="str">
            <v>1;06;CG;B;DOCS</v>
          </cell>
          <cell r="B2832">
            <v>730069</v>
          </cell>
          <cell r="C2832" t="str">
            <v>CG</v>
          </cell>
          <cell r="D2832" t="str">
            <v>CANARIAS GIBRALTAR</v>
          </cell>
          <cell r="E2832" t="str">
            <v>06</v>
          </cell>
          <cell r="F2832" t="str">
            <v>DOCS</v>
          </cell>
          <cell r="G2832" t="str">
            <v>B</v>
          </cell>
          <cell r="H2832">
            <v>0</v>
          </cell>
        </row>
        <row r="2833">
          <cell r="A2833" t="str">
            <v>1;07;CG;B;BAG</v>
          </cell>
          <cell r="B2833">
            <v>730069</v>
          </cell>
          <cell r="C2833" t="str">
            <v>CG</v>
          </cell>
          <cell r="D2833" t="str">
            <v>CANARIAS GIBRALTAR</v>
          </cell>
          <cell r="E2833" t="str">
            <v>07</v>
          </cell>
          <cell r="F2833" t="str">
            <v>BAG</v>
          </cell>
          <cell r="G2833" t="str">
            <v>B</v>
          </cell>
          <cell r="H2833">
            <v>0</v>
          </cell>
        </row>
        <row r="2834">
          <cell r="A2834" t="str">
            <v>1;07;CG;B;DOCS</v>
          </cell>
          <cell r="B2834">
            <v>730069</v>
          </cell>
          <cell r="C2834" t="str">
            <v>CG</v>
          </cell>
          <cell r="D2834" t="str">
            <v>CANARIAS GIBRALTAR</v>
          </cell>
          <cell r="E2834" t="str">
            <v>07</v>
          </cell>
          <cell r="F2834" t="str">
            <v>DOCS</v>
          </cell>
          <cell r="G2834" t="str">
            <v>B</v>
          </cell>
          <cell r="H2834">
            <v>0</v>
          </cell>
        </row>
        <row r="2835">
          <cell r="A2835" t="str">
            <v>1;10;CG;B;BAG</v>
          </cell>
          <cell r="B2835">
            <v>730069</v>
          </cell>
          <cell r="C2835" t="str">
            <v>CG</v>
          </cell>
          <cell r="D2835" t="str">
            <v>CANARIAS GIBRALTAR</v>
          </cell>
          <cell r="E2835" t="str">
            <v>10</v>
          </cell>
          <cell r="F2835" t="str">
            <v>BAG</v>
          </cell>
          <cell r="G2835" t="str">
            <v>B</v>
          </cell>
          <cell r="H2835">
            <v>1.7</v>
          </cell>
        </row>
        <row r="2836">
          <cell r="A2836" t="str">
            <v>1;10;CG;B;DOCS</v>
          </cell>
          <cell r="B2836">
            <v>730069</v>
          </cell>
          <cell r="C2836" t="str">
            <v>CG</v>
          </cell>
          <cell r="D2836" t="str">
            <v>CANARIAS GIBRALTAR</v>
          </cell>
          <cell r="E2836" t="str">
            <v>10</v>
          </cell>
          <cell r="F2836" t="str">
            <v>DOCS</v>
          </cell>
          <cell r="G2836" t="str">
            <v>B</v>
          </cell>
          <cell r="H2836">
            <v>1.7</v>
          </cell>
        </row>
        <row r="2837">
          <cell r="A2837" t="str">
            <v>1;14;CG;B;BAG</v>
          </cell>
          <cell r="B2837">
            <v>730069</v>
          </cell>
          <cell r="C2837" t="str">
            <v>CG</v>
          </cell>
          <cell r="D2837" t="str">
            <v>CANARIAS GIBRALTAR</v>
          </cell>
          <cell r="E2837" t="str">
            <v>14</v>
          </cell>
          <cell r="F2837" t="str">
            <v>BAG</v>
          </cell>
          <cell r="G2837" t="str">
            <v>B</v>
          </cell>
          <cell r="H2837">
            <v>1.79</v>
          </cell>
        </row>
        <row r="2838">
          <cell r="A2838" t="str">
            <v>1;15;CG;B;BAG</v>
          </cell>
          <cell r="B2838">
            <v>730069</v>
          </cell>
          <cell r="C2838" t="str">
            <v>CG</v>
          </cell>
          <cell r="D2838" t="str">
            <v>CANARIAS GIBRALTAR</v>
          </cell>
          <cell r="E2838" t="str">
            <v>15</v>
          </cell>
          <cell r="F2838" t="str">
            <v>BAG</v>
          </cell>
          <cell r="G2838" t="str">
            <v>B</v>
          </cell>
          <cell r="H2838">
            <v>1.79</v>
          </cell>
        </row>
        <row r="2839">
          <cell r="A2839" t="str">
            <v>1;24;CG;B;BAG</v>
          </cell>
          <cell r="B2839">
            <v>730069</v>
          </cell>
          <cell r="C2839" t="str">
            <v>CG</v>
          </cell>
          <cell r="D2839" t="str">
            <v>CANARIAS GIBRALTAR</v>
          </cell>
          <cell r="E2839" t="str">
            <v>24</v>
          </cell>
          <cell r="F2839" t="str">
            <v>BAG</v>
          </cell>
          <cell r="G2839" t="str">
            <v>B</v>
          </cell>
          <cell r="H2839">
            <v>21.55</v>
          </cell>
        </row>
        <row r="2840">
          <cell r="A2840" t="str">
            <v>1;24;CG;B;PAQ00a02</v>
          </cell>
          <cell r="B2840">
            <v>730069</v>
          </cell>
          <cell r="C2840" t="str">
            <v>CG</v>
          </cell>
          <cell r="D2840" t="str">
            <v>CANARIAS GIBRALTAR</v>
          </cell>
          <cell r="E2840" t="str">
            <v>24</v>
          </cell>
          <cell r="F2840" t="str">
            <v>PAQ00a02</v>
          </cell>
          <cell r="G2840" t="str">
            <v>B</v>
          </cell>
          <cell r="H2840">
            <v>25.16</v>
          </cell>
        </row>
        <row r="2841">
          <cell r="A2841" t="str">
            <v>1;24;CG;B;PAQ02a04</v>
          </cell>
          <cell r="B2841">
            <v>730069</v>
          </cell>
          <cell r="C2841" t="str">
            <v>CG</v>
          </cell>
          <cell r="D2841" t="str">
            <v>CANARIAS GIBRALTAR</v>
          </cell>
          <cell r="E2841" t="str">
            <v>24</v>
          </cell>
          <cell r="F2841" t="str">
            <v>PAQ02a04</v>
          </cell>
          <cell r="G2841" t="str">
            <v>B</v>
          </cell>
          <cell r="H2841">
            <v>42.04</v>
          </cell>
        </row>
        <row r="2842">
          <cell r="A2842" t="str">
            <v>1;24;CG;B;PAQ04a06</v>
          </cell>
          <cell r="B2842">
            <v>730069</v>
          </cell>
          <cell r="C2842" t="str">
            <v>CG</v>
          </cell>
          <cell r="D2842" t="str">
            <v>CANARIAS GIBRALTAR</v>
          </cell>
          <cell r="E2842" t="str">
            <v>24</v>
          </cell>
          <cell r="F2842" t="str">
            <v>PAQ04a06</v>
          </cell>
          <cell r="G2842" t="str">
            <v>B</v>
          </cell>
          <cell r="H2842">
            <v>62.04</v>
          </cell>
        </row>
        <row r="2843">
          <cell r="A2843" t="str">
            <v>1;24;CG;B;PAQ06a08</v>
          </cell>
          <cell r="B2843">
            <v>730069</v>
          </cell>
          <cell r="C2843" t="str">
            <v>CG</v>
          </cell>
          <cell r="D2843" t="str">
            <v>CANARIAS GIBRALTAR</v>
          </cell>
          <cell r="E2843" t="str">
            <v>24</v>
          </cell>
          <cell r="F2843" t="str">
            <v>PAQ06a08</v>
          </cell>
          <cell r="G2843" t="str">
            <v>B</v>
          </cell>
          <cell r="H2843">
            <v>82.06</v>
          </cell>
        </row>
        <row r="2844">
          <cell r="A2844" t="str">
            <v>1;24;CG;B;PAQ08a10</v>
          </cell>
          <cell r="B2844">
            <v>730069</v>
          </cell>
          <cell r="C2844" t="str">
            <v>CG</v>
          </cell>
          <cell r="D2844" t="str">
            <v>CANARIAS GIBRALTAR</v>
          </cell>
          <cell r="E2844" t="str">
            <v>24</v>
          </cell>
          <cell r="F2844" t="str">
            <v>PAQ08a10</v>
          </cell>
          <cell r="G2844" t="str">
            <v>B</v>
          </cell>
          <cell r="H2844">
            <v>102.07</v>
          </cell>
        </row>
        <row r="2845">
          <cell r="A2845" t="str">
            <v>1;24;CG;B;PAQ10a12</v>
          </cell>
          <cell r="B2845">
            <v>730069</v>
          </cell>
          <cell r="C2845" t="str">
            <v>CG</v>
          </cell>
          <cell r="D2845" t="str">
            <v>CANARIAS GIBRALTAR</v>
          </cell>
          <cell r="E2845" t="str">
            <v>24</v>
          </cell>
          <cell r="F2845" t="str">
            <v>PAQ10a12</v>
          </cell>
          <cell r="G2845" t="str">
            <v>B</v>
          </cell>
          <cell r="H2845">
            <v>122.08</v>
          </cell>
        </row>
        <row r="2846">
          <cell r="A2846" t="str">
            <v>1;24;CG;B;PAQ12a14</v>
          </cell>
          <cell r="B2846">
            <v>730069</v>
          </cell>
          <cell r="C2846" t="str">
            <v>CG</v>
          </cell>
          <cell r="D2846" t="str">
            <v>CANARIAS GIBRALTAR</v>
          </cell>
          <cell r="E2846" t="str">
            <v>24</v>
          </cell>
          <cell r="F2846" t="str">
            <v>PAQ12a14</v>
          </cell>
          <cell r="G2846" t="str">
            <v>B</v>
          </cell>
          <cell r="H2846">
            <v>142.09</v>
          </cell>
        </row>
        <row r="2847">
          <cell r="A2847" t="str">
            <v>1;24;CG;B;PAQ14a16</v>
          </cell>
          <cell r="B2847">
            <v>730069</v>
          </cell>
          <cell r="C2847" t="str">
            <v>CG</v>
          </cell>
          <cell r="D2847" t="str">
            <v>CANARIAS GIBRALTAR</v>
          </cell>
          <cell r="E2847" t="str">
            <v>24</v>
          </cell>
          <cell r="F2847" t="str">
            <v>PAQ14a16</v>
          </cell>
          <cell r="G2847" t="str">
            <v>B</v>
          </cell>
          <cell r="H2847">
            <v>162.1</v>
          </cell>
        </row>
        <row r="2848">
          <cell r="A2848" t="str">
            <v>1;24;CG;B;PAQ16a18</v>
          </cell>
          <cell r="B2848">
            <v>730069</v>
          </cell>
          <cell r="C2848" t="str">
            <v>CG</v>
          </cell>
          <cell r="D2848" t="str">
            <v>CANARIAS GIBRALTAR</v>
          </cell>
          <cell r="E2848" t="str">
            <v>24</v>
          </cell>
          <cell r="F2848" t="str">
            <v>PAQ16a18</v>
          </cell>
          <cell r="G2848" t="str">
            <v>B</v>
          </cell>
          <cell r="H2848">
            <v>182.11</v>
          </cell>
        </row>
        <row r="2849">
          <cell r="A2849" t="str">
            <v>1;24;CG;B;PAQ18a20</v>
          </cell>
          <cell r="B2849">
            <v>730069</v>
          </cell>
          <cell r="C2849" t="str">
            <v>CG</v>
          </cell>
          <cell r="D2849" t="str">
            <v>CANARIAS GIBRALTAR</v>
          </cell>
          <cell r="E2849" t="str">
            <v>24</v>
          </cell>
          <cell r="F2849" t="str">
            <v>PAQ18a20</v>
          </cell>
          <cell r="G2849" t="str">
            <v>B</v>
          </cell>
          <cell r="H2849">
            <v>202.13</v>
          </cell>
        </row>
        <row r="2850">
          <cell r="A2850" t="str">
            <v>1;24;CG;B;PAQ20a22</v>
          </cell>
          <cell r="B2850">
            <v>730069</v>
          </cell>
          <cell r="C2850" t="str">
            <v>CG</v>
          </cell>
          <cell r="D2850" t="str">
            <v>CANARIAS GIBRALTAR</v>
          </cell>
          <cell r="E2850" t="str">
            <v>24</v>
          </cell>
          <cell r="F2850" t="str">
            <v>PAQ20a22</v>
          </cell>
          <cell r="G2850" t="str">
            <v>B</v>
          </cell>
          <cell r="H2850">
            <v>222.13</v>
          </cell>
        </row>
        <row r="2851">
          <cell r="A2851" t="str">
            <v>1;24;CG;B;PAQ22a24</v>
          </cell>
          <cell r="B2851">
            <v>730069</v>
          </cell>
          <cell r="C2851" t="str">
            <v>CG</v>
          </cell>
          <cell r="D2851" t="str">
            <v>CANARIAS GIBRALTAR</v>
          </cell>
          <cell r="E2851" t="str">
            <v>24</v>
          </cell>
          <cell r="F2851" t="str">
            <v>PAQ22a24</v>
          </cell>
          <cell r="G2851" t="str">
            <v>B</v>
          </cell>
          <cell r="H2851">
            <v>242.14</v>
          </cell>
        </row>
        <row r="2852">
          <cell r="A2852" t="str">
            <v>1;24;CG;B;PAQ24a26</v>
          </cell>
          <cell r="B2852">
            <v>730069</v>
          </cell>
          <cell r="C2852" t="str">
            <v>CG</v>
          </cell>
          <cell r="D2852" t="str">
            <v>CANARIAS GIBRALTAR</v>
          </cell>
          <cell r="E2852" t="str">
            <v>24</v>
          </cell>
          <cell r="F2852" t="str">
            <v>PAQ24a26</v>
          </cell>
          <cell r="G2852" t="str">
            <v>B</v>
          </cell>
          <cell r="H2852">
            <v>262.14999999999998</v>
          </cell>
        </row>
        <row r="2853">
          <cell r="A2853" t="str">
            <v>1;24;CG;B;PAQ26a28</v>
          </cell>
          <cell r="B2853">
            <v>730069</v>
          </cell>
          <cell r="C2853" t="str">
            <v>CG</v>
          </cell>
          <cell r="D2853" t="str">
            <v>CANARIAS GIBRALTAR</v>
          </cell>
          <cell r="E2853" t="str">
            <v>24</v>
          </cell>
          <cell r="F2853" t="str">
            <v>PAQ26a28</v>
          </cell>
          <cell r="G2853" t="str">
            <v>B</v>
          </cell>
          <cell r="H2853">
            <v>282.17</v>
          </cell>
        </row>
        <row r="2854">
          <cell r="A2854" t="str">
            <v>1;24;CG;B;PAQ28a30</v>
          </cell>
          <cell r="B2854">
            <v>730069</v>
          </cell>
          <cell r="C2854" t="str">
            <v>CG</v>
          </cell>
          <cell r="D2854" t="str">
            <v>CANARIAS GIBRALTAR</v>
          </cell>
          <cell r="E2854" t="str">
            <v>24</v>
          </cell>
          <cell r="F2854" t="str">
            <v>PAQ28a30</v>
          </cell>
          <cell r="G2854" t="str">
            <v>B</v>
          </cell>
          <cell r="H2854">
            <v>302.17</v>
          </cell>
        </row>
        <row r="2855">
          <cell r="A2855" t="str">
            <v>1;24;CG;B;PAQ30a32</v>
          </cell>
          <cell r="B2855">
            <v>730069</v>
          </cell>
          <cell r="C2855" t="str">
            <v>CG</v>
          </cell>
          <cell r="D2855" t="str">
            <v>CANARIAS GIBRALTAR</v>
          </cell>
          <cell r="E2855" t="str">
            <v>24</v>
          </cell>
          <cell r="F2855" t="str">
            <v>PAQ30a32</v>
          </cell>
          <cell r="G2855" t="str">
            <v>B</v>
          </cell>
          <cell r="H2855">
            <v>322.18</v>
          </cell>
        </row>
        <row r="2856">
          <cell r="A2856" t="str">
            <v>1;24;CG;B;PAQ32a34</v>
          </cell>
          <cell r="B2856">
            <v>730069</v>
          </cell>
          <cell r="C2856" t="str">
            <v>CG</v>
          </cell>
          <cell r="D2856" t="str">
            <v>CANARIAS GIBRALTAR</v>
          </cell>
          <cell r="E2856" t="str">
            <v>24</v>
          </cell>
          <cell r="F2856" t="str">
            <v>PAQ32a34</v>
          </cell>
          <cell r="G2856" t="str">
            <v>B</v>
          </cell>
          <cell r="H2856">
            <v>342.2</v>
          </cell>
        </row>
        <row r="2857">
          <cell r="A2857" t="str">
            <v>1;24;CG;B;PAQ34a36</v>
          </cell>
          <cell r="B2857">
            <v>730069</v>
          </cell>
          <cell r="C2857" t="str">
            <v>CG</v>
          </cell>
          <cell r="D2857" t="str">
            <v>CANARIAS GIBRALTAR</v>
          </cell>
          <cell r="E2857" t="str">
            <v>24</v>
          </cell>
          <cell r="F2857" t="str">
            <v>PAQ34a36</v>
          </cell>
          <cell r="G2857" t="str">
            <v>B</v>
          </cell>
          <cell r="H2857">
            <v>362.21</v>
          </cell>
        </row>
        <row r="2858">
          <cell r="A2858" t="str">
            <v>1;24;CG;B;PAQ36a38</v>
          </cell>
          <cell r="B2858">
            <v>730069</v>
          </cell>
          <cell r="C2858" t="str">
            <v>CG</v>
          </cell>
          <cell r="D2858" t="str">
            <v>CANARIAS GIBRALTAR</v>
          </cell>
          <cell r="E2858" t="str">
            <v>24</v>
          </cell>
          <cell r="F2858" t="str">
            <v>PAQ36a38</v>
          </cell>
          <cell r="G2858" t="str">
            <v>B</v>
          </cell>
          <cell r="H2858">
            <v>382.21</v>
          </cell>
        </row>
        <row r="2859">
          <cell r="A2859" t="str">
            <v>1;24;CG;B;PAQ38a40</v>
          </cell>
          <cell r="B2859">
            <v>730069</v>
          </cell>
          <cell r="C2859" t="str">
            <v>CG</v>
          </cell>
          <cell r="D2859" t="str">
            <v>CANARIAS GIBRALTAR</v>
          </cell>
          <cell r="E2859" t="str">
            <v>24</v>
          </cell>
          <cell r="F2859" t="str">
            <v>PAQ38a40</v>
          </cell>
          <cell r="G2859" t="str">
            <v>B</v>
          </cell>
          <cell r="H2859">
            <v>402.22</v>
          </cell>
        </row>
        <row r="2860">
          <cell r="A2860" t="str">
            <v>1;24;CG;F;</v>
          </cell>
          <cell r="B2860">
            <v>730069</v>
          </cell>
          <cell r="C2860" t="str">
            <v>CG</v>
          </cell>
          <cell r="D2860" t="str">
            <v>CANARIAS GIBRALTAR</v>
          </cell>
          <cell r="E2860" t="str">
            <v>24</v>
          </cell>
          <cell r="F2860" t="str">
            <v/>
          </cell>
          <cell r="G2860" t="str">
            <v>F</v>
          </cell>
          <cell r="H2860">
            <v>20.010000000000002</v>
          </cell>
        </row>
        <row r="2861">
          <cell r="A2861" t="str">
            <v>1;24;CG;E;</v>
          </cell>
          <cell r="B2861">
            <v>730069</v>
          </cell>
          <cell r="C2861" t="str">
            <v>CG</v>
          </cell>
          <cell r="D2861" t="str">
            <v>CANARIAS GIBRALTAR</v>
          </cell>
          <cell r="E2861" t="str">
            <v>24</v>
          </cell>
          <cell r="F2861" t="str">
            <v/>
          </cell>
          <cell r="G2861" t="str">
            <v>E</v>
          </cell>
          <cell r="H2861">
            <v>0</v>
          </cell>
        </row>
        <row r="2862">
          <cell r="A2862" t="str">
            <v>1;24;CG;P;</v>
          </cell>
          <cell r="B2862">
            <v>730069</v>
          </cell>
          <cell r="C2862" t="str">
            <v>CG</v>
          </cell>
          <cell r="D2862" t="str">
            <v>CANARIAS GIBRALTAR</v>
          </cell>
          <cell r="E2862" t="str">
            <v>24</v>
          </cell>
          <cell r="F2862" t="str">
            <v/>
          </cell>
          <cell r="G2862" t="str">
            <v>P</v>
          </cell>
          <cell r="H2862">
            <v>0</v>
          </cell>
        </row>
        <row r="2863">
          <cell r="A2863" t="str">
            <v>1;64;CG;B;BAG</v>
          </cell>
          <cell r="B2863">
            <v>730069</v>
          </cell>
          <cell r="C2863" t="str">
            <v>CG</v>
          </cell>
          <cell r="D2863" t="str">
            <v>CANARIAS GIBRALTAR</v>
          </cell>
          <cell r="E2863" t="str">
            <v>64</v>
          </cell>
          <cell r="F2863" t="str">
            <v>BAG</v>
          </cell>
          <cell r="G2863" t="str">
            <v>B</v>
          </cell>
          <cell r="H2863">
            <v>23.05</v>
          </cell>
        </row>
        <row r="2864">
          <cell r="A2864" t="str">
            <v>1;64;CG;B;PAQ00a02</v>
          </cell>
          <cell r="B2864">
            <v>730069</v>
          </cell>
          <cell r="C2864" t="str">
            <v>CG</v>
          </cell>
          <cell r="D2864" t="str">
            <v>CANARIAS GIBRALTAR</v>
          </cell>
          <cell r="E2864" t="str">
            <v>64</v>
          </cell>
          <cell r="F2864" t="str">
            <v>PAQ00a02</v>
          </cell>
          <cell r="G2864" t="str">
            <v>B</v>
          </cell>
          <cell r="H2864">
            <v>26.65</v>
          </cell>
        </row>
        <row r="2865">
          <cell r="A2865" t="str">
            <v>1;64;CG;B;PAQ02a04</v>
          </cell>
          <cell r="B2865">
            <v>730069</v>
          </cell>
          <cell r="C2865" t="str">
            <v>CG</v>
          </cell>
          <cell r="D2865" t="str">
            <v>CANARIAS GIBRALTAR</v>
          </cell>
          <cell r="E2865" t="str">
            <v>64</v>
          </cell>
          <cell r="F2865" t="str">
            <v>PAQ02a04</v>
          </cell>
          <cell r="G2865" t="str">
            <v>B</v>
          </cell>
          <cell r="H2865">
            <v>43.5</v>
          </cell>
        </row>
        <row r="2866">
          <cell r="A2866" t="str">
            <v>1;64;CG;B;PAQ04a06</v>
          </cell>
          <cell r="B2866">
            <v>730069</v>
          </cell>
          <cell r="C2866" t="str">
            <v>CG</v>
          </cell>
          <cell r="D2866" t="str">
            <v>CANARIAS GIBRALTAR</v>
          </cell>
          <cell r="E2866" t="str">
            <v>64</v>
          </cell>
          <cell r="F2866" t="str">
            <v>PAQ04a06</v>
          </cell>
          <cell r="G2866" t="str">
            <v>B</v>
          </cell>
          <cell r="H2866">
            <v>63.51</v>
          </cell>
        </row>
        <row r="2867">
          <cell r="A2867" t="str">
            <v>1;64;CG;B;PAQ06a08</v>
          </cell>
          <cell r="B2867">
            <v>730069</v>
          </cell>
          <cell r="C2867" t="str">
            <v>CG</v>
          </cell>
          <cell r="D2867" t="str">
            <v>CANARIAS GIBRALTAR</v>
          </cell>
          <cell r="E2867" t="str">
            <v>64</v>
          </cell>
          <cell r="F2867" t="str">
            <v>PAQ06a08</v>
          </cell>
          <cell r="G2867" t="str">
            <v>B</v>
          </cell>
          <cell r="H2867">
            <v>83.53</v>
          </cell>
        </row>
        <row r="2868">
          <cell r="A2868" t="str">
            <v>1;64;CG;B;PAQ08a10</v>
          </cell>
          <cell r="B2868">
            <v>730069</v>
          </cell>
          <cell r="C2868" t="str">
            <v>CG</v>
          </cell>
          <cell r="D2868" t="str">
            <v>CANARIAS GIBRALTAR</v>
          </cell>
          <cell r="E2868" t="str">
            <v>64</v>
          </cell>
          <cell r="F2868" t="str">
            <v>PAQ08a10</v>
          </cell>
          <cell r="G2868" t="str">
            <v>B</v>
          </cell>
          <cell r="H2868">
            <v>103.54</v>
          </cell>
        </row>
        <row r="2869">
          <cell r="A2869" t="str">
            <v>1;64;CG;B;PAQ10a12</v>
          </cell>
          <cell r="B2869">
            <v>730069</v>
          </cell>
          <cell r="C2869" t="str">
            <v>CG</v>
          </cell>
          <cell r="D2869" t="str">
            <v>CANARIAS GIBRALTAR</v>
          </cell>
          <cell r="E2869" t="str">
            <v>64</v>
          </cell>
          <cell r="F2869" t="str">
            <v>PAQ10a12</v>
          </cell>
          <cell r="G2869" t="str">
            <v>B</v>
          </cell>
          <cell r="H2869">
            <v>123.54</v>
          </cell>
        </row>
        <row r="2870">
          <cell r="A2870" t="str">
            <v>1;64;CG;B;PAQ12a14</v>
          </cell>
          <cell r="B2870">
            <v>730069</v>
          </cell>
          <cell r="C2870" t="str">
            <v>CG</v>
          </cell>
          <cell r="D2870" t="str">
            <v>CANARIAS GIBRALTAR</v>
          </cell>
          <cell r="E2870" t="str">
            <v>64</v>
          </cell>
          <cell r="F2870" t="str">
            <v>PAQ12a14</v>
          </cell>
          <cell r="G2870" t="str">
            <v>B</v>
          </cell>
          <cell r="H2870">
            <v>143.56</v>
          </cell>
        </row>
        <row r="2871">
          <cell r="A2871" t="str">
            <v>1;64;CG;B;PAQ14a16</v>
          </cell>
          <cell r="B2871">
            <v>730069</v>
          </cell>
          <cell r="C2871" t="str">
            <v>CG</v>
          </cell>
          <cell r="D2871" t="str">
            <v>CANARIAS GIBRALTAR</v>
          </cell>
          <cell r="E2871" t="str">
            <v>64</v>
          </cell>
          <cell r="F2871" t="str">
            <v>PAQ14a16</v>
          </cell>
          <cell r="G2871" t="str">
            <v>B</v>
          </cell>
          <cell r="H2871">
            <v>163.57</v>
          </cell>
        </row>
        <row r="2872">
          <cell r="A2872" t="str">
            <v>1;64;CG;B;PAQ16a18</v>
          </cell>
          <cell r="B2872">
            <v>730069</v>
          </cell>
          <cell r="C2872" t="str">
            <v>CG</v>
          </cell>
          <cell r="D2872" t="str">
            <v>CANARIAS GIBRALTAR</v>
          </cell>
          <cell r="E2872" t="str">
            <v>64</v>
          </cell>
          <cell r="F2872" t="str">
            <v>PAQ16a18</v>
          </cell>
          <cell r="G2872" t="str">
            <v>B</v>
          </cell>
          <cell r="H2872">
            <v>183.58</v>
          </cell>
        </row>
        <row r="2873">
          <cell r="A2873" t="str">
            <v>1;64;CG;B;PAQ18a20</v>
          </cell>
          <cell r="B2873">
            <v>730069</v>
          </cell>
          <cell r="C2873" t="str">
            <v>CG</v>
          </cell>
          <cell r="D2873" t="str">
            <v>CANARIAS GIBRALTAR</v>
          </cell>
          <cell r="E2873" t="str">
            <v>64</v>
          </cell>
          <cell r="F2873" t="str">
            <v>PAQ18a20</v>
          </cell>
          <cell r="G2873" t="str">
            <v>B</v>
          </cell>
          <cell r="H2873">
            <v>203.58</v>
          </cell>
        </row>
        <row r="2874">
          <cell r="A2874" t="str">
            <v>1;64;CG;B;PAQ20a22</v>
          </cell>
          <cell r="B2874">
            <v>730069</v>
          </cell>
          <cell r="C2874" t="str">
            <v>CG</v>
          </cell>
          <cell r="D2874" t="str">
            <v>CANARIAS GIBRALTAR</v>
          </cell>
          <cell r="E2874" t="str">
            <v>64</v>
          </cell>
          <cell r="F2874" t="str">
            <v>PAQ20a22</v>
          </cell>
          <cell r="G2874" t="str">
            <v>B</v>
          </cell>
          <cell r="H2874">
            <v>223.6</v>
          </cell>
        </row>
        <row r="2875">
          <cell r="A2875" t="str">
            <v>1;64;CG;B;PAQ22a24</v>
          </cell>
          <cell r="B2875">
            <v>730069</v>
          </cell>
          <cell r="C2875" t="str">
            <v>CG</v>
          </cell>
          <cell r="D2875" t="str">
            <v>CANARIAS GIBRALTAR</v>
          </cell>
          <cell r="E2875" t="str">
            <v>64</v>
          </cell>
          <cell r="F2875" t="str">
            <v>PAQ22a24</v>
          </cell>
          <cell r="G2875" t="str">
            <v>B</v>
          </cell>
          <cell r="H2875">
            <v>243.61</v>
          </cell>
        </row>
        <row r="2876">
          <cell r="A2876" t="str">
            <v>1;64;CG;B;PAQ24a26</v>
          </cell>
          <cell r="B2876">
            <v>730069</v>
          </cell>
          <cell r="C2876" t="str">
            <v>CG</v>
          </cell>
          <cell r="D2876" t="str">
            <v>CANARIAS GIBRALTAR</v>
          </cell>
          <cell r="E2876" t="str">
            <v>64</v>
          </cell>
          <cell r="F2876" t="str">
            <v>PAQ24a26</v>
          </cell>
          <cell r="G2876" t="str">
            <v>B</v>
          </cell>
          <cell r="H2876">
            <v>263.62</v>
          </cell>
        </row>
        <row r="2877">
          <cell r="A2877" t="str">
            <v>1;64;CG;B;PAQ26a28</v>
          </cell>
          <cell r="B2877">
            <v>730069</v>
          </cell>
          <cell r="C2877" t="str">
            <v>CG</v>
          </cell>
          <cell r="D2877" t="str">
            <v>CANARIAS GIBRALTAR</v>
          </cell>
          <cell r="E2877" t="str">
            <v>64</v>
          </cell>
          <cell r="F2877" t="str">
            <v>PAQ26a28</v>
          </cell>
          <cell r="G2877" t="str">
            <v>B</v>
          </cell>
          <cell r="H2877">
            <v>283.63</v>
          </cell>
        </row>
        <row r="2878">
          <cell r="A2878" t="str">
            <v>1;64;CG;B;PAQ28a30</v>
          </cell>
          <cell r="B2878">
            <v>730069</v>
          </cell>
          <cell r="C2878" t="str">
            <v>CG</v>
          </cell>
          <cell r="D2878" t="str">
            <v>CANARIAS GIBRALTAR</v>
          </cell>
          <cell r="E2878" t="str">
            <v>64</v>
          </cell>
          <cell r="F2878" t="str">
            <v>PAQ28a30</v>
          </cell>
          <cell r="G2878" t="str">
            <v>B</v>
          </cell>
          <cell r="H2878">
            <v>303.64</v>
          </cell>
        </row>
        <row r="2879">
          <cell r="A2879" t="str">
            <v>1;64;CG;B;PAQ30a32</v>
          </cell>
          <cell r="B2879">
            <v>730069</v>
          </cell>
          <cell r="C2879" t="str">
            <v>CG</v>
          </cell>
          <cell r="D2879" t="str">
            <v>CANARIAS GIBRALTAR</v>
          </cell>
          <cell r="E2879" t="str">
            <v>64</v>
          </cell>
          <cell r="F2879" t="str">
            <v>PAQ30a32</v>
          </cell>
          <cell r="G2879" t="str">
            <v>B</v>
          </cell>
          <cell r="H2879">
            <v>323.64999999999998</v>
          </cell>
        </row>
        <row r="2880">
          <cell r="A2880" t="str">
            <v>1;64;CG;B;PAQ32a34</v>
          </cell>
          <cell r="B2880">
            <v>730069</v>
          </cell>
          <cell r="C2880" t="str">
            <v>CG</v>
          </cell>
          <cell r="D2880" t="str">
            <v>CANARIAS GIBRALTAR</v>
          </cell>
          <cell r="E2880" t="str">
            <v>64</v>
          </cell>
          <cell r="F2880" t="str">
            <v>PAQ32a34</v>
          </cell>
          <cell r="G2880" t="str">
            <v>B</v>
          </cell>
          <cell r="H2880">
            <v>343.67</v>
          </cell>
        </row>
        <row r="2881">
          <cell r="A2881" t="str">
            <v>1;64;CG;B;PAQ34a36</v>
          </cell>
          <cell r="B2881">
            <v>730069</v>
          </cell>
          <cell r="C2881" t="str">
            <v>CG</v>
          </cell>
          <cell r="D2881" t="str">
            <v>CANARIAS GIBRALTAR</v>
          </cell>
          <cell r="E2881" t="str">
            <v>64</v>
          </cell>
          <cell r="F2881" t="str">
            <v>PAQ34a36</v>
          </cell>
          <cell r="G2881" t="str">
            <v>B</v>
          </cell>
          <cell r="H2881">
            <v>363.67</v>
          </cell>
        </row>
        <row r="2882">
          <cell r="A2882" t="str">
            <v>1;64;CG;B;PAQ36a38</v>
          </cell>
          <cell r="B2882">
            <v>730069</v>
          </cell>
          <cell r="C2882" t="str">
            <v>CG</v>
          </cell>
          <cell r="D2882" t="str">
            <v>CANARIAS GIBRALTAR</v>
          </cell>
          <cell r="E2882" t="str">
            <v>64</v>
          </cell>
          <cell r="F2882" t="str">
            <v>PAQ36a38</v>
          </cell>
          <cell r="G2882" t="str">
            <v>B</v>
          </cell>
          <cell r="H2882">
            <v>383.68</v>
          </cell>
        </row>
        <row r="2883">
          <cell r="A2883" t="str">
            <v>1;64;CG;B;PAQ38a40</v>
          </cell>
          <cell r="B2883">
            <v>730069</v>
          </cell>
          <cell r="C2883" t="str">
            <v>CG</v>
          </cell>
          <cell r="D2883" t="str">
            <v>CANARIAS GIBRALTAR</v>
          </cell>
          <cell r="E2883" t="str">
            <v>64</v>
          </cell>
          <cell r="F2883" t="str">
            <v>PAQ38a40</v>
          </cell>
          <cell r="G2883" t="str">
            <v>B</v>
          </cell>
          <cell r="H2883">
            <v>403.69</v>
          </cell>
        </row>
        <row r="2884">
          <cell r="A2884" t="str">
            <v>1;64;CG;F;</v>
          </cell>
          <cell r="B2884">
            <v>730069</v>
          </cell>
          <cell r="C2884" t="str">
            <v>CG</v>
          </cell>
          <cell r="D2884" t="str">
            <v>CANARIAS GIBRALTAR</v>
          </cell>
          <cell r="E2884" t="str">
            <v>64</v>
          </cell>
          <cell r="F2884" t="str">
            <v/>
          </cell>
          <cell r="G2884" t="str">
            <v>F</v>
          </cell>
          <cell r="H2884">
            <v>20.010000000000002</v>
          </cell>
        </row>
        <row r="2885">
          <cell r="A2885" t="str">
            <v>1;64;CG;E;</v>
          </cell>
          <cell r="B2885">
            <v>730069</v>
          </cell>
          <cell r="C2885" t="str">
            <v>CG</v>
          </cell>
          <cell r="D2885" t="str">
            <v>CANARIAS GIBRALTAR</v>
          </cell>
          <cell r="E2885" t="str">
            <v>64</v>
          </cell>
          <cell r="F2885" t="str">
            <v/>
          </cell>
          <cell r="G2885" t="str">
            <v>E</v>
          </cell>
          <cell r="H2885">
            <v>0</v>
          </cell>
        </row>
        <row r="2886">
          <cell r="A2886" t="str">
            <v>1;64;CG;P;</v>
          </cell>
          <cell r="B2886">
            <v>730069</v>
          </cell>
          <cell r="C2886" t="str">
            <v>CG</v>
          </cell>
          <cell r="D2886" t="str">
            <v>CANARIAS GIBRALTAR</v>
          </cell>
          <cell r="E2886" t="str">
            <v>64</v>
          </cell>
          <cell r="F2886" t="str">
            <v/>
          </cell>
          <cell r="G2886" t="str">
            <v>P</v>
          </cell>
          <cell r="H2886">
            <v>0</v>
          </cell>
        </row>
        <row r="2887">
          <cell r="A2887" t="str">
            <v>1;E;CP;B;BAG</v>
          </cell>
          <cell r="B2887">
            <v>730069</v>
          </cell>
          <cell r="C2887" t="str">
            <v>CP</v>
          </cell>
          <cell r="D2887" t="str">
            <v>CANARIAS PORTUGAL</v>
          </cell>
          <cell r="E2887" t="str">
            <v>E</v>
          </cell>
          <cell r="F2887" t="str">
            <v>BAG</v>
          </cell>
          <cell r="G2887" t="str">
            <v>B</v>
          </cell>
          <cell r="H2887">
            <v>0</v>
          </cell>
        </row>
        <row r="2888">
          <cell r="A2888" t="str">
            <v>1;E;CP;B;PAQ00a02</v>
          </cell>
          <cell r="B2888">
            <v>730069</v>
          </cell>
          <cell r="C2888" t="str">
            <v>CP</v>
          </cell>
          <cell r="D2888" t="str">
            <v>CANARIAS PORTUGAL</v>
          </cell>
          <cell r="E2888" t="str">
            <v>E</v>
          </cell>
          <cell r="F2888" t="str">
            <v>PAQ00a02</v>
          </cell>
          <cell r="G2888" t="str">
            <v>B</v>
          </cell>
          <cell r="H2888">
            <v>0</v>
          </cell>
        </row>
        <row r="2889">
          <cell r="A2889" t="str">
            <v>1;E;CP;B;PAQ02a04</v>
          </cell>
          <cell r="B2889">
            <v>730069</v>
          </cell>
          <cell r="C2889" t="str">
            <v>CP</v>
          </cell>
          <cell r="D2889" t="str">
            <v>CANARIAS PORTUGAL</v>
          </cell>
          <cell r="E2889" t="str">
            <v>E</v>
          </cell>
          <cell r="F2889" t="str">
            <v>PAQ02a04</v>
          </cell>
          <cell r="G2889" t="str">
            <v>B</v>
          </cell>
          <cell r="H2889">
            <v>0</v>
          </cell>
        </row>
        <row r="2890">
          <cell r="A2890" t="str">
            <v>1;E;CP;B;PAQ04a06</v>
          </cell>
          <cell r="B2890">
            <v>730069</v>
          </cell>
          <cell r="C2890" t="str">
            <v>CP</v>
          </cell>
          <cell r="D2890" t="str">
            <v>CANARIAS PORTUGAL</v>
          </cell>
          <cell r="E2890" t="str">
            <v>E</v>
          </cell>
          <cell r="F2890" t="str">
            <v>PAQ04a06</v>
          </cell>
          <cell r="G2890" t="str">
            <v>B</v>
          </cell>
          <cell r="H2890">
            <v>0</v>
          </cell>
        </row>
        <row r="2891">
          <cell r="A2891" t="str">
            <v>1;E;CP;B;PAQ06a08</v>
          </cell>
          <cell r="B2891">
            <v>730069</v>
          </cell>
          <cell r="C2891" t="str">
            <v>CP</v>
          </cell>
          <cell r="D2891" t="str">
            <v>CANARIAS PORTUGAL</v>
          </cell>
          <cell r="E2891" t="str">
            <v>E</v>
          </cell>
          <cell r="F2891" t="str">
            <v>PAQ06a08</v>
          </cell>
          <cell r="G2891" t="str">
            <v>B</v>
          </cell>
          <cell r="H2891">
            <v>0</v>
          </cell>
        </row>
        <row r="2892">
          <cell r="A2892" t="str">
            <v>1;E;CP;B;PAQ08a10</v>
          </cell>
          <cell r="B2892">
            <v>730069</v>
          </cell>
          <cell r="C2892" t="str">
            <v>CP</v>
          </cell>
          <cell r="D2892" t="str">
            <v>CANARIAS PORTUGAL</v>
          </cell>
          <cell r="E2892" t="str">
            <v>E</v>
          </cell>
          <cell r="F2892" t="str">
            <v>PAQ08a10</v>
          </cell>
          <cell r="G2892" t="str">
            <v>B</v>
          </cell>
          <cell r="H2892">
            <v>0</v>
          </cell>
        </row>
        <row r="2893">
          <cell r="A2893" t="str">
            <v>1;E;CP;B;PAQ10a12</v>
          </cell>
          <cell r="B2893">
            <v>730069</v>
          </cell>
          <cell r="C2893" t="str">
            <v>CP</v>
          </cell>
          <cell r="D2893" t="str">
            <v>CANARIAS PORTUGAL</v>
          </cell>
          <cell r="E2893" t="str">
            <v>E</v>
          </cell>
          <cell r="F2893" t="str">
            <v>PAQ10a12</v>
          </cell>
          <cell r="G2893" t="str">
            <v>B</v>
          </cell>
          <cell r="H2893">
            <v>0</v>
          </cell>
        </row>
        <row r="2894">
          <cell r="A2894" t="str">
            <v>1;E;CP;B;PAQ12a14</v>
          </cell>
          <cell r="B2894">
            <v>730069</v>
          </cell>
          <cell r="C2894" t="str">
            <v>CP</v>
          </cell>
          <cell r="D2894" t="str">
            <v>CANARIAS PORTUGAL</v>
          </cell>
          <cell r="E2894" t="str">
            <v>E</v>
          </cell>
          <cell r="F2894" t="str">
            <v>PAQ12a14</v>
          </cell>
          <cell r="G2894" t="str">
            <v>B</v>
          </cell>
          <cell r="H2894">
            <v>0</v>
          </cell>
        </row>
        <row r="2895">
          <cell r="A2895" t="str">
            <v>1;E;CP;B;PAQ14a16</v>
          </cell>
          <cell r="B2895">
            <v>730069</v>
          </cell>
          <cell r="C2895" t="str">
            <v>CP</v>
          </cell>
          <cell r="D2895" t="str">
            <v>CANARIAS PORTUGAL</v>
          </cell>
          <cell r="E2895" t="str">
            <v>E</v>
          </cell>
          <cell r="F2895" t="str">
            <v>PAQ14a16</v>
          </cell>
          <cell r="G2895" t="str">
            <v>B</v>
          </cell>
          <cell r="H2895">
            <v>0</v>
          </cell>
        </row>
        <row r="2896">
          <cell r="A2896" t="str">
            <v>1;E;CP;B;PAQ16a18</v>
          </cell>
          <cell r="B2896">
            <v>730069</v>
          </cell>
          <cell r="C2896" t="str">
            <v>CP</v>
          </cell>
          <cell r="D2896" t="str">
            <v>CANARIAS PORTUGAL</v>
          </cell>
          <cell r="E2896" t="str">
            <v>E</v>
          </cell>
          <cell r="F2896" t="str">
            <v>PAQ16a18</v>
          </cell>
          <cell r="G2896" t="str">
            <v>B</v>
          </cell>
          <cell r="H2896">
            <v>0</v>
          </cell>
        </row>
        <row r="2897">
          <cell r="A2897" t="str">
            <v>1;E;CP;B;PAQ18a20</v>
          </cell>
          <cell r="B2897">
            <v>730069</v>
          </cell>
          <cell r="C2897" t="str">
            <v>CP</v>
          </cell>
          <cell r="D2897" t="str">
            <v>CANARIAS PORTUGAL</v>
          </cell>
          <cell r="E2897" t="str">
            <v>E</v>
          </cell>
          <cell r="F2897" t="str">
            <v>PAQ18a20</v>
          </cell>
          <cell r="G2897" t="str">
            <v>B</v>
          </cell>
          <cell r="H2897">
            <v>0</v>
          </cell>
        </row>
        <row r="2898">
          <cell r="A2898" t="str">
            <v>1;E;CP;B;PAQ20a22</v>
          </cell>
          <cell r="B2898">
            <v>730069</v>
          </cell>
          <cell r="C2898" t="str">
            <v>CP</v>
          </cell>
          <cell r="D2898" t="str">
            <v>CANARIAS PORTUGAL</v>
          </cell>
          <cell r="E2898" t="str">
            <v>E</v>
          </cell>
          <cell r="F2898" t="str">
            <v>PAQ20a22</v>
          </cell>
          <cell r="G2898" t="str">
            <v>B</v>
          </cell>
          <cell r="H2898">
            <v>0</v>
          </cell>
        </row>
        <row r="2899">
          <cell r="A2899" t="str">
            <v>1;E;CP;B;PAQ22a24</v>
          </cell>
          <cell r="B2899">
            <v>730069</v>
          </cell>
          <cell r="C2899" t="str">
            <v>CP</v>
          </cell>
          <cell r="D2899" t="str">
            <v>CANARIAS PORTUGAL</v>
          </cell>
          <cell r="E2899" t="str">
            <v>E</v>
          </cell>
          <cell r="F2899" t="str">
            <v>PAQ22a24</v>
          </cell>
          <cell r="G2899" t="str">
            <v>B</v>
          </cell>
          <cell r="H2899">
            <v>0</v>
          </cell>
        </row>
        <row r="2900">
          <cell r="A2900" t="str">
            <v>1;E;CP;B;PAQ24a26</v>
          </cell>
          <cell r="B2900">
            <v>730069</v>
          </cell>
          <cell r="C2900" t="str">
            <v>CP</v>
          </cell>
          <cell r="D2900" t="str">
            <v>CANARIAS PORTUGAL</v>
          </cell>
          <cell r="E2900" t="str">
            <v>E</v>
          </cell>
          <cell r="F2900" t="str">
            <v>PAQ24a26</v>
          </cell>
          <cell r="G2900" t="str">
            <v>B</v>
          </cell>
          <cell r="H2900">
            <v>0</v>
          </cell>
        </row>
        <row r="2901">
          <cell r="A2901" t="str">
            <v>1;E;CP;B;PAQ26a28</v>
          </cell>
          <cell r="B2901">
            <v>730069</v>
          </cell>
          <cell r="C2901" t="str">
            <v>CP</v>
          </cell>
          <cell r="D2901" t="str">
            <v>CANARIAS PORTUGAL</v>
          </cell>
          <cell r="E2901" t="str">
            <v>E</v>
          </cell>
          <cell r="F2901" t="str">
            <v>PAQ26a28</v>
          </cell>
          <cell r="G2901" t="str">
            <v>B</v>
          </cell>
          <cell r="H2901">
            <v>0</v>
          </cell>
        </row>
        <row r="2902">
          <cell r="A2902" t="str">
            <v>1;E;CP;B;PAQ28a30</v>
          </cell>
          <cell r="B2902">
            <v>730069</v>
          </cell>
          <cell r="C2902" t="str">
            <v>CP</v>
          </cell>
          <cell r="D2902" t="str">
            <v>CANARIAS PORTUGAL</v>
          </cell>
          <cell r="E2902" t="str">
            <v>E</v>
          </cell>
          <cell r="F2902" t="str">
            <v>PAQ28a30</v>
          </cell>
          <cell r="G2902" t="str">
            <v>B</v>
          </cell>
          <cell r="H2902">
            <v>0</v>
          </cell>
        </row>
        <row r="2903">
          <cell r="A2903" t="str">
            <v>1;E;CP;B;PAQ30a32</v>
          </cell>
          <cell r="B2903">
            <v>730069</v>
          </cell>
          <cell r="C2903" t="str">
            <v>CP</v>
          </cell>
          <cell r="D2903" t="str">
            <v>CANARIAS PORTUGAL</v>
          </cell>
          <cell r="E2903" t="str">
            <v>E</v>
          </cell>
          <cell r="F2903" t="str">
            <v>PAQ30a32</v>
          </cell>
          <cell r="G2903" t="str">
            <v>B</v>
          </cell>
          <cell r="H2903">
            <v>0</v>
          </cell>
        </row>
        <row r="2904">
          <cell r="A2904" t="str">
            <v>1;E;CP;B;PAQ32a34</v>
          </cell>
          <cell r="B2904">
            <v>730069</v>
          </cell>
          <cell r="C2904" t="str">
            <v>CP</v>
          </cell>
          <cell r="D2904" t="str">
            <v>CANARIAS PORTUGAL</v>
          </cell>
          <cell r="E2904" t="str">
            <v>E</v>
          </cell>
          <cell r="F2904" t="str">
            <v>PAQ32a34</v>
          </cell>
          <cell r="G2904" t="str">
            <v>B</v>
          </cell>
          <cell r="H2904">
            <v>0</v>
          </cell>
        </row>
        <row r="2905">
          <cell r="A2905" t="str">
            <v>1;E;CP;B;PAQ34a36</v>
          </cell>
          <cell r="B2905">
            <v>730069</v>
          </cell>
          <cell r="C2905" t="str">
            <v>CP</v>
          </cell>
          <cell r="D2905" t="str">
            <v>CANARIAS PORTUGAL</v>
          </cell>
          <cell r="E2905" t="str">
            <v>E</v>
          </cell>
          <cell r="F2905" t="str">
            <v>PAQ34a36</v>
          </cell>
          <cell r="G2905" t="str">
            <v>B</v>
          </cell>
          <cell r="H2905">
            <v>0</v>
          </cell>
        </row>
        <row r="2906">
          <cell r="A2906" t="str">
            <v>1;E;CP;B;PAQ36a38</v>
          </cell>
          <cell r="B2906">
            <v>730069</v>
          </cell>
          <cell r="C2906" t="str">
            <v>CP</v>
          </cell>
          <cell r="D2906" t="str">
            <v>CANARIAS PORTUGAL</v>
          </cell>
          <cell r="E2906" t="str">
            <v>E</v>
          </cell>
          <cell r="F2906" t="str">
            <v>PAQ36a38</v>
          </cell>
          <cell r="G2906" t="str">
            <v>B</v>
          </cell>
          <cell r="H2906">
            <v>0</v>
          </cell>
        </row>
        <row r="2907">
          <cell r="A2907" t="str">
            <v>1;E;CP;B;PAQ38a40</v>
          </cell>
          <cell r="B2907">
            <v>730069</v>
          </cell>
          <cell r="C2907" t="str">
            <v>CP</v>
          </cell>
          <cell r="D2907" t="str">
            <v>CANARIAS PORTUGAL</v>
          </cell>
          <cell r="E2907" t="str">
            <v>E</v>
          </cell>
          <cell r="F2907" t="str">
            <v>PAQ38a40</v>
          </cell>
          <cell r="G2907" t="str">
            <v>B</v>
          </cell>
          <cell r="H2907">
            <v>0</v>
          </cell>
        </row>
        <row r="2908">
          <cell r="A2908" t="str">
            <v>1;E;CP;F;</v>
          </cell>
          <cell r="B2908">
            <v>730069</v>
          </cell>
          <cell r="C2908" t="str">
            <v>CP</v>
          </cell>
          <cell r="D2908" t="str">
            <v>CANARIAS PORTUGAL</v>
          </cell>
          <cell r="E2908" t="str">
            <v>E</v>
          </cell>
          <cell r="F2908" t="str">
            <v/>
          </cell>
          <cell r="G2908" t="str">
            <v>F</v>
          </cell>
          <cell r="H2908">
            <v>0</v>
          </cell>
        </row>
        <row r="2909">
          <cell r="A2909" t="str">
            <v>1;E;CP;E;</v>
          </cell>
          <cell r="B2909">
            <v>730069</v>
          </cell>
          <cell r="C2909" t="str">
            <v>CP</v>
          </cell>
          <cell r="D2909" t="str">
            <v>CANARIAS PORTUGAL</v>
          </cell>
          <cell r="E2909" t="str">
            <v>E</v>
          </cell>
          <cell r="F2909" t="str">
            <v/>
          </cell>
          <cell r="G2909" t="str">
            <v>E</v>
          </cell>
          <cell r="H2909">
            <v>0</v>
          </cell>
        </row>
        <row r="2910">
          <cell r="A2910" t="str">
            <v>1;E;CP;P;</v>
          </cell>
          <cell r="B2910">
            <v>730069</v>
          </cell>
          <cell r="C2910" t="str">
            <v>CP</v>
          </cell>
          <cell r="D2910" t="str">
            <v>CANARIAS PORTUGAL</v>
          </cell>
          <cell r="E2910" t="str">
            <v>E</v>
          </cell>
          <cell r="F2910" t="str">
            <v/>
          </cell>
          <cell r="G2910" t="str">
            <v>P</v>
          </cell>
          <cell r="H2910">
            <v>0</v>
          </cell>
        </row>
        <row r="2911">
          <cell r="A2911" t="str">
            <v>1;F;CP;B;BAG</v>
          </cell>
          <cell r="B2911">
            <v>730069</v>
          </cell>
          <cell r="C2911" t="str">
            <v>CP</v>
          </cell>
          <cell r="D2911" t="str">
            <v>CANARIAS PORTUGAL</v>
          </cell>
          <cell r="E2911" t="str">
            <v>F</v>
          </cell>
          <cell r="F2911" t="str">
            <v>BAG</v>
          </cell>
          <cell r="G2911" t="str">
            <v>B</v>
          </cell>
          <cell r="H2911">
            <v>0</v>
          </cell>
        </row>
        <row r="2912">
          <cell r="A2912" t="str">
            <v>1;F;CP;B;PAQ00a02</v>
          </cell>
          <cell r="B2912">
            <v>730069</v>
          </cell>
          <cell r="C2912" t="str">
            <v>CP</v>
          </cell>
          <cell r="D2912" t="str">
            <v>CANARIAS PORTUGAL</v>
          </cell>
          <cell r="E2912" t="str">
            <v>F</v>
          </cell>
          <cell r="F2912" t="str">
            <v>PAQ00a02</v>
          </cell>
          <cell r="G2912" t="str">
            <v>B</v>
          </cell>
          <cell r="H2912">
            <v>0</v>
          </cell>
        </row>
        <row r="2913">
          <cell r="A2913" t="str">
            <v>1;F;CP;B;PAQ02a04</v>
          </cell>
          <cell r="B2913">
            <v>730069</v>
          </cell>
          <cell r="C2913" t="str">
            <v>CP</v>
          </cell>
          <cell r="D2913" t="str">
            <v>CANARIAS PORTUGAL</v>
          </cell>
          <cell r="E2913" t="str">
            <v>F</v>
          </cell>
          <cell r="F2913" t="str">
            <v>PAQ02a04</v>
          </cell>
          <cell r="G2913" t="str">
            <v>B</v>
          </cell>
          <cell r="H2913">
            <v>0</v>
          </cell>
        </row>
        <row r="2914">
          <cell r="A2914" t="str">
            <v>1;F;CP;B;PAQ04a06</v>
          </cell>
          <cell r="B2914">
            <v>730069</v>
          </cell>
          <cell r="C2914" t="str">
            <v>CP</v>
          </cell>
          <cell r="D2914" t="str">
            <v>CANARIAS PORTUGAL</v>
          </cell>
          <cell r="E2914" t="str">
            <v>F</v>
          </cell>
          <cell r="F2914" t="str">
            <v>PAQ04a06</v>
          </cell>
          <cell r="G2914" t="str">
            <v>B</v>
          </cell>
          <cell r="H2914">
            <v>0</v>
          </cell>
        </row>
        <row r="2915">
          <cell r="A2915" t="str">
            <v>1;F;CP;B;PAQ06a08</v>
          </cell>
          <cell r="B2915">
            <v>730069</v>
          </cell>
          <cell r="C2915" t="str">
            <v>CP</v>
          </cell>
          <cell r="D2915" t="str">
            <v>CANARIAS PORTUGAL</v>
          </cell>
          <cell r="E2915" t="str">
            <v>F</v>
          </cell>
          <cell r="F2915" t="str">
            <v>PAQ06a08</v>
          </cell>
          <cell r="G2915" t="str">
            <v>B</v>
          </cell>
          <cell r="H2915">
            <v>0</v>
          </cell>
        </row>
        <row r="2916">
          <cell r="A2916" t="str">
            <v>1;F;CP;B;PAQ08a10</v>
          </cell>
          <cell r="B2916">
            <v>730069</v>
          </cell>
          <cell r="C2916" t="str">
            <v>CP</v>
          </cell>
          <cell r="D2916" t="str">
            <v>CANARIAS PORTUGAL</v>
          </cell>
          <cell r="E2916" t="str">
            <v>F</v>
          </cell>
          <cell r="F2916" t="str">
            <v>PAQ08a10</v>
          </cell>
          <cell r="G2916" t="str">
            <v>B</v>
          </cell>
          <cell r="H2916">
            <v>0</v>
          </cell>
        </row>
        <row r="2917">
          <cell r="A2917" t="str">
            <v>1;F;CP;B;PAQ10a12</v>
          </cell>
          <cell r="B2917">
            <v>730069</v>
          </cell>
          <cell r="C2917" t="str">
            <v>CP</v>
          </cell>
          <cell r="D2917" t="str">
            <v>CANARIAS PORTUGAL</v>
          </cell>
          <cell r="E2917" t="str">
            <v>F</v>
          </cell>
          <cell r="F2917" t="str">
            <v>PAQ10a12</v>
          </cell>
          <cell r="G2917" t="str">
            <v>B</v>
          </cell>
          <cell r="H2917">
            <v>0</v>
          </cell>
        </row>
        <row r="2918">
          <cell r="A2918" t="str">
            <v>1;F;CP;B;PAQ12a14</v>
          </cell>
          <cell r="B2918">
            <v>730069</v>
          </cell>
          <cell r="C2918" t="str">
            <v>CP</v>
          </cell>
          <cell r="D2918" t="str">
            <v>CANARIAS PORTUGAL</v>
          </cell>
          <cell r="E2918" t="str">
            <v>F</v>
          </cell>
          <cell r="F2918" t="str">
            <v>PAQ12a14</v>
          </cell>
          <cell r="G2918" t="str">
            <v>B</v>
          </cell>
          <cell r="H2918">
            <v>0</v>
          </cell>
        </row>
        <row r="2919">
          <cell r="A2919" t="str">
            <v>1;F;CP;B;PAQ14a16</v>
          </cell>
          <cell r="B2919">
            <v>730069</v>
          </cell>
          <cell r="C2919" t="str">
            <v>CP</v>
          </cell>
          <cell r="D2919" t="str">
            <v>CANARIAS PORTUGAL</v>
          </cell>
          <cell r="E2919" t="str">
            <v>F</v>
          </cell>
          <cell r="F2919" t="str">
            <v>PAQ14a16</v>
          </cell>
          <cell r="G2919" t="str">
            <v>B</v>
          </cell>
          <cell r="H2919">
            <v>0</v>
          </cell>
        </row>
        <row r="2920">
          <cell r="A2920" t="str">
            <v>1;F;CP;B;PAQ16a18</v>
          </cell>
          <cell r="B2920">
            <v>730069</v>
          </cell>
          <cell r="C2920" t="str">
            <v>CP</v>
          </cell>
          <cell r="D2920" t="str">
            <v>CANARIAS PORTUGAL</v>
          </cell>
          <cell r="E2920" t="str">
            <v>F</v>
          </cell>
          <cell r="F2920" t="str">
            <v>PAQ16a18</v>
          </cell>
          <cell r="G2920" t="str">
            <v>B</v>
          </cell>
          <cell r="H2920">
            <v>0</v>
          </cell>
        </row>
        <row r="2921">
          <cell r="A2921" t="str">
            <v>1;F;CP;B;PAQ18a20</v>
          </cell>
          <cell r="B2921">
            <v>730069</v>
          </cell>
          <cell r="C2921" t="str">
            <v>CP</v>
          </cell>
          <cell r="D2921" t="str">
            <v>CANARIAS PORTUGAL</v>
          </cell>
          <cell r="E2921" t="str">
            <v>F</v>
          </cell>
          <cell r="F2921" t="str">
            <v>PAQ18a20</v>
          </cell>
          <cell r="G2921" t="str">
            <v>B</v>
          </cell>
          <cell r="H2921">
            <v>0</v>
          </cell>
        </row>
        <row r="2922">
          <cell r="A2922" t="str">
            <v>1;F;CP;B;PAQ20a22</v>
          </cell>
          <cell r="B2922">
            <v>730069</v>
          </cell>
          <cell r="C2922" t="str">
            <v>CP</v>
          </cell>
          <cell r="D2922" t="str">
            <v>CANARIAS PORTUGAL</v>
          </cell>
          <cell r="E2922" t="str">
            <v>F</v>
          </cell>
          <cell r="F2922" t="str">
            <v>PAQ20a22</v>
          </cell>
          <cell r="G2922" t="str">
            <v>B</v>
          </cell>
          <cell r="H2922">
            <v>0</v>
          </cell>
        </row>
        <row r="2923">
          <cell r="A2923" t="str">
            <v>1;F;CP;B;PAQ22a24</v>
          </cell>
          <cell r="B2923">
            <v>730069</v>
          </cell>
          <cell r="C2923" t="str">
            <v>CP</v>
          </cell>
          <cell r="D2923" t="str">
            <v>CANARIAS PORTUGAL</v>
          </cell>
          <cell r="E2923" t="str">
            <v>F</v>
          </cell>
          <cell r="F2923" t="str">
            <v>PAQ22a24</v>
          </cell>
          <cell r="G2923" t="str">
            <v>B</v>
          </cell>
          <cell r="H2923">
            <v>0</v>
          </cell>
        </row>
        <row r="2924">
          <cell r="A2924" t="str">
            <v>1;F;CP;B;PAQ24a26</v>
          </cell>
          <cell r="B2924">
            <v>730069</v>
          </cell>
          <cell r="C2924" t="str">
            <v>CP</v>
          </cell>
          <cell r="D2924" t="str">
            <v>CANARIAS PORTUGAL</v>
          </cell>
          <cell r="E2924" t="str">
            <v>F</v>
          </cell>
          <cell r="F2924" t="str">
            <v>PAQ24a26</v>
          </cell>
          <cell r="G2924" t="str">
            <v>B</v>
          </cell>
          <cell r="H2924">
            <v>0</v>
          </cell>
        </row>
        <row r="2925">
          <cell r="A2925" t="str">
            <v>1;F;CP;B;PAQ26a28</v>
          </cell>
          <cell r="B2925">
            <v>730069</v>
          </cell>
          <cell r="C2925" t="str">
            <v>CP</v>
          </cell>
          <cell r="D2925" t="str">
            <v>CANARIAS PORTUGAL</v>
          </cell>
          <cell r="E2925" t="str">
            <v>F</v>
          </cell>
          <cell r="F2925" t="str">
            <v>PAQ26a28</v>
          </cell>
          <cell r="G2925" t="str">
            <v>B</v>
          </cell>
          <cell r="H2925">
            <v>0</v>
          </cell>
        </row>
        <row r="2926">
          <cell r="A2926" t="str">
            <v>1;F;CP;B;PAQ28a30</v>
          </cell>
          <cell r="B2926">
            <v>730069</v>
          </cell>
          <cell r="C2926" t="str">
            <v>CP</v>
          </cell>
          <cell r="D2926" t="str">
            <v>CANARIAS PORTUGAL</v>
          </cell>
          <cell r="E2926" t="str">
            <v>F</v>
          </cell>
          <cell r="F2926" t="str">
            <v>PAQ28a30</v>
          </cell>
          <cell r="G2926" t="str">
            <v>B</v>
          </cell>
          <cell r="H2926">
            <v>0</v>
          </cell>
        </row>
        <row r="2927">
          <cell r="A2927" t="str">
            <v>1;F;CP;B;PAQ30a32</v>
          </cell>
          <cell r="B2927">
            <v>730069</v>
          </cell>
          <cell r="C2927" t="str">
            <v>CP</v>
          </cell>
          <cell r="D2927" t="str">
            <v>CANARIAS PORTUGAL</v>
          </cell>
          <cell r="E2927" t="str">
            <v>F</v>
          </cell>
          <cell r="F2927" t="str">
            <v>PAQ30a32</v>
          </cell>
          <cell r="G2927" t="str">
            <v>B</v>
          </cell>
          <cell r="H2927">
            <v>0</v>
          </cell>
        </row>
        <row r="2928">
          <cell r="A2928" t="str">
            <v>1;F;CP;B;PAQ32a34</v>
          </cell>
          <cell r="B2928">
            <v>730069</v>
          </cell>
          <cell r="C2928" t="str">
            <v>CP</v>
          </cell>
          <cell r="D2928" t="str">
            <v>CANARIAS PORTUGAL</v>
          </cell>
          <cell r="E2928" t="str">
            <v>F</v>
          </cell>
          <cell r="F2928" t="str">
            <v>PAQ32a34</v>
          </cell>
          <cell r="G2928" t="str">
            <v>B</v>
          </cell>
          <cell r="H2928">
            <v>0</v>
          </cell>
        </row>
        <row r="2929">
          <cell r="A2929" t="str">
            <v>1;F;CP;B;PAQ34a36</v>
          </cell>
          <cell r="B2929">
            <v>730069</v>
          </cell>
          <cell r="C2929" t="str">
            <v>CP</v>
          </cell>
          <cell r="D2929" t="str">
            <v>CANARIAS PORTUGAL</v>
          </cell>
          <cell r="E2929" t="str">
            <v>F</v>
          </cell>
          <cell r="F2929" t="str">
            <v>PAQ34a36</v>
          </cell>
          <cell r="G2929" t="str">
            <v>B</v>
          </cell>
          <cell r="H2929">
            <v>0</v>
          </cell>
        </row>
        <row r="2930">
          <cell r="A2930" t="str">
            <v>1;F;CP;B;PAQ36a38</v>
          </cell>
          <cell r="B2930">
            <v>730069</v>
          </cell>
          <cell r="C2930" t="str">
            <v>CP</v>
          </cell>
          <cell r="D2930" t="str">
            <v>CANARIAS PORTUGAL</v>
          </cell>
          <cell r="E2930" t="str">
            <v>F</v>
          </cell>
          <cell r="F2930" t="str">
            <v>PAQ36a38</v>
          </cell>
          <cell r="G2930" t="str">
            <v>B</v>
          </cell>
          <cell r="H2930">
            <v>0</v>
          </cell>
        </row>
        <row r="2931">
          <cell r="A2931" t="str">
            <v>1;F;CP;B;PAQ38a40</v>
          </cell>
          <cell r="B2931">
            <v>730069</v>
          </cell>
          <cell r="C2931" t="str">
            <v>CP</v>
          </cell>
          <cell r="D2931" t="str">
            <v>CANARIAS PORTUGAL</v>
          </cell>
          <cell r="E2931" t="str">
            <v>F</v>
          </cell>
          <cell r="F2931" t="str">
            <v>PAQ38a40</v>
          </cell>
          <cell r="G2931" t="str">
            <v>B</v>
          </cell>
          <cell r="H2931">
            <v>0</v>
          </cell>
        </row>
        <row r="2932">
          <cell r="A2932" t="str">
            <v>1;F;CP;F;</v>
          </cell>
          <cell r="B2932">
            <v>730069</v>
          </cell>
          <cell r="C2932" t="str">
            <v>CP</v>
          </cell>
          <cell r="D2932" t="str">
            <v>CANARIAS PORTUGAL</v>
          </cell>
          <cell r="E2932" t="str">
            <v>F</v>
          </cell>
          <cell r="F2932" t="str">
            <v/>
          </cell>
          <cell r="G2932" t="str">
            <v>F</v>
          </cell>
          <cell r="H2932">
            <v>0</v>
          </cell>
        </row>
        <row r="2933">
          <cell r="A2933" t="str">
            <v>1;F;CP;P;</v>
          </cell>
          <cell r="B2933">
            <v>730069</v>
          </cell>
          <cell r="C2933" t="str">
            <v>CP</v>
          </cell>
          <cell r="D2933" t="str">
            <v>CANARIAS PORTUGAL</v>
          </cell>
          <cell r="E2933" t="str">
            <v>F</v>
          </cell>
          <cell r="F2933" t="str">
            <v/>
          </cell>
          <cell r="G2933" t="str">
            <v>P</v>
          </cell>
          <cell r="H2933">
            <v>0</v>
          </cell>
        </row>
        <row r="2934">
          <cell r="A2934" t="str">
            <v>1;F;CP;E;</v>
          </cell>
          <cell r="B2934">
            <v>730069</v>
          </cell>
          <cell r="C2934" t="str">
            <v>CP</v>
          </cell>
          <cell r="D2934" t="str">
            <v>CANARIAS PORTUGAL</v>
          </cell>
          <cell r="E2934" t="str">
            <v>F</v>
          </cell>
          <cell r="F2934" t="str">
            <v/>
          </cell>
          <cell r="G2934" t="str">
            <v>E</v>
          </cell>
          <cell r="H2934">
            <v>0</v>
          </cell>
        </row>
        <row r="2935">
          <cell r="A2935" t="str">
            <v>1;G;CP;B;BAG</v>
          </cell>
          <cell r="B2935">
            <v>730069</v>
          </cell>
          <cell r="C2935" t="str">
            <v>CP</v>
          </cell>
          <cell r="D2935" t="str">
            <v>CANARIAS PORTUGAL</v>
          </cell>
          <cell r="E2935" t="str">
            <v>G</v>
          </cell>
          <cell r="F2935" t="str">
            <v>BAG</v>
          </cell>
          <cell r="G2935" t="str">
            <v>B</v>
          </cell>
          <cell r="H2935">
            <v>0</v>
          </cell>
        </row>
        <row r="2936">
          <cell r="A2936" t="str">
            <v>1;G;CP;B;PAQ00a02</v>
          </cell>
          <cell r="B2936">
            <v>730069</v>
          </cell>
          <cell r="C2936" t="str">
            <v>CP</v>
          </cell>
          <cell r="D2936" t="str">
            <v>CANARIAS PORTUGAL</v>
          </cell>
          <cell r="E2936" t="str">
            <v>G</v>
          </cell>
          <cell r="F2936" t="str">
            <v>PAQ00a02</v>
          </cell>
          <cell r="G2936" t="str">
            <v>B</v>
          </cell>
          <cell r="H2936">
            <v>0</v>
          </cell>
        </row>
        <row r="2937">
          <cell r="A2937" t="str">
            <v>1;G;CP;B;PAQ02a04</v>
          </cell>
          <cell r="B2937">
            <v>730069</v>
          </cell>
          <cell r="C2937" t="str">
            <v>CP</v>
          </cell>
          <cell r="D2937" t="str">
            <v>CANARIAS PORTUGAL</v>
          </cell>
          <cell r="E2937" t="str">
            <v>G</v>
          </cell>
          <cell r="F2937" t="str">
            <v>PAQ02a04</v>
          </cell>
          <cell r="G2937" t="str">
            <v>B</v>
          </cell>
          <cell r="H2937">
            <v>0</v>
          </cell>
        </row>
        <row r="2938">
          <cell r="A2938" t="str">
            <v>1;G;CP;B;PAQ04a06</v>
          </cell>
          <cell r="B2938">
            <v>730069</v>
          </cell>
          <cell r="C2938" t="str">
            <v>CP</v>
          </cell>
          <cell r="D2938" t="str">
            <v>CANARIAS PORTUGAL</v>
          </cell>
          <cell r="E2938" t="str">
            <v>G</v>
          </cell>
          <cell r="F2938" t="str">
            <v>PAQ04a06</v>
          </cell>
          <cell r="G2938" t="str">
            <v>B</v>
          </cell>
          <cell r="H2938">
            <v>0</v>
          </cell>
        </row>
        <row r="2939">
          <cell r="A2939" t="str">
            <v>1;G;CP;B;PAQ06a08</v>
          </cell>
          <cell r="B2939">
            <v>730069</v>
          </cell>
          <cell r="C2939" t="str">
            <v>CP</v>
          </cell>
          <cell r="D2939" t="str">
            <v>CANARIAS PORTUGAL</v>
          </cell>
          <cell r="E2939" t="str">
            <v>G</v>
          </cell>
          <cell r="F2939" t="str">
            <v>PAQ06a08</v>
          </cell>
          <cell r="G2939" t="str">
            <v>B</v>
          </cell>
          <cell r="H2939">
            <v>0</v>
          </cell>
        </row>
        <row r="2940">
          <cell r="A2940" t="str">
            <v>1;G;CP;B;PAQ08a10</v>
          </cell>
          <cell r="B2940">
            <v>730069</v>
          </cell>
          <cell r="C2940" t="str">
            <v>CP</v>
          </cell>
          <cell r="D2940" t="str">
            <v>CANARIAS PORTUGAL</v>
          </cell>
          <cell r="E2940" t="str">
            <v>G</v>
          </cell>
          <cell r="F2940" t="str">
            <v>PAQ08a10</v>
          </cell>
          <cell r="G2940" t="str">
            <v>B</v>
          </cell>
          <cell r="H2940">
            <v>0</v>
          </cell>
        </row>
        <row r="2941">
          <cell r="A2941" t="str">
            <v>1;G;CP;B;PAQ10a12</v>
          </cell>
          <cell r="B2941">
            <v>730069</v>
          </cell>
          <cell r="C2941" t="str">
            <v>CP</v>
          </cell>
          <cell r="D2941" t="str">
            <v>CANARIAS PORTUGAL</v>
          </cell>
          <cell r="E2941" t="str">
            <v>G</v>
          </cell>
          <cell r="F2941" t="str">
            <v>PAQ10a12</v>
          </cell>
          <cell r="G2941" t="str">
            <v>B</v>
          </cell>
          <cell r="H2941">
            <v>0</v>
          </cell>
        </row>
        <row r="2942">
          <cell r="A2942" t="str">
            <v>1;G;CP;B;PAQ12a14</v>
          </cell>
          <cell r="B2942">
            <v>730069</v>
          </cell>
          <cell r="C2942" t="str">
            <v>CP</v>
          </cell>
          <cell r="D2942" t="str">
            <v>CANARIAS PORTUGAL</v>
          </cell>
          <cell r="E2942" t="str">
            <v>G</v>
          </cell>
          <cell r="F2942" t="str">
            <v>PAQ12a14</v>
          </cell>
          <cell r="G2942" t="str">
            <v>B</v>
          </cell>
          <cell r="H2942">
            <v>0</v>
          </cell>
        </row>
        <row r="2943">
          <cell r="A2943" t="str">
            <v>1;G;CP;B;PAQ14a16</v>
          </cell>
          <cell r="B2943">
            <v>730069</v>
          </cell>
          <cell r="C2943" t="str">
            <v>CP</v>
          </cell>
          <cell r="D2943" t="str">
            <v>CANARIAS PORTUGAL</v>
          </cell>
          <cell r="E2943" t="str">
            <v>G</v>
          </cell>
          <cell r="F2943" t="str">
            <v>PAQ14a16</v>
          </cell>
          <cell r="G2943" t="str">
            <v>B</v>
          </cell>
          <cell r="H2943">
            <v>0</v>
          </cell>
        </row>
        <row r="2944">
          <cell r="A2944" t="str">
            <v>1;G;CP;B;PAQ16a18</v>
          </cell>
          <cell r="B2944">
            <v>730069</v>
          </cell>
          <cell r="C2944" t="str">
            <v>CP</v>
          </cell>
          <cell r="D2944" t="str">
            <v>CANARIAS PORTUGAL</v>
          </cell>
          <cell r="E2944" t="str">
            <v>G</v>
          </cell>
          <cell r="F2944" t="str">
            <v>PAQ16a18</v>
          </cell>
          <cell r="G2944" t="str">
            <v>B</v>
          </cell>
          <cell r="H2944">
            <v>0</v>
          </cell>
        </row>
        <row r="2945">
          <cell r="A2945" t="str">
            <v>1;G;CP;B;PAQ18a20</v>
          </cell>
          <cell r="B2945">
            <v>730069</v>
          </cell>
          <cell r="C2945" t="str">
            <v>CP</v>
          </cell>
          <cell r="D2945" t="str">
            <v>CANARIAS PORTUGAL</v>
          </cell>
          <cell r="E2945" t="str">
            <v>G</v>
          </cell>
          <cell r="F2945" t="str">
            <v>PAQ18a20</v>
          </cell>
          <cell r="G2945" t="str">
            <v>B</v>
          </cell>
          <cell r="H2945">
            <v>0</v>
          </cell>
        </row>
        <row r="2946">
          <cell r="A2946" t="str">
            <v>1;G;CP;B;PAQ20a22</v>
          </cell>
          <cell r="B2946">
            <v>730069</v>
          </cell>
          <cell r="C2946" t="str">
            <v>CP</v>
          </cell>
          <cell r="D2946" t="str">
            <v>CANARIAS PORTUGAL</v>
          </cell>
          <cell r="E2946" t="str">
            <v>G</v>
          </cell>
          <cell r="F2946" t="str">
            <v>PAQ20a22</v>
          </cell>
          <cell r="G2946" t="str">
            <v>B</v>
          </cell>
          <cell r="H2946">
            <v>0</v>
          </cell>
        </row>
        <row r="2947">
          <cell r="A2947" t="str">
            <v>1;G;CP;B;PAQ22a24</v>
          </cell>
          <cell r="B2947">
            <v>730069</v>
          </cell>
          <cell r="C2947" t="str">
            <v>CP</v>
          </cell>
          <cell r="D2947" t="str">
            <v>CANARIAS PORTUGAL</v>
          </cell>
          <cell r="E2947" t="str">
            <v>G</v>
          </cell>
          <cell r="F2947" t="str">
            <v>PAQ22a24</v>
          </cell>
          <cell r="G2947" t="str">
            <v>B</v>
          </cell>
          <cell r="H2947">
            <v>0</v>
          </cell>
        </row>
        <row r="2948">
          <cell r="A2948" t="str">
            <v>1;G;CP;B;PAQ24a26</v>
          </cell>
          <cell r="B2948">
            <v>730069</v>
          </cell>
          <cell r="C2948" t="str">
            <v>CP</v>
          </cell>
          <cell r="D2948" t="str">
            <v>CANARIAS PORTUGAL</v>
          </cell>
          <cell r="E2948" t="str">
            <v>G</v>
          </cell>
          <cell r="F2948" t="str">
            <v>PAQ24a26</v>
          </cell>
          <cell r="G2948" t="str">
            <v>B</v>
          </cell>
          <cell r="H2948">
            <v>0</v>
          </cell>
        </row>
        <row r="2949">
          <cell r="A2949" t="str">
            <v>1;G;CP;B;PAQ26a28</v>
          </cell>
          <cell r="B2949">
            <v>730069</v>
          </cell>
          <cell r="C2949" t="str">
            <v>CP</v>
          </cell>
          <cell r="D2949" t="str">
            <v>CANARIAS PORTUGAL</v>
          </cell>
          <cell r="E2949" t="str">
            <v>G</v>
          </cell>
          <cell r="F2949" t="str">
            <v>PAQ26a28</v>
          </cell>
          <cell r="G2949" t="str">
            <v>B</v>
          </cell>
          <cell r="H2949">
            <v>0</v>
          </cell>
        </row>
        <row r="2950">
          <cell r="A2950" t="str">
            <v>1;G;CP;B;PAQ28a30</v>
          </cell>
          <cell r="B2950">
            <v>730069</v>
          </cell>
          <cell r="C2950" t="str">
            <v>CP</v>
          </cell>
          <cell r="D2950" t="str">
            <v>CANARIAS PORTUGAL</v>
          </cell>
          <cell r="E2950" t="str">
            <v>G</v>
          </cell>
          <cell r="F2950" t="str">
            <v>PAQ28a30</v>
          </cell>
          <cell r="G2950" t="str">
            <v>B</v>
          </cell>
          <cell r="H2950">
            <v>0</v>
          </cell>
        </row>
        <row r="2951">
          <cell r="A2951" t="str">
            <v>1;G;CP;B;PAQ30a32</v>
          </cell>
          <cell r="B2951">
            <v>730069</v>
          </cell>
          <cell r="C2951" t="str">
            <v>CP</v>
          </cell>
          <cell r="D2951" t="str">
            <v>CANARIAS PORTUGAL</v>
          </cell>
          <cell r="E2951" t="str">
            <v>G</v>
          </cell>
          <cell r="F2951" t="str">
            <v>PAQ30a32</v>
          </cell>
          <cell r="G2951" t="str">
            <v>B</v>
          </cell>
          <cell r="H2951">
            <v>0</v>
          </cell>
        </row>
        <row r="2952">
          <cell r="A2952" t="str">
            <v>1;G;CP;B;PAQ32a34</v>
          </cell>
          <cell r="B2952">
            <v>730069</v>
          </cell>
          <cell r="C2952" t="str">
            <v>CP</v>
          </cell>
          <cell r="D2952" t="str">
            <v>CANARIAS PORTUGAL</v>
          </cell>
          <cell r="E2952" t="str">
            <v>G</v>
          </cell>
          <cell r="F2952" t="str">
            <v>PAQ32a34</v>
          </cell>
          <cell r="G2952" t="str">
            <v>B</v>
          </cell>
          <cell r="H2952">
            <v>0</v>
          </cell>
        </row>
        <row r="2953">
          <cell r="A2953" t="str">
            <v>1;G;CP;B;PAQ34a36</v>
          </cell>
          <cell r="B2953">
            <v>730069</v>
          </cell>
          <cell r="C2953" t="str">
            <v>CP</v>
          </cell>
          <cell r="D2953" t="str">
            <v>CANARIAS PORTUGAL</v>
          </cell>
          <cell r="E2953" t="str">
            <v>G</v>
          </cell>
          <cell r="F2953" t="str">
            <v>PAQ34a36</v>
          </cell>
          <cell r="G2953" t="str">
            <v>B</v>
          </cell>
          <cell r="H2953">
            <v>0</v>
          </cell>
        </row>
        <row r="2954">
          <cell r="A2954" t="str">
            <v>1;G;CP;B;PAQ36a38</v>
          </cell>
          <cell r="B2954">
            <v>730069</v>
          </cell>
          <cell r="C2954" t="str">
            <v>CP</v>
          </cell>
          <cell r="D2954" t="str">
            <v>CANARIAS PORTUGAL</v>
          </cell>
          <cell r="E2954" t="str">
            <v>G</v>
          </cell>
          <cell r="F2954" t="str">
            <v>PAQ36a38</v>
          </cell>
          <cell r="G2954" t="str">
            <v>B</v>
          </cell>
          <cell r="H2954">
            <v>0</v>
          </cell>
        </row>
        <row r="2955">
          <cell r="A2955" t="str">
            <v>1;G;CP;B;PAQ38a40</v>
          </cell>
          <cell r="B2955">
            <v>730069</v>
          </cell>
          <cell r="C2955" t="str">
            <v>CP</v>
          </cell>
          <cell r="D2955" t="str">
            <v>CANARIAS PORTUGAL</v>
          </cell>
          <cell r="E2955" t="str">
            <v>G</v>
          </cell>
          <cell r="F2955" t="str">
            <v>PAQ38a40</v>
          </cell>
          <cell r="G2955" t="str">
            <v>B</v>
          </cell>
          <cell r="H2955">
            <v>0</v>
          </cell>
        </row>
        <row r="2956">
          <cell r="A2956" t="str">
            <v>1;G;CP;F;</v>
          </cell>
          <cell r="B2956">
            <v>730069</v>
          </cell>
          <cell r="C2956" t="str">
            <v>CP</v>
          </cell>
          <cell r="D2956" t="str">
            <v>CANARIAS PORTUGAL</v>
          </cell>
          <cell r="E2956" t="str">
            <v>G</v>
          </cell>
          <cell r="F2956" t="str">
            <v/>
          </cell>
          <cell r="G2956" t="str">
            <v>F</v>
          </cell>
          <cell r="H2956">
            <v>0</v>
          </cell>
        </row>
        <row r="2957">
          <cell r="A2957" t="str">
            <v>1;G;CP;E;</v>
          </cell>
          <cell r="B2957">
            <v>730069</v>
          </cell>
          <cell r="C2957" t="str">
            <v>CP</v>
          </cell>
          <cell r="D2957" t="str">
            <v>CANARIAS PORTUGAL</v>
          </cell>
          <cell r="E2957" t="str">
            <v>G</v>
          </cell>
          <cell r="F2957" t="str">
            <v/>
          </cell>
          <cell r="G2957" t="str">
            <v>E</v>
          </cell>
          <cell r="H2957">
            <v>0</v>
          </cell>
        </row>
        <row r="2958">
          <cell r="A2958" t="str">
            <v>1;G;CP;P;</v>
          </cell>
          <cell r="B2958">
            <v>730069</v>
          </cell>
          <cell r="C2958" t="str">
            <v>CP</v>
          </cell>
          <cell r="D2958" t="str">
            <v>CANARIAS PORTUGAL</v>
          </cell>
          <cell r="E2958" t="str">
            <v>G</v>
          </cell>
          <cell r="F2958" t="str">
            <v/>
          </cell>
          <cell r="G2958" t="str">
            <v>P</v>
          </cell>
          <cell r="H2958">
            <v>0</v>
          </cell>
        </row>
        <row r="2959">
          <cell r="A2959" t="str">
            <v>1;01;CP;B;BAG</v>
          </cell>
          <cell r="B2959">
            <v>730069</v>
          </cell>
          <cell r="C2959" t="str">
            <v>CP</v>
          </cell>
          <cell r="D2959" t="str">
            <v>CANARIAS PORTUGAL</v>
          </cell>
          <cell r="E2959" t="str">
            <v>01</v>
          </cell>
          <cell r="F2959" t="str">
            <v>BAG</v>
          </cell>
          <cell r="G2959" t="str">
            <v>B</v>
          </cell>
          <cell r="H2959">
            <v>21.55</v>
          </cell>
        </row>
        <row r="2960">
          <cell r="A2960" t="str">
            <v>1;01;CP;B;DOCS</v>
          </cell>
          <cell r="B2960">
            <v>730069</v>
          </cell>
          <cell r="C2960" t="str">
            <v>CP</v>
          </cell>
          <cell r="D2960" t="str">
            <v>CANARIAS PORTUGAL</v>
          </cell>
          <cell r="E2960" t="str">
            <v>01</v>
          </cell>
          <cell r="F2960" t="str">
            <v>DOCS</v>
          </cell>
          <cell r="G2960" t="str">
            <v>B</v>
          </cell>
          <cell r="H2960">
            <v>14.2</v>
          </cell>
        </row>
        <row r="2961">
          <cell r="A2961" t="str">
            <v>1;01;CP;B;PAQ00a02</v>
          </cell>
          <cell r="B2961">
            <v>730069</v>
          </cell>
          <cell r="C2961" t="str">
            <v>CP</v>
          </cell>
          <cell r="D2961" t="str">
            <v>CANARIAS PORTUGAL</v>
          </cell>
          <cell r="E2961" t="str">
            <v>01</v>
          </cell>
          <cell r="F2961" t="str">
            <v>PAQ00a02</v>
          </cell>
          <cell r="G2961" t="str">
            <v>B</v>
          </cell>
          <cell r="H2961">
            <v>25.16</v>
          </cell>
        </row>
        <row r="2962">
          <cell r="A2962" t="str">
            <v>1;01;CP;B;PAQ02a04</v>
          </cell>
          <cell r="B2962">
            <v>730069</v>
          </cell>
          <cell r="C2962" t="str">
            <v>CP</v>
          </cell>
          <cell r="D2962" t="str">
            <v>CANARIAS PORTUGAL</v>
          </cell>
          <cell r="E2962" t="str">
            <v>01</v>
          </cell>
          <cell r="F2962" t="str">
            <v>PAQ02a04</v>
          </cell>
          <cell r="G2962" t="str">
            <v>B</v>
          </cell>
          <cell r="H2962">
            <v>42.04</v>
          </cell>
        </row>
        <row r="2963">
          <cell r="A2963" t="str">
            <v>1;01;CP;B;PAQ04a06</v>
          </cell>
          <cell r="B2963">
            <v>730069</v>
          </cell>
          <cell r="C2963" t="str">
            <v>CP</v>
          </cell>
          <cell r="D2963" t="str">
            <v>CANARIAS PORTUGAL</v>
          </cell>
          <cell r="E2963" t="str">
            <v>01</v>
          </cell>
          <cell r="F2963" t="str">
            <v>PAQ04a06</v>
          </cell>
          <cell r="G2963" t="str">
            <v>B</v>
          </cell>
          <cell r="H2963">
            <v>62.04</v>
          </cell>
        </row>
        <row r="2964">
          <cell r="A2964" t="str">
            <v>1;01;CP;B;PAQ06a08</v>
          </cell>
          <cell r="B2964">
            <v>730069</v>
          </cell>
          <cell r="C2964" t="str">
            <v>CP</v>
          </cell>
          <cell r="D2964" t="str">
            <v>CANARIAS PORTUGAL</v>
          </cell>
          <cell r="E2964" t="str">
            <v>01</v>
          </cell>
          <cell r="F2964" t="str">
            <v>PAQ06a08</v>
          </cell>
          <cell r="G2964" t="str">
            <v>B</v>
          </cell>
          <cell r="H2964">
            <v>82.06</v>
          </cell>
        </row>
        <row r="2965">
          <cell r="A2965" t="str">
            <v>1;01;CP;B;PAQ08a10</v>
          </cell>
          <cell r="B2965">
            <v>730069</v>
          </cell>
          <cell r="C2965" t="str">
            <v>CP</v>
          </cell>
          <cell r="D2965" t="str">
            <v>CANARIAS PORTUGAL</v>
          </cell>
          <cell r="E2965" t="str">
            <v>01</v>
          </cell>
          <cell r="F2965" t="str">
            <v>PAQ08a10</v>
          </cell>
          <cell r="G2965" t="str">
            <v>B</v>
          </cell>
          <cell r="H2965">
            <v>102.07</v>
          </cell>
        </row>
        <row r="2966">
          <cell r="A2966" t="str">
            <v>1;01;CP;B;PAQ10a12</v>
          </cell>
          <cell r="B2966">
            <v>730069</v>
          </cell>
          <cell r="C2966" t="str">
            <v>CP</v>
          </cell>
          <cell r="D2966" t="str">
            <v>CANARIAS PORTUGAL</v>
          </cell>
          <cell r="E2966" t="str">
            <v>01</v>
          </cell>
          <cell r="F2966" t="str">
            <v>PAQ10a12</v>
          </cell>
          <cell r="G2966" t="str">
            <v>B</v>
          </cell>
          <cell r="H2966">
            <v>122.08</v>
          </cell>
        </row>
        <row r="2967">
          <cell r="A2967" t="str">
            <v>1;01;CP;B;PAQ12a14</v>
          </cell>
          <cell r="B2967">
            <v>730069</v>
          </cell>
          <cell r="C2967" t="str">
            <v>CP</v>
          </cell>
          <cell r="D2967" t="str">
            <v>CANARIAS PORTUGAL</v>
          </cell>
          <cell r="E2967" t="str">
            <v>01</v>
          </cell>
          <cell r="F2967" t="str">
            <v>PAQ12a14</v>
          </cell>
          <cell r="G2967" t="str">
            <v>B</v>
          </cell>
          <cell r="H2967">
            <v>142.09</v>
          </cell>
        </row>
        <row r="2968">
          <cell r="A2968" t="str">
            <v>1;01;CP;B;PAQ14a16</v>
          </cell>
          <cell r="B2968">
            <v>730069</v>
          </cell>
          <cell r="C2968" t="str">
            <v>CP</v>
          </cell>
          <cell r="D2968" t="str">
            <v>CANARIAS PORTUGAL</v>
          </cell>
          <cell r="E2968" t="str">
            <v>01</v>
          </cell>
          <cell r="F2968" t="str">
            <v>PAQ14a16</v>
          </cell>
          <cell r="G2968" t="str">
            <v>B</v>
          </cell>
          <cell r="H2968">
            <v>162.1</v>
          </cell>
        </row>
        <row r="2969">
          <cell r="A2969" t="str">
            <v>1;01;CP;B;PAQ16a18</v>
          </cell>
          <cell r="B2969">
            <v>730069</v>
          </cell>
          <cell r="C2969" t="str">
            <v>CP</v>
          </cell>
          <cell r="D2969" t="str">
            <v>CANARIAS PORTUGAL</v>
          </cell>
          <cell r="E2969" t="str">
            <v>01</v>
          </cell>
          <cell r="F2969" t="str">
            <v>PAQ16a18</v>
          </cell>
          <cell r="G2969" t="str">
            <v>B</v>
          </cell>
          <cell r="H2969">
            <v>182.11</v>
          </cell>
        </row>
        <row r="2970">
          <cell r="A2970" t="str">
            <v>1;01;CP;B;PAQ18a20</v>
          </cell>
          <cell r="B2970">
            <v>730069</v>
          </cell>
          <cell r="C2970" t="str">
            <v>CP</v>
          </cell>
          <cell r="D2970" t="str">
            <v>CANARIAS PORTUGAL</v>
          </cell>
          <cell r="E2970" t="str">
            <v>01</v>
          </cell>
          <cell r="F2970" t="str">
            <v>PAQ18a20</v>
          </cell>
          <cell r="G2970" t="str">
            <v>B</v>
          </cell>
          <cell r="H2970">
            <v>202.13</v>
          </cell>
        </row>
        <row r="2971">
          <cell r="A2971" t="str">
            <v>1;01;CP;B;PAQ20a22</v>
          </cell>
          <cell r="B2971">
            <v>730069</v>
          </cell>
          <cell r="C2971" t="str">
            <v>CP</v>
          </cell>
          <cell r="D2971" t="str">
            <v>CANARIAS PORTUGAL</v>
          </cell>
          <cell r="E2971" t="str">
            <v>01</v>
          </cell>
          <cell r="F2971" t="str">
            <v>PAQ20a22</v>
          </cell>
          <cell r="G2971" t="str">
            <v>B</v>
          </cell>
          <cell r="H2971">
            <v>222.13</v>
          </cell>
        </row>
        <row r="2972">
          <cell r="A2972" t="str">
            <v>1;01;CP;B;PAQ22a24</v>
          </cell>
          <cell r="B2972">
            <v>730069</v>
          </cell>
          <cell r="C2972" t="str">
            <v>CP</v>
          </cell>
          <cell r="D2972" t="str">
            <v>CANARIAS PORTUGAL</v>
          </cell>
          <cell r="E2972" t="str">
            <v>01</v>
          </cell>
          <cell r="F2972" t="str">
            <v>PAQ22a24</v>
          </cell>
          <cell r="G2972" t="str">
            <v>B</v>
          </cell>
          <cell r="H2972">
            <v>242.14</v>
          </cell>
        </row>
        <row r="2973">
          <cell r="A2973" t="str">
            <v>1;01;CP;B;PAQ24a26</v>
          </cell>
          <cell r="B2973">
            <v>730069</v>
          </cell>
          <cell r="C2973" t="str">
            <v>CP</v>
          </cell>
          <cell r="D2973" t="str">
            <v>CANARIAS PORTUGAL</v>
          </cell>
          <cell r="E2973" t="str">
            <v>01</v>
          </cell>
          <cell r="F2973" t="str">
            <v>PAQ24a26</v>
          </cell>
          <cell r="G2973" t="str">
            <v>B</v>
          </cell>
          <cell r="H2973">
            <v>262.14999999999998</v>
          </cell>
        </row>
        <row r="2974">
          <cell r="A2974" t="str">
            <v>1;01;CP;B;PAQ26a28</v>
          </cell>
          <cell r="B2974">
            <v>730069</v>
          </cell>
          <cell r="C2974" t="str">
            <v>CP</v>
          </cell>
          <cell r="D2974" t="str">
            <v>CANARIAS PORTUGAL</v>
          </cell>
          <cell r="E2974" t="str">
            <v>01</v>
          </cell>
          <cell r="F2974" t="str">
            <v>PAQ26a28</v>
          </cell>
          <cell r="G2974" t="str">
            <v>B</v>
          </cell>
          <cell r="H2974">
            <v>282.17</v>
          </cell>
        </row>
        <row r="2975">
          <cell r="A2975" t="str">
            <v>1;01;CP;B;PAQ28a30</v>
          </cell>
          <cell r="B2975">
            <v>730069</v>
          </cell>
          <cell r="C2975" t="str">
            <v>CP</v>
          </cell>
          <cell r="D2975" t="str">
            <v>CANARIAS PORTUGAL</v>
          </cell>
          <cell r="E2975" t="str">
            <v>01</v>
          </cell>
          <cell r="F2975" t="str">
            <v>PAQ28a30</v>
          </cell>
          <cell r="G2975" t="str">
            <v>B</v>
          </cell>
          <cell r="H2975">
            <v>302.17</v>
          </cell>
        </row>
        <row r="2976">
          <cell r="A2976" t="str">
            <v>1;01;CP;B;PAQ30a32</v>
          </cell>
          <cell r="B2976">
            <v>730069</v>
          </cell>
          <cell r="C2976" t="str">
            <v>CP</v>
          </cell>
          <cell r="D2976" t="str">
            <v>CANARIAS PORTUGAL</v>
          </cell>
          <cell r="E2976" t="str">
            <v>01</v>
          </cell>
          <cell r="F2976" t="str">
            <v>PAQ30a32</v>
          </cell>
          <cell r="G2976" t="str">
            <v>B</v>
          </cell>
          <cell r="H2976">
            <v>322.18</v>
          </cell>
        </row>
        <row r="2977">
          <cell r="A2977" t="str">
            <v>1;01;CP;B;PAQ32a34</v>
          </cell>
          <cell r="B2977">
            <v>730069</v>
          </cell>
          <cell r="C2977" t="str">
            <v>CP</v>
          </cell>
          <cell r="D2977" t="str">
            <v>CANARIAS PORTUGAL</v>
          </cell>
          <cell r="E2977" t="str">
            <v>01</v>
          </cell>
          <cell r="F2977" t="str">
            <v>PAQ32a34</v>
          </cell>
          <cell r="G2977" t="str">
            <v>B</v>
          </cell>
          <cell r="H2977">
            <v>342.2</v>
          </cell>
        </row>
        <row r="2978">
          <cell r="A2978" t="str">
            <v>1;01;CP;B;PAQ34a36</v>
          </cell>
          <cell r="B2978">
            <v>730069</v>
          </cell>
          <cell r="C2978" t="str">
            <v>CP</v>
          </cell>
          <cell r="D2978" t="str">
            <v>CANARIAS PORTUGAL</v>
          </cell>
          <cell r="E2978" t="str">
            <v>01</v>
          </cell>
          <cell r="F2978" t="str">
            <v>PAQ34a36</v>
          </cell>
          <cell r="G2978" t="str">
            <v>B</v>
          </cell>
          <cell r="H2978">
            <v>362.21</v>
          </cell>
        </row>
        <row r="2979">
          <cell r="A2979" t="str">
            <v>1;01;CP;B;PAQ36a38</v>
          </cell>
          <cell r="B2979">
            <v>730069</v>
          </cell>
          <cell r="C2979" t="str">
            <v>CP</v>
          </cell>
          <cell r="D2979" t="str">
            <v>CANARIAS PORTUGAL</v>
          </cell>
          <cell r="E2979" t="str">
            <v>01</v>
          </cell>
          <cell r="F2979" t="str">
            <v>PAQ36a38</v>
          </cell>
          <cell r="G2979" t="str">
            <v>B</v>
          </cell>
          <cell r="H2979">
            <v>382.21</v>
          </cell>
        </row>
        <row r="2980">
          <cell r="A2980" t="str">
            <v>1;01;CP;B;PAQ38a40</v>
          </cell>
          <cell r="B2980">
            <v>730069</v>
          </cell>
          <cell r="C2980" t="str">
            <v>CP</v>
          </cell>
          <cell r="D2980" t="str">
            <v>CANARIAS PORTUGAL</v>
          </cell>
          <cell r="E2980" t="str">
            <v>01</v>
          </cell>
          <cell r="F2980" t="str">
            <v>PAQ38a40</v>
          </cell>
          <cell r="G2980" t="str">
            <v>B</v>
          </cell>
          <cell r="H2980">
            <v>402.22</v>
          </cell>
        </row>
        <row r="2981">
          <cell r="A2981" t="str">
            <v>1;01;CP;F;</v>
          </cell>
          <cell r="B2981">
            <v>730069</v>
          </cell>
          <cell r="C2981" t="str">
            <v>CP</v>
          </cell>
          <cell r="D2981" t="str">
            <v>CANARIAS PORTUGAL</v>
          </cell>
          <cell r="E2981" t="str">
            <v>01</v>
          </cell>
          <cell r="F2981" t="str">
            <v/>
          </cell>
          <cell r="G2981" t="str">
            <v>F</v>
          </cell>
          <cell r="H2981">
            <v>20.010000000000002</v>
          </cell>
        </row>
        <row r="2982">
          <cell r="A2982" t="str">
            <v>1;01;CP;E;</v>
          </cell>
          <cell r="B2982">
            <v>730069</v>
          </cell>
          <cell r="C2982" t="str">
            <v>CP</v>
          </cell>
          <cell r="D2982" t="str">
            <v>CANARIAS PORTUGAL</v>
          </cell>
          <cell r="E2982" t="str">
            <v>01</v>
          </cell>
          <cell r="F2982" t="str">
            <v/>
          </cell>
          <cell r="G2982" t="str">
            <v>E</v>
          </cell>
          <cell r="H2982">
            <v>0</v>
          </cell>
        </row>
        <row r="2983">
          <cell r="A2983" t="str">
            <v>1;01;CP;P;</v>
          </cell>
          <cell r="B2983">
            <v>730069</v>
          </cell>
          <cell r="C2983" t="str">
            <v>CP</v>
          </cell>
          <cell r="D2983" t="str">
            <v>CANARIAS PORTUGAL</v>
          </cell>
          <cell r="E2983" t="str">
            <v>01</v>
          </cell>
          <cell r="F2983" t="str">
            <v/>
          </cell>
          <cell r="G2983" t="str">
            <v>P</v>
          </cell>
          <cell r="H2983">
            <v>0</v>
          </cell>
        </row>
        <row r="2984">
          <cell r="A2984" t="str">
            <v>1;02;CP;B;BAG</v>
          </cell>
          <cell r="B2984">
            <v>730069</v>
          </cell>
          <cell r="C2984" t="str">
            <v>CP</v>
          </cell>
          <cell r="D2984" t="str">
            <v>CANARIAS PORTUGAL</v>
          </cell>
          <cell r="E2984" t="str">
            <v>02</v>
          </cell>
          <cell r="F2984" t="str">
            <v>BAG</v>
          </cell>
          <cell r="G2984" t="str">
            <v>B</v>
          </cell>
          <cell r="H2984">
            <v>19.54</v>
          </cell>
        </row>
        <row r="2985">
          <cell r="A2985" t="str">
            <v>1;02;CP;B;DOCS</v>
          </cell>
          <cell r="B2985">
            <v>730069</v>
          </cell>
          <cell r="C2985" t="str">
            <v>CP</v>
          </cell>
          <cell r="D2985" t="str">
            <v>CANARIAS PORTUGAL</v>
          </cell>
          <cell r="E2985" t="str">
            <v>02</v>
          </cell>
          <cell r="F2985" t="str">
            <v>DOCS</v>
          </cell>
          <cell r="G2985" t="str">
            <v>B</v>
          </cell>
          <cell r="H2985">
            <v>10.19</v>
          </cell>
        </row>
        <row r="2986">
          <cell r="A2986" t="str">
            <v>1;02;CP;B;PAQ00a02</v>
          </cell>
          <cell r="B2986">
            <v>730069</v>
          </cell>
          <cell r="C2986" t="str">
            <v>CP</v>
          </cell>
          <cell r="D2986" t="str">
            <v>CANARIAS PORTUGAL</v>
          </cell>
          <cell r="E2986" t="str">
            <v>02</v>
          </cell>
          <cell r="F2986" t="str">
            <v>PAQ00a02</v>
          </cell>
          <cell r="G2986" t="str">
            <v>B</v>
          </cell>
          <cell r="H2986">
            <v>23.05</v>
          </cell>
        </row>
        <row r="2987">
          <cell r="A2987" t="str">
            <v>1;02;CP;B;PAQ02a04</v>
          </cell>
          <cell r="B2987">
            <v>730069</v>
          </cell>
          <cell r="C2987" t="str">
            <v>CP</v>
          </cell>
          <cell r="D2987" t="str">
            <v>CANARIAS PORTUGAL</v>
          </cell>
          <cell r="E2987" t="str">
            <v>02</v>
          </cell>
          <cell r="F2987" t="str">
            <v>PAQ02a04</v>
          </cell>
          <cell r="G2987" t="str">
            <v>B</v>
          </cell>
          <cell r="H2987">
            <v>37.700000000000003</v>
          </cell>
        </row>
        <row r="2988">
          <cell r="A2988" t="str">
            <v>1;02;CP;B;PAQ04a06</v>
          </cell>
          <cell r="B2988">
            <v>730069</v>
          </cell>
          <cell r="C2988" t="str">
            <v>CP</v>
          </cell>
          <cell r="D2988" t="str">
            <v>CANARIAS PORTUGAL</v>
          </cell>
          <cell r="E2988" t="str">
            <v>02</v>
          </cell>
          <cell r="F2988" t="str">
            <v>PAQ04a06</v>
          </cell>
          <cell r="G2988" t="str">
            <v>B</v>
          </cell>
          <cell r="H2988">
            <v>49.93</v>
          </cell>
        </row>
        <row r="2989">
          <cell r="A2989" t="str">
            <v>1;02;CP;B;PAQ06a08</v>
          </cell>
          <cell r="B2989">
            <v>730069</v>
          </cell>
          <cell r="C2989" t="str">
            <v>CP</v>
          </cell>
          <cell r="D2989" t="str">
            <v>CANARIAS PORTUGAL</v>
          </cell>
          <cell r="E2989" t="str">
            <v>02</v>
          </cell>
          <cell r="F2989" t="str">
            <v>PAQ06a08</v>
          </cell>
          <cell r="G2989" t="str">
            <v>B</v>
          </cell>
          <cell r="H2989">
            <v>62.17</v>
          </cell>
        </row>
        <row r="2990">
          <cell r="A2990" t="str">
            <v>1;02;CP;B;PAQ08a10</v>
          </cell>
          <cell r="B2990">
            <v>730069</v>
          </cell>
          <cell r="C2990" t="str">
            <v>CP</v>
          </cell>
          <cell r="D2990" t="str">
            <v>CANARIAS PORTUGAL</v>
          </cell>
          <cell r="E2990" t="str">
            <v>02</v>
          </cell>
          <cell r="F2990" t="str">
            <v>PAQ08a10</v>
          </cell>
          <cell r="G2990" t="str">
            <v>B</v>
          </cell>
          <cell r="H2990">
            <v>74.400000000000006</v>
          </cell>
        </row>
        <row r="2991">
          <cell r="A2991" t="str">
            <v>1;02;CP;B;PAQ10a12</v>
          </cell>
          <cell r="B2991">
            <v>730069</v>
          </cell>
          <cell r="C2991" t="str">
            <v>CP</v>
          </cell>
          <cell r="D2991" t="str">
            <v>CANARIAS PORTUGAL</v>
          </cell>
          <cell r="E2991" t="str">
            <v>02</v>
          </cell>
          <cell r="F2991" t="str">
            <v>PAQ10a12</v>
          </cell>
          <cell r="G2991" t="str">
            <v>B</v>
          </cell>
          <cell r="H2991">
            <v>86.65</v>
          </cell>
        </row>
        <row r="2992">
          <cell r="A2992" t="str">
            <v>1;02;CP;B;PAQ12a14</v>
          </cell>
          <cell r="B2992">
            <v>730069</v>
          </cell>
          <cell r="C2992" t="str">
            <v>CP</v>
          </cell>
          <cell r="D2992" t="str">
            <v>CANARIAS PORTUGAL</v>
          </cell>
          <cell r="E2992" t="str">
            <v>02</v>
          </cell>
          <cell r="F2992" t="str">
            <v>PAQ12a14</v>
          </cell>
          <cell r="G2992" t="str">
            <v>B</v>
          </cell>
          <cell r="H2992">
            <v>98.88</v>
          </cell>
        </row>
        <row r="2993">
          <cell r="A2993" t="str">
            <v>1;02;CP;B;PAQ14a16</v>
          </cell>
          <cell r="B2993">
            <v>730069</v>
          </cell>
          <cell r="C2993" t="str">
            <v>CP</v>
          </cell>
          <cell r="D2993" t="str">
            <v>CANARIAS PORTUGAL</v>
          </cell>
          <cell r="E2993" t="str">
            <v>02</v>
          </cell>
          <cell r="F2993" t="str">
            <v>PAQ14a16</v>
          </cell>
          <cell r="G2993" t="str">
            <v>B</v>
          </cell>
          <cell r="H2993">
            <v>111.12</v>
          </cell>
        </row>
        <row r="2994">
          <cell r="A2994" t="str">
            <v>1;02;CP;B;PAQ16a18</v>
          </cell>
          <cell r="B2994">
            <v>730069</v>
          </cell>
          <cell r="C2994" t="str">
            <v>CP</v>
          </cell>
          <cell r="D2994" t="str">
            <v>CANARIAS PORTUGAL</v>
          </cell>
          <cell r="E2994" t="str">
            <v>02</v>
          </cell>
          <cell r="F2994" t="str">
            <v>PAQ16a18</v>
          </cell>
          <cell r="G2994" t="str">
            <v>B</v>
          </cell>
          <cell r="H2994">
            <v>123.35</v>
          </cell>
        </row>
        <row r="2995">
          <cell r="A2995" t="str">
            <v>1;02;CP;B;PAQ18a20</v>
          </cell>
          <cell r="B2995">
            <v>730069</v>
          </cell>
          <cell r="C2995" t="str">
            <v>CP</v>
          </cell>
          <cell r="D2995" t="str">
            <v>CANARIAS PORTUGAL</v>
          </cell>
          <cell r="E2995" t="str">
            <v>02</v>
          </cell>
          <cell r="F2995" t="str">
            <v>PAQ18a20</v>
          </cell>
          <cell r="G2995" t="str">
            <v>B</v>
          </cell>
          <cell r="H2995">
            <v>135.6</v>
          </cell>
        </row>
        <row r="2996">
          <cell r="A2996" t="str">
            <v>1;02;CP;B;PAQ20a22</v>
          </cell>
          <cell r="B2996">
            <v>730069</v>
          </cell>
          <cell r="C2996" t="str">
            <v>CP</v>
          </cell>
          <cell r="D2996" t="str">
            <v>CANARIAS PORTUGAL</v>
          </cell>
          <cell r="E2996" t="str">
            <v>02</v>
          </cell>
          <cell r="F2996" t="str">
            <v>PAQ20a22</v>
          </cell>
          <cell r="G2996" t="str">
            <v>B</v>
          </cell>
          <cell r="H2996">
            <v>147.83000000000001</v>
          </cell>
        </row>
        <row r="2997">
          <cell r="A2997" t="str">
            <v>1;02;CP;B;PAQ22a24</v>
          </cell>
          <cell r="B2997">
            <v>730069</v>
          </cell>
          <cell r="C2997" t="str">
            <v>CP</v>
          </cell>
          <cell r="D2997" t="str">
            <v>CANARIAS PORTUGAL</v>
          </cell>
          <cell r="E2997" t="str">
            <v>02</v>
          </cell>
          <cell r="F2997" t="str">
            <v>PAQ22a24</v>
          </cell>
          <cell r="G2997" t="str">
            <v>B</v>
          </cell>
          <cell r="H2997">
            <v>160.07</v>
          </cell>
        </row>
        <row r="2998">
          <cell r="A2998" t="str">
            <v>1;02;CP;B;PAQ24a26</v>
          </cell>
          <cell r="B2998">
            <v>730069</v>
          </cell>
          <cell r="C2998" t="str">
            <v>CP</v>
          </cell>
          <cell r="D2998" t="str">
            <v>CANARIAS PORTUGAL</v>
          </cell>
          <cell r="E2998" t="str">
            <v>02</v>
          </cell>
          <cell r="F2998" t="str">
            <v>PAQ24a26</v>
          </cell>
          <cell r="G2998" t="str">
            <v>B</v>
          </cell>
          <cell r="H2998">
            <v>172.31</v>
          </cell>
        </row>
        <row r="2999">
          <cell r="A2999" t="str">
            <v>1;02;CP;B;PAQ26a28</v>
          </cell>
          <cell r="B2999">
            <v>730069</v>
          </cell>
          <cell r="C2999" t="str">
            <v>CP</v>
          </cell>
          <cell r="D2999" t="str">
            <v>CANARIAS PORTUGAL</v>
          </cell>
          <cell r="E2999" t="str">
            <v>02</v>
          </cell>
          <cell r="F2999" t="str">
            <v>PAQ26a28</v>
          </cell>
          <cell r="G2999" t="str">
            <v>B</v>
          </cell>
          <cell r="H2999">
            <v>184.55</v>
          </cell>
        </row>
        <row r="3000">
          <cell r="A3000" t="str">
            <v>1;02;CP;B;PAQ28a30</v>
          </cell>
          <cell r="B3000">
            <v>730069</v>
          </cell>
          <cell r="C3000" t="str">
            <v>CP</v>
          </cell>
          <cell r="D3000" t="str">
            <v>CANARIAS PORTUGAL</v>
          </cell>
          <cell r="E3000" t="str">
            <v>02</v>
          </cell>
          <cell r="F3000" t="str">
            <v>PAQ28a30</v>
          </cell>
          <cell r="G3000" t="str">
            <v>B</v>
          </cell>
          <cell r="H3000">
            <v>196.78</v>
          </cell>
        </row>
        <row r="3001">
          <cell r="A3001" t="str">
            <v>1;02;CP;B;PAQ30a32</v>
          </cell>
          <cell r="B3001">
            <v>730069</v>
          </cell>
          <cell r="C3001" t="str">
            <v>CP</v>
          </cell>
          <cell r="D3001" t="str">
            <v>CANARIAS PORTUGAL</v>
          </cell>
          <cell r="E3001" t="str">
            <v>02</v>
          </cell>
          <cell r="F3001" t="str">
            <v>PAQ30a32</v>
          </cell>
          <cell r="G3001" t="str">
            <v>B</v>
          </cell>
          <cell r="H3001">
            <v>209.02</v>
          </cell>
        </row>
        <row r="3002">
          <cell r="A3002" t="str">
            <v>1;02;CP;B;PAQ32a34</v>
          </cell>
          <cell r="B3002">
            <v>730069</v>
          </cell>
          <cell r="C3002" t="str">
            <v>CP</v>
          </cell>
          <cell r="D3002" t="str">
            <v>CANARIAS PORTUGAL</v>
          </cell>
          <cell r="E3002" t="str">
            <v>02</v>
          </cell>
          <cell r="F3002" t="str">
            <v>PAQ32a34</v>
          </cell>
          <cell r="G3002" t="str">
            <v>B</v>
          </cell>
          <cell r="H3002">
            <v>221.26</v>
          </cell>
        </row>
        <row r="3003">
          <cell r="A3003" t="str">
            <v>1;02;CP;B;PAQ34a36</v>
          </cell>
          <cell r="B3003">
            <v>730069</v>
          </cell>
          <cell r="C3003" t="str">
            <v>CP</v>
          </cell>
          <cell r="D3003" t="str">
            <v>CANARIAS PORTUGAL</v>
          </cell>
          <cell r="E3003" t="str">
            <v>02</v>
          </cell>
          <cell r="F3003" t="str">
            <v>PAQ34a36</v>
          </cell>
          <cell r="G3003" t="str">
            <v>B</v>
          </cell>
          <cell r="H3003">
            <v>233.5</v>
          </cell>
        </row>
        <row r="3004">
          <cell r="A3004" t="str">
            <v>1;02;CP;B;PAQ36a38</v>
          </cell>
          <cell r="B3004">
            <v>730069</v>
          </cell>
          <cell r="C3004" t="str">
            <v>CP</v>
          </cell>
          <cell r="D3004" t="str">
            <v>CANARIAS PORTUGAL</v>
          </cell>
          <cell r="E3004" t="str">
            <v>02</v>
          </cell>
          <cell r="F3004" t="str">
            <v>PAQ36a38</v>
          </cell>
          <cell r="G3004" t="str">
            <v>B</v>
          </cell>
          <cell r="H3004">
            <v>245.73</v>
          </cell>
        </row>
        <row r="3005">
          <cell r="A3005" t="str">
            <v>1;02;CP;B;PAQ38a40</v>
          </cell>
          <cell r="B3005">
            <v>730069</v>
          </cell>
          <cell r="C3005" t="str">
            <v>CP</v>
          </cell>
          <cell r="D3005" t="str">
            <v>CANARIAS PORTUGAL</v>
          </cell>
          <cell r="E3005" t="str">
            <v>02</v>
          </cell>
          <cell r="F3005" t="str">
            <v>PAQ38a40</v>
          </cell>
          <cell r="G3005" t="str">
            <v>B</v>
          </cell>
          <cell r="H3005">
            <v>257.97000000000003</v>
          </cell>
        </row>
        <row r="3006">
          <cell r="A3006" t="str">
            <v>1;02;CP;F;</v>
          </cell>
          <cell r="B3006">
            <v>730069</v>
          </cell>
          <cell r="C3006" t="str">
            <v>CP</v>
          </cell>
          <cell r="D3006" t="str">
            <v>CANARIAS PORTUGAL</v>
          </cell>
          <cell r="E3006" t="str">
            <v>02</v>
          </cell>
          <cell r="F3006" t="str">
            <v/>
          </cell>
          <cell r="G3006" t="str">
            <v>F</v>
          </cell>
          <cell r="H3006">
            <v>12.24</v>
          </cell>
        </row>
        <row r="3007">
          <cell r="A3007" t="str">
            <v>1;02;CP;P;</v>
          </cell>
          <cell r="B3007">
            <v>730069</v>
          </cell>
          <cell r="C3007" t="str">
            <v>CP</v>
          </cell>
          <cell r="D3007" t="str">
            <v>CANARIAS PORTUGAL</v>
          </cell>
          <cell r="E3007" t="str">
            <v>02</v>
          </cell>
          <cell r="F3007" t="str">
            <v/>
          </cell>
          <cell r="G3007" t="str">
            <v>P</v>
          </cell>
          <cell r="H3007">
            <v>0</v>
          </cell>
        </row>
        <row r="3008">
          <cell r="A3008" t="str">
            <v>1;02;CP;E;</v>
          </cell>
          <cell r="B3008">
            <v>730069</v>
          </cell>
          <cell r="C3008" t="str">
            <v>CP</v>
          </cell>
          <cell r="D3008" t="str">
            <v>CANARIAS PORTUGAL</v>
          </cell>
          <cell r="E3008" t="str">
            <v>02</v>
          </cell>
          <cell r="F3008" t="str">
            <v/>
          </cell>
          <cell r="G3008" t="str">
            <v>E</v>
          </cell>
          <cell r="H3008">
            <v>0</v>
          </cell>
        </row>
        <row r="3009">
          <cell r="A3009" t="str">
            <v>1;04;CP;B;BAG</v>
          </cell>
          <cell r="B3009">
            <v>730069</v>
          </cell>
          <cell r="C3009" t="str">
            <v>CP</v>
          </cell>
          <cell r="D3009" t="str">
            <v>CANARIAS PORTUGAL</v>
          </cell>
          <cell r="E3009" t="str">
            <v>04</v>
          </cell>
          <cell r="F3009" t="str">
            <v>BAG</v>
          </cell>
          <cell r="G3009" t="str">
            <v>B</v>
          </cell>
          <cell r="H3009">
            <v>5.76</v>
          </cell>
        </row>
        <row r="3010">
          <cell r="A3010" t="str">
            <v>1;05;CP;B;BAG</v>
          </cell>
          <cell r="B3010">
            <v>730069</v>
          </cell>
          <cell r="C3010" t="str">
            <v>CP</v>
          </cell>
          <cell r="D3010" t="str">
            <v>CANARIAS PORTUGAL</v>
          </cell>
          <cell r="E3010" t="str">
            <v>05</v>
          </cell>
          <cell r="F3010" t="str">
            <v>BAG</v>
          </cell>
          <cell r="G3010" t="str">
            <v>B</v>
          </cell>
          <cell r="H3010">
            <v>5.76</v>
          </cell>
        </row>
        <row r="3011">
          <cell r="A3011" t="str">
            <v>1;06;CP;B;BAG</v>
          </cell>
          <cell r="B3011">
            <v>730069</v>
          </cell>
          <cell r="C3011" t="str">
            <v>CP</v>
          </cell>
          <cell r="D3011" t="str">
            <v>CANARIAS PORTUGAL</v>
          </cell>
          <cell r="E3011" t="str">
            <v>06</v>
          </cell>
          <cell r="F3011" t="str">
            <v>BAG</v>
          </cell>
          <cell r="G3011" t="str">
            <v>B</v>
          </cell>
          <cell r="H3011">
            <v>0</v>
          </cell>
        </row>
        <row r="3012">
          <cell r="A3012" t="str">
            <v>1;06;CP;B;DOCS</v>
          </cell>
          <cell r="B3012">
            <v>730069</v>
          </cell>
          <cell r="C3012" t="str">
            <v>CP</v>
          </cell>
          <cell r="D3012" t="str">
            <v>CANARIAS PORTUGAL</v>
          </cell>
          <cell r="E3012" t="str">
            <v>06</v>
          </cell>
          <cell r="F3012" t="str">
            <v>DOCS</v>
          </cell>
          <cell r="G3012" t="str">
            <v>B</v>
          </cell>
          <cell r="H3012">
            <v>0</v>
          </cell>
        </row>
        <row r="3013">
          <cell r="A3013" t="str">
            <v>1;06;CP;B;PAQ00a02</v>
          </cell>
          <cell r="B3013">
            <v>730069</v>
          </cell>
          <cell r="C3013" t="str">
            <v>CP</v>
          </cell>
          <cell r="D3013" t="str">
            <v>CANARIAS PORTUGAL</v>
          </cell>
          <cell r="E3013" t="str">
            <v>06</v>
          </cell>
          <cell r="F3013" t="str">
            <v>PAQ00a02</v>
          </cell>
          <cell r="G3013" t="str">
            <v>B</v>
          </cell>
          <cell r="H3013">
            <v>0</v>
          </cell>
        </row>
        <row r="3014">
          <cell r="A3014" t="str">
            <v>1;06;CP;B;PAQ02a04</v>
          </cell>
          <cell r="B3014">
            <v>730069</v>
          </cell>
          <cell r="C3014" t="str">
            <v>CP</v>
          </cell>
          <cell r="D3014" t="str">
            <v>CANARIAS PORTUGAL</v>
          </cell>
          <cell r="E3014" t="str">
            <v>06</v>
          </cell>
          <cell r="F3014" t="str">
            <v>PAQ02a04</v>
          </cell>
          <cell r="G3014" t="str">
            <v>B</v>
          </cell>
          <cell r="H3014">
            <v>0</v>
          </cell>
        </row>
        <row r="3015">
          <cell r="A3015" t="str">
            <v>1;06;CP;B;PAQ04a06</v>
          </cell>
          <cell r="B3015">
            <v>730069</v>
          </cell>
          <cell r="C3015" t="str">
            <v>CP</v>
          </cell>
          <cell r="D3015" t="str">
            <v>CANARIAS PORTUGAL</v>
          </cell>
          <cell r="E3015" t="str">
            <v>06</v>
          </cell>
          <cell r="F3015" t="str">
            <v>PAQ04a06</v>
          </cell>
          <cell r="G3015" t="str">
            <v>B</v>
          </cell>
          <cell r="H3015">
            <v>0</v>
          </cell>
        </row>
        <row r="3016">
          <cell r="A3016" t="str">
            <v>1;06;CP;B;PAQ06a08</v>
          </cell>
          <cell r="B3016">
            <v>730069</v>
          </cell>
          <cell r="C3016" t="str">
            <v>CP</v>
          </cell>
          <cell r="D3016" t="str">
            <v>CANARIAS PORTUGAL</v>
          </cell>
          <cell r="E3016" t="str">
            <v>06</v>
          </cell>
          <cell r="F3016" t="str">
            <v>PAQ06a08</v>
          </cell>
          <cell r="G3016" t="str">
            <v>B</v>
          </cell>
          <cell r="H3016">
            <v>0</v>
          </cell>
        </row>
        <row r="3017">
          <cell r="A3017" t="str">
            <v>1;06;CP;B;PAQ08a10</v>
          </cell>
          <cell r="B3017">
            <v>730069</v>
          </cell>
          <cell r="C3017" t="str">
            <v>CP</v>
          </cell>
          <cell r="D3017" t="str">
            <v>CANARIAS PORTUGAL</v>
          </cell>
          <cell r="E3017" t="str">
            <v>06</v>
          </cell>
          <cell r="F3017" t="str">
            <v>PAQ08a10</v>
          </cell>
          <cell r="G3017" t="str">
            <v>B</v>
          </cell>
          <cell r="H3017">
            <v>0</v>
          </cell>
        </row>
        <row r="3018">
          <cell r="A3018" t="str">
            <v>1;06;CP;B;PAQ10a12</v>
          </cell>
          <cell r="B3018">
            <v>730069</v>
          </cell>
          <cell r="C3018" t="str">
            <v>CP</v>
          </cell>
          <cell r="D3018" t="str">
            <v>CANARIAS PORTUGAL</v>
          </cell>
          <cell r="E3018" t="str">
            <v>06</v>
          </cell>
          <cell r="F3018" t="str">
            <v>PAQ10a12</v>
          </cell>
          <cell r="G3018" t="str">
            <v>B</v>
          </cell>
          <cell r="H3018">
            <v>0</v>
          </cell>
        </row>
        <row r="3019">
          <cell r="A3019" t="str">
            <v>1;06;CP;B;PAQ12a14</v>
          </cell>
          <cell r="B3019">
            <v>730069</v>
          </cell>
          <cell r="C3019" t="str">
            <v>CP</v>
          </cell>
          <cell r="D3019" t="str">
            <v>CANARIAS PORTUGAL</v>
          </cell>
          <cell r="E3019" t="str">
            <v>06</v>
          </cell>
          <cell r="F3019" t="str">
            <v>PAQ12a14</v>
          </cell>
          <cell r="G3019" t="str">
            <v>B</v>
          </cell>
          <cell r="H3019">
            <v>0</v>
          </cell>
        </row>
        <row r="3020">
          <cell r="A3020" t="str">
            <v>1;06;CP;B;PAQ14a16</v>
          </cell>
          <cell r="B3020">
            <v>730069</v>
          </cell>
          <cell r="C3020" t="str">
            <v>CP</v>
          </cell>
          <cell r="D3020" t="str">
            <v>CANARIAS PORTUGAL</v>
          </cell>
          <cell r="E3020" t="str">
            <v>06</v>
          </cell>
          <cell r="F3020" t="str">
            <v>PAQ14a16</v>
          </cell>
          <cell r="G3020" t="str">
            <v>B</v>
          </cell>
          <cell r="H3020">
            <v>0</v>
          </cell>
        </row>
        <row r="3021">
          <cell r="A3021" t="str">
            <v>1;06;CP;B;PAQ16a18</v>
          </cell>
          <cell r="B3021">
            <v>730069</v>
          </cell>
          <cell r="C3021" t="str">
            <v>CP</v>
          </cell>
          <cell r="D3021" t="str">
            <v>CANARIAS PORTUGAL</v>
          </cell>
          <cell r="E3021" t="str">
            <v>06</v>
          </cell>
          <cell r="F3021" t="str">
            <v>PAQ16a18</v>
          </cell>
          <cell r="G3021" t="str">
            <v>B</v>
          </cell>
          <cell r="H3021">
            <v>0</v>
          </cell>
        </row>
        <row r="3022">
          <cell r="A3022" t="str">
            <v>1;06;CP;B;PAQ18a20</v>
          </cell>
          <cell r="B3022">
            <v>730069</v>
          </cell>
          <cell r="C3022" t="str">
            <v>CP</v>
          </cell>
          <cell r="D3022" t="str">
            <v>CANARIAS PORTUGAL</v>
          </cell>
          <cell r="E3022" t="str">
            <v>06</v>
          </cell>
          <cell r="F3022" t="str">
            <v>PAQ18a20</v>
          </cell>
          <cell r="G3022" t="str">
            <v>B</v>
          </cell>
          <cell r="H3022">
            <v>0</v>
          </cell>
        </row>
        <row r="3023">
          <cell r="A3023" t="str">
            <v>1;06;CP;B;PAQ20a22</v>
          </cell>
          <cell r="B3023">
            <v>730069</v>
          </cell>
          <cell r="C3023" t="str">
            <v>CP</v>
          </cell>
          <cell r="D3023" t="str">
            <v>CANARIAS PORTUGAL</v>
          </cell>
          <cell r="E3023" t="str">
            <v>06</v>
          </cell>
          <cell r="F3023" t="str">
            <v>PAQ20a22</v>
          </cell>
          <cell r="G3023" t="str">
            <v>B</v>
          </cell>
          <cell r="H3023">
            <v>0</v>
          </cell>
        </row>
        <row r="3024">
          <cell r="A3024" t="str">
            <v>1;06;CP;B;PAQ22a24</v>
          </cell>
          <cell r="B3024">
            <v>730069</v>
          </cell>
          <cell r="C3024" t="str">
            <v>CP</v>
          </cell>
          <cell r="D3024" t="str">
            <v>CANARIAS PORTUGAL</v>
          </cell>
          <cell r="E3024" t="str">
            <v>06</v>
          </cell>
          <cell r="F3024" t="str">
            <v>PAQ22a24</v>
          </cell>
          <cell r="G3024" t="str">
            <v>B</v>
          </cell>
          <cell r="H3024">
            <v>0</v>
          </cell>
        </row>
        <row r="3025">
          <cell r="A3025" t="str">
            <v>1;06;CP;B;PAQ24a26</v>
          </cell>
          <cell r="B3025">
            <v>730069</v>
          </cell>
          <cell r="C3025" t="str">
            <v>CP</v>
          </cell>
          <cell r="D3025" t="str">
            <v>CANARIAS PORTUGAL</v>
          </cell>
          <cell r="E3025" t="str">
            <v>06</v>
          </cell>
          <cell r="F3025" t="str">
            <v>PAQ24a26</v>
          </cell>
          <cell r="G3025" t="str">
            <v>B</v>
          </cell>
          <cell r="H3025">
            <v>0</v>
          </cell>
        </row>
        <row r="3026">
          <cell r="A3026" t="str">
            <v>1;06;CP;B;PAQ26a28</v>
          </cell>
          <cell r="B3026">
            <v>730069</v>
          </cell>
          <cell r="C3026" t="str">
            <v>CP</v>
          </cell>
          <cell r="D3026" t="str">
            <v>CANARIAS PORTUGAL</v>
          </cell>
          <cell r="E3026" t="str">
            <v>06</v>
          </cell>
          <cell r="F3026" t="str">
            <v>PAQ26a28</v>
          </cell>
          <cell r="G3026" t="str">
            <v>B</v>
          </cell>
          <cell r="H3026">
            <v>0</v>
          </cell>
        </row>
        <row r="3027">
          <cell r="A3027" t="str">
            <v>1;06;CP;B;PAQ28a30</v>
          </cell>
          <cell r="B3027">
            <v>730069</v>
          </cell>
          <cell r="C3027" t="str">
            <v>CP</v>
          </cell>
          <cell r="D3027" t="str">
            <v>CANARIAS PORTUGAL</v>
          </cell>
          <cell r="E3027" t="str">
            <v>06</v>
          </cell>
          <cell r="F3027" t="str">
            <v>PAQ28a30</v>
          </cell>
          <cell r="G3027" t="str">
            <v>B</v>
          </cell>
          <cell r="H3027">
            <v>0</v>
          </cell>
        </row>
        <row r="3028">
          <cell r="A3028" t="str">
            <v>1;06;CP;B;PAQ30a32</v>
          </cell>
          <cell r="B3028">
            <v>730069</v>
          </cell>
          <cell r="C3028" t="str">
            <v>CP</v>
          </cell>
          <cell r="D3028" t="str">
            <v>CANARIAS PORTUGAL</v>
          </cell>
          <cell r="E3028" t="str">
            <v>06</v>
          </cell>
          <cell r="F3028" t="str">
            <v>PAQ30a32</v>
          </cell>
          <cell r="G3028" t="str">
            <v>B</v>
          </cell>
          <cell r="H3028">
            <v>0</v>
          </cell>
        </row>
        <row r="3029">
          <cell r="A3029" t="str">
            <v>1;06;CP;B;PAQ32a34</v>
          </cell>
          <cell r="B3029">
            <v>730069</v>
          </cell>
          <cell r="C3029" t="str">
            <v>CP</v>
          </cell>
          <cell r="D3029" t="str">
            <v>CANARIAS PORTUGAL</v>
          </cell>
          <cell r="E3029" t="str">
            <v>06</v>
          </cell>
          <cell r="F3029" t="str">
            <v>PAQ32a34</v>
          </cell>
          <cell r="G3029" t="str">
            <v>B</v>
          </cell>
          <cell r="H3029">
            <v>0</v>
          </cell>
        </row>
        <row r="3030">
          <cell r="A3030" t="str">
            <v>1;06;CP;B;PAQ34a36</v>
          </cell>
          <cell r="B3030">
            <v>730069</v>
          </cell>
          <cell r="C3030" t="str">
            <v>CP</v>
          </cell>
          <cell r="D3030" t="str">
            <v>CANARIAS PORTUGAL</v>
          </cell>
          <cell r="E3030" t="str">
            <v>06</v>
          </cell>
          <cell r="F3030" t="str">
            <v>PAQ34a36</v>
          </cell>
          <cell r="G3030" t="str">
            <v>B</v>
          </cell>
          <cell r="H3030">
            <v>0</v>
          </cell>
        </row>
        <row r="3031">
          <cell r="A3031" t="str">
            <v>1;06;CP;B;PAQ36a38</v>
          </cell>
          <cell r="B3031">
            <v>730069</v>
          </cell>
          <cell r="C3031" t="str">
            <v>CP</v>
          </cell>
          <cell r="D3031" t="str">
            <v>CANARIAS PORTUGAL</v>
          </cell>
          <cell r="E3031" t="str">
            <v>06</v>
          </cell>
          <cell r="F3031" t="str">
            <v>PAQ36a38</v>
          </cell>
          <cell r="G3031" t="str">
            <v>B</v>
          </cell>
          <cell r="H3031">
            <v>0</v>
          </cell>
        </row>
        <row r="3032">
          <cell r="A3032" t="str">
            <v>1;06;CP;B;PAQ38a40</v>
          </cell>
          <cell r="B3032">
            <v>730069</v>
          </cell>
          <cell r="C3032" t="str">
            <v>CP</v>
          </cell>
          <cell r="D3032" t="str">
            <v>CANARIAS PORTUGAL</v>
          </cell>
          <cell r="E3032" t="str">
            <v>06</v>
          </cell>
          <cell r="F3032" t="str">
            <v>PAQ38a40</v>
          </cell>
          <cell r="G3032" t="str">
            <v>B</v>
          </cell>
          <cell r="H3032">
            <v>0</v>
          </cell>
        </row>
        <row r="3033">
          <cell r="A3033" t="str">
            <v>1;06;CP;F;</v>
          </cell>
          <cell r="B3033">
            <v>730069</v>
          </cell>
          <cell r="C3033" t="str">
            <v>CP</v>
          </cell>
          <cell r="D3033" t="str">
            <v>CANARIAS PORTUGAL</v>
          </cell>
          <cell r="E3033" t="str">
            <v>06</v>
          </cell>
          <cell r="F3033" t="str">
            <v/>
          </cell>
          <cell r="G3033" t="str">
            <v>F</v>
          </cell>
          <cell r="H3033">
            <v>0</v>
          </cell>
        </row>
        <row r="3034">
          <cell r="A3034" t="str">
            <v>1;06;CP;E;</v>
          </cell>
          <cell r="B3034">
            <v>730069</v>
          </cell>
          <cell r="C3034" t="str">
            <v>CP</v>
          </cell>
          <cell r="D3034" t="str">
            <v>CANARIAS PORTUGAL</v>
          </cell>
          <cell r="E3034" t="str">
            <v>06</v>
          </cell>
          <cell r="F3034" t="str">
            <v/>
          </cell>
          <cell r="G3034" t="str">
            <v>E</v>
          </cell>
          <cell r="H3034">
            <v>0</v>
          </cell>
        </row>
        <row r="3035">
          <cell r="A3035" t="str">
            <v>1;06;CP;P;</v>
          </cell>
          <cell r="B3035">
            <v>730069</v>
          </cell>
          <cell r="C3035" t="str">
            <v>CP</v>
          </cell>
          <cell r="D3035" t="str">
            <v>CANARIAS PORTUGAL</v>
          </cell>
          <cell r="E3035" t="str">
            <v>06</v>
          </cell>
          <cell r="F3035" t="str">
            <v/>
          </cell>
          <cell r="G3035" t="str">
            <v>P</v>
          </cell>
          <cell r="H3035">
            <v>0</v>
          </cell>
        </row>
        <row r="3036">
          <cell r="A3036" t="str">
            <v>1;07;CP;B;BAG</v>
          </cell>
          <cell r="B3036">
            <v>730069</v>
          </cell>
          <cell r="C3036" t="str">
            <v>CP</v>
          </cell>
          <cell r="D3036" t="str">
            <v>CANARIAS PORTUGAL</v>
          </cell>
          <cell r="E3036" t="str">
            <v>07</v>
          </cell>
          <cell r="F3036" t="str">
            <v>BAG</v>
          </cell>
          <cell r="G3036" t="str">
            <v>B</v>
          </cell>
          <cell r="H3036">
            <v>0</v>
          </cell>
        </row>
        <row r="3037">
          <cell r="A3037" t="str">
            <v>1;07;CP;B;DOCS</v>
          </cell>
          <cell r="B3037">
            <v>730069</v>
          </cell>
          <cell r="C3037" t="str">
            <v>CP</v>
          </cell>
          <cell r="D3037" t="str">
            <v>CANARIAS PORTUGAL</v>
          </cell>
          <cell r="E3037" t="str">
            <v>07</v>
          </cell>
          <cell r="F3037" t="str">
            <v>DOCS</v>
          </cell>
          <cell r="G3037" t="str">
            <v>B</v>
          </cell>
          <cell r="H3037">
            <v>0</v>
          </cell>
        </row>
        <row r="3038">
          <cell r="A3038" t="str">
            <v>1;07;CP;B;PAQ00a02</v>
          </cell>
          <cell r="B3038">
            <v>730069</v>
          </cell>
          <cell r="C3038" t="str">
            <v>CP</v>
          </cell>
          <cell r="D3038" t="str">
            <v>CANARIAS PORTUGAL</v>
          </cell>
          <cell r="E3038" t="str">
            <v>07</v>
          </cell>
          <cell r="F3038" t="str">
            <v>PAQ00a02</v>
          </cell>
          <cell r="G3038" t="str">
            <v>B</v>
          </cell>
          <cell r="H3038">
            <v>0</v>
          </cell>
        </row>
        <row r="3039">
          <cell r="A3039" t="str">
            <v>1;07;CP;B;PAQ02a04</v>
          </cell>
          <cell r="B3039">
            <v>730069</v>
          </cell>
          <cell r="C3039" t="str">
            <v>CP</v>
          </cell>
          <cell r="D3039" t="str">
            <v>CANARIAS PORTUGAL</v>
          </cell>
          <cell r="E3039" t="str">
            <v>07</v>
          </cell>
          <cell r="F3039" t="str">
            <v>PAQ02a04</v>
          </cell>
          <cell r="G3039" t="str">
            <v>B</v>
          </cell>
          <cell r="H3039">
            <v>0</v>
          </cell>
        </row>
        <row r="3040">
          <cell r="A3040" t="str">
            <v>1;07;CP;B;PAQ04a06</v>
          </cell>
          <cell r="B3040">
            <v>730069</v>
          </cell>
          <cell r="C3040" t="str">
            <v>CP</v>
          </cell>
          <cell r="D3040" t="str">
            <v>CANARIAS PORTUGAL</v>
          </cell>
          <cell r="E3040" t="str">
            <v>07</v>
          </cell>
          <cell r="F3040" t="str">
            <v>PAQ04a06</v>
          </cell>
          <cell r="G3040" t="str">
            <v>B</v>
          </cell>
          <cell r="H3040">
            <v>0</v>
          </cell>
        </row>
        <row r="3041">
          <cell r="A3041" t="str">
            <v>1;07;CP;B;PAQ06a08</v>
          </cell>
          <cell r="B3041">
            <v>730069</v>
          </cell>
          <cell r="C3041" t="str">
            <v>CP</v>
          </cell>
          <cell r="D3041" t="str">
            <v>CANARIAS PORTUGAL</v>
          </cell>
          <cell r="E3041" t="str">
            <v>07</v>
          </cell>
          <cell r="F3041" t="str">
            <v>PAQ06a08</v>
          </cell>
          <cell r="G3041" t="str">
            <v>B</v>
          </cell>
          <cell r="H3041">
            <v>0</v>
          </cell>
        </row>
        <row r="3042">
          <cell r="A3042" t="str">
            <v>1;07;CP;B;PAQ08a10</v>
          </cell>
          <cell r="B3042">
            <v>730069</v>
          </cell>
          <cell r="C3042" t="str">
            <v>CP</v>
          </cell>
          <cell r="D3042" t="str">
            <v>CANARIAS PORTUGAL</v>
          </cell>
          <cell r="E3042" t="str">
            <v>07</v>
          </cell>
          <cell r="F3042" t="str">
            <v>PAQ08a10</v>
          </cell>
          <cell r="G3042" t="str">
            <v>B</v>
          </cell>
          <cell r="H3042">
            <v>0</v>
          </cell>
        </row>
        <row r="3043">
          <cell r="A3043" t="str">
            <v>1;07;CP;B;PAQ10a12</v>
          </cell>
          <cell r="B3043">
            <v>730069</v>
          </cell>
          <cell r="C3043" t="str">
            <v>CP</v>
          </cell>
          <cell r="D3043" t="str">
            <v>CANARIAS PORTUGAL</v>
          </cell>
          <cell r="E3043" t="str">
            <v>07</v>
          </cell>
          <cell r="F3043" t="str">
            <v>PAQ10a12</v>
          </cell>
          <cell r="G3043" t="str">
            <v>B</v>
          </cell>
          <cell r="H3043">
            <v>0</v>
          </cell>
        </row>
        <row r="3044">
          <cell r="A3044" t="str">
            <v>1;07;CP;B;PAQ12a14</v>
          </cell>
          <cell r="B3044">
            <v>730069</v>
          </cell>
          <cell r="C3044" t="str">
            <v>CP</v>
          </cell>
          <cell r="D3044" t="str">
            <v>CANARIAS PORTUGAL</v>
          </cell>
          <cell r="E3044" t="str">
            <v>07</v>
          </cell>
          <cell r="F3044" t="str">
            <v>PAQ12a14</v>
          </cell>
          <cell r="G3044" t="str">
            <v>B</v>
          </cell>
          <cell r="H3044">
            <v>0</v>
          </cell>
        </row>
        <row r="3045">
          <cell r="A3045" t="str">
            <v>1;07;CP;B;PAQ14a16</v>
          </cell>
          <cell r="B3045">
            <v>730069</v>
          </cell>
          <cell r="C3045" t="str">
            <v>CP</v>
          </cell>
          <cell r="D3045" t="str">
            <v>CANARIAS PORTUGAL</v>
          </cell>
          <cell r="E3045" t="str">
            <v>07</v>
          </cell>
          <cell r="F3045" t="str">
            <v>PAQ14a16</v>
          </cell>
          <cell r="G3045" t="str">
            <v>B</v>
          </cell>
          <cell r="H3045">
            <v>0</v>
          </cell>
        </row>
        <row r="3046">
          <cell r="A3046" t="str">
            <v>1;07;CP;B;PAQ16a18</v>
          </cell>
          <cell r="B3046">
            <v>730069</v>
          </cell>
          <cell r="C3046" t="str">
            <v>CP</v>
          </cell>
          <cell r="D3046" t="str">
            <v>CANARIAS PORTUGAL</v>
          </cell>
          <cell r="E3046" t="str">
            <v>07</v>
          </cell>
          <cell r="F3046" t="str">
            <v>PAQ16a18</v>
          </cell>
          <cell r="G3046" t="str">
            <v>B</v>
          </cell>
          <cell r="H3046">
            <v>0</v>
          </cell>
        </row>
        <row r="3047">
          <cell r="A3047" t="str">
            <v>1;07;CP;B;PAQ18a20</v>
          </cell>
          <cell r="B3047">
            <v>730069</v>
          </cell>
          <cell r="C3047" t="str">
            <v>CP</v>
          </cell>
          <cell r="D3047" t="str">
            <v>CANARIAS PORTUGAL</v>
          </cell>
          <cell r="E3047" t="str">
            <v>07</v>
          </cell>
          <cell r="F3047" t="str">
            <v>PAQ18a20</v>
          </cell>
          <cell r="G3047" t="str">
            <v>B</v>
          </cell>
          <cell r="H3047">
            <v>0</v>
          </cell>
        </row>
        <row r="3048">
          <cell r="A3048" t="str">
            <v>1;07;CP;B;PAQ20a22</v>
          </cell>
          <cell r="B3048">
            <v>730069</v>
          </cell>
          <cell r="C3048" t="str">
            <v>CP</v>
          </cell>
          <cell r="D3048" t="str">
            <v>CANARIAS PORTUGAL</v>
          </cell>
          <cell r="E3048" t="str">
            <v>07</v>
          </cell>
          <cell r="F3048" t="str">
            <v>PAQ20a22</v>
          </cell>
          <cell r="G3048" t="str">
            <v>B</v>
          </cell>
          <cell r="H3048">
            <v>0</v>
          </cell>
        </row>
        <row r="3049">
          <cell r="A3049" t="str">
            <v>1;07;CP;B;PAQ22a24</v>
          </cell>
          <cell r="B3049">
            <v>730069</v>
          </cell>
          <cell r="C3049" t="str">
            <v>CP</v>
          </cell>
          <cell r="D3049" t="str">
            <v>CANARIAS PORTUGAL</v>
          </cell>
          <cell r="E3049" t="str">
            <v>07</v>
          </cell>
          <cell r="F3049" t="str">
            <v>PAQ22a24</v>
          </cell>
          <cell r="G3049" t="str">
            <v>B</v>
          </cell>
          <cell r="H3049">
            <v>0</v>
          </cell>
        </row>
        <row r="3050">
          <cell r="A3050" t="str">
            <v>1;07;CP;B;PAQ24a26</v>
          </cell>
          <cell r="B3050">
            <v>730069</v>
          </cell>
          <cell r="C3050" t="str">
            <v>CP</v>
          </cell>
          <cell r="D3050" t="str">
            <v>CANARIAS PORTUGAL</v>
          </cell>
          <cell r="E3050" t="str">
            <v>07</v>
          </cell>
          <cell r="F3050" t="str">
            <v>PAQ24a26</v>
          </cell>
          <cell r="G3050" t="str">
            <v>B</v>
          </cell>
          <cell r="H3050">
            <v>0</v>
          </cell>
        </row>
        <row r="3051">
          <cell r="A3051" t="str">
            <v>1;07;CP;B;PAQ26a28</v>
          </cell>
          <cell r="B3051">
            <v>730069</v>
          </cell>
          <cell r="C3051" t="str">
            <v>CP</v>
          </cell>
          <cell r="D3051" t="str">
            <v>CANARIAS PORTUGAL</v>
          </cell>
          <cell r="E3051" t="str">
            <v>07</v>
          </cell>
          <cell r="F3051" t="str">
            <v>PAQ26a28</v>
          </cell>
          <cell r="G3051" t="str">
            <v>B</v>
          </cell>
          <cell r="H3051">
            <v>0</v>
          </cell>
        </row>
        <row r="3052">
          <cell r="A3052" t="str">
            <v>1;07;CP;B;PAQ28a30</v>
          </cell>
          <cell r="B3052">
            <v>730069</v>
          </cell>
          <cell r="C3052" t="str">
            <v>CP</v>
          </cell>
          <cell r="D3052" t="str">
            <v>CANARIAS PORTUGAL</v>
          </cell>
          <cell r="E3052" t="str">
            <v>07</v>
          </cell>
          <cell r="F3052" t="str">
            <v>PAQ28a30</v>
          </cell>
          <cell r="G3052" t="str">
            <v>B</v>
          </cell>
          <cell r="H3052">
            <v>0</v>
          </cell>
        </row>
        <row r="3053">
          <cell r="A3053" t="str">
            <v>1;07;CP;B;PAQ30a32</v>
          </cell>
          <cell r="B3053">
            <v>730069</v>
          </cell>
          <cell r="C3053" t="str">
            <v>CP</v>
          </cell>
          <cell r="D3053" t="str">
            <v>CANARIAS PORTUGAL</v>
          </cell>
          <cell r="E3053" t="str">
            <v>07</v>
          </cell>
          <cell r="F3053" t="str">
            <v>PAQ30a32</v>
          </cell>
          <cell r="G3053" t="str">
            <v>B</v>
          </cell>
          <cell r="H3053">
            <v>0</v>
          </cell>
        </row>
        <row r="3054">
          <cell r="A3054" t="str">
            <v>1;07;CP;B;PAQ32a34</v>
          </cell>
          <cell r="B3054">
            <v>730069</v>
          </cell>
          <cell r="C3054" t="str">
            <v>CP</v>
          </cell>
          <cell r="D3054" t="str">
            <v>CANARIAS PORTUGAL</v>
          </cell>
          <cell r="E3054" t="str">
            <v>07</v>
          </cell>
          <cell r="F3054" t="str">
            <v>PAQ32a34</v>
          </cell>
          <cell r="G3054" t="str">
            <v>B</v>
          </cell>
          <cell r="H3054">
            <v>0</v>
          </cell>
        </row>
        <row r="3055">
          <cell r="A3055" t="str">
            <v>1;07;CP;B;PAQ34a36</v>
          </cell>
          <cell r="B3055">
            <v>730069</v>
          </cell>
          <cell r="C3055" t="str">
            <v>CP</v>
          </cell>
          <cell r="D3055" t="str">
            <v>CANARIAS PORTUGAL</v>
          </cell>
          <cell r="E3055" t="str">
            <v>07</v>
          </cell>
          <cell r="F3055" t="str">
            <v>PAQ34a36</v>
          </cell>
          <cell r="G3055" t="str">
            <v>B</v>
          </cell>
          <cell r="H3055">
            <v>0</v>
          </cell>
        </row>
        <row r="3056">
          <cell r="A3056" t="str">
            <v>1;07;CP;B;PAQ36a38</v>
          </cell>
          <cell r="B3056">
            <v>730069</v>
          </cell>
          <cell r="C3056" t="str">
            <v>CP</v>
          </cell>
          <cell r="D3056" t="str">
            <v>CANARIAS PORTUGAL</v>
          </cell>
          <cell r="E3056" t="str">
            <v>07</v>
          </cell>
          <cell r="F3056" t="str">
            <v>PAQ36a38</v>
          </cell>
          <cell r="G3056" t="str">
            <v>B</v>
          </cell>
          <cell r="H3056">
            <v>0</v>
          </cell>
        </row>
        <row r="3057">
          <cell r="A3057" t="str">
            <v>1;07;CP;F;</v>
          </cell>
          <cell r="B3057">
            <v>730069</v>
          </cell>
          <cell r="C3057" t="str">
            <v>CP</v>
          </cell>
          <cell r="D3057" t="str">
            <v>CANARIAS PORTUGAL</v>
          </cell>
          <cell r="E3057" t="str">
            <v>07</v>
          </cell>
          <cell r="F3057" t="str">
            <v/>
          </cell>
          <cell r="G3057" t="str">
            <v>F</v>
          </cell>
          <cell r="H3057">
            <v>0</v>
          </cell>
        </row>
        <row r="3058">
          <cell r="A3058" t="str">
            <v>1;07;CP;B;PAQ38a40</v>
          </cell>
          <cell r="B3058">
            <v>730069</v>
          </cell>
          <cell r="C3058" t="str">
            <v>CP</v>
          </cell>
          <cell r="D3058" t="str">
            <v>CANARIAS PORTUGAL</v>
          </cell>
          <cell r="E3058" t="str">
            <v>07</v>
          </cell>
          <cell r="F3058" t="str">
            <v>PAQ38a40</v>
          </cell>
          <cell r="G3058" t="str">
            <v>B</v>
          </cell>
          <cell r="H3058">
            <v>0</v>
          </cell>
        </row>
        <row r="3059">
          <cell r="A3059" t="str">
            <v>1;07;CP;E;</v>
          </cell>
          <cell r="B3059">
            <v>730069</v>
          </cell>
          <cell r="C3059" t="str">
            <v>CP</v>
          </cell>
          <cell r="D3059" t="str">
            <v>CANARIAS PORTUGAL</v>
          </cell>
          <cell r="E3059" t="str">
            <v>07</v>
          </cell>
          <cell r="F3059" t="str">
            <v/>
          </cell>
          <cell r="G3059" t="str">
            <v>E</v>
          </cell>
          <cell r="H3059">
            <v>0</v>
          </cell>
        </row>
        <row r="3060">
          <cell r="A3060" t="str">
            <v>1;07;CP;P;</v>
          </cell>
          <cell r="B3060">
            <v>730069</v>
          </cell>
          <cell r="C3060" t="str">
            <v>CP</v>
          </cell>
          <cell r="D3060" t="str">
            <v>CANARIAS PORTUGAL</v>
          </cell>
          <cell r="E3060" t="str">
            <v>07</v>
          </cell>
          <cell r="F3060" t="str">
            <v/>
          </cell>
          <cell r="G3060" t="str">
            <v>P</v>
          </cell>
          <cell r="H3060">
            <v>0</v>
          </cell>
        </row>
        <row r="3061">
          <cell r="A3061" t="str">
            <v>1;10;CP;B;BAG</v>
          </cell>
          <cell r="B3061">
            <v>730069</v>
          </cell>
          <cell r="C3061" t="str">
            <v>CP</v>
          </cell>
          <cell r="D3061" t="str">
            <v>CANARIAS PORTUGAL</v>
          </cell>
          <cell r="E3061" t="str">
            <v>10</v>
          </cell>
          <cell r="F3061" t="str">
            <v>BAG</v>
          </cell>
          <cell r="G3061" t="str">
            <v>B</v>
          </cell>
          <cell r="H3061">
            <v>1.7</v>
          </cell>
        </row>
        <row r="3062">
          <cell r="A3062" t="str">
            <v>1;10;CP;B;DOCS</v>
          </cell>
          <cell r="B3062">
            <v>730069</v>
          </cell>
          <cell r="C3062" t="str">
            <v>CP</v>
          </cell>
          <cell r="D3062" t="str">
            <v>CANARIAS PORTUGAL</v>
          </cell>
          <cell r="E3062" t="str">
            <v>10</v>
          </cell>
          <cell r="F3062" t="str">
            <v>DOCS</v>
          </cell>
          <cell r="G3062" t="str">
            <v>B</v>
          </cell>
          <cell r="H3062">
            <v>1.7</v>
          </cell>
        </row>
        <row r="3063">
          <cell r="A3063" t="str">
            <v>1;13;CP;B;PAQ00a02</v>
          </cell>
          <cell r="B3063">
            <v>730069</v>
          </cell>
          <cell r="C3063" t="str">
            <v>CP</v>
          </cell>
          <cell r="D3063" t="str">
            <v>CANARIAS PORTUGAL</v>
          </cell>
          <cell r="E3063" t="str">
            <v>13</v>
          </cell>
          <cell r="F3063" t="str">
            <v>PAQ00a02</v>
          </cell>
          <cell r="G3063" t="str">
            <v>B</v>
          </cell>
          <cell r="H3063">
            <v>0</v>
          </cell>
        </row>
        <row r="3064">
          <cell r="A3064" t="str">
            <v>1;13;CP;B;PAQ02a04</v>
          </cell>
          <cell r="B3064">
            <v>730069</v>
          </cell>
          <cell r="C3064" t="str">
            <v>CP</v>
          </cell>
          <cell r="D3064" t="str">
            <v>CANARIAS PORTUGAL</v>
          </cell>
          <cell r="E3064" t="str">
            <v>13</v>
          </cell>
          <cell r="F3064" t="str">
            <v>PAQ02a04</v>
          </cell>
          <cell r="G3064" t="str">
            <v>B</v>
          </cell>
          <cell r="H3064">
            <v>0</v>
          </cell>
        </row>
        <row r="3065">
          <cell r="A3065" t="str">
            <v>1;13;CP;B;PAQ04a06</v>
          </cell>
          <cell r="B3065">
            <v>730069</v>
          </cell>
          <cell r="C3065" t="str">
            <v>CP</v>
          </cell>
          <cell r="D3065" t="str">
            <v>CANARIAS PORTUGAL</v>
          </cell>
          <cell r="E3065" t="str">
            <v>13</v>
          </cell>
          <cell r="F3065" t="str">
            <v>PAQ04a06</v>
          </cell>
          <cell r="G3065" t="str">
            <v>B</v>
          </cell>
          <cell r="H3065">
            <v>0</v>
          </cell>
        </row>
        <row r="3066">
          <cell r="A3066" t="str">
            <v>1;13;CP;B;PAQ06a08</v>
          </cell>
          <cell r="B3066">
            <v>730069</v>
          </cell>
          <cell r="C3066" t="str">
            <v>CP</v>
          </cell>
          <cell r="D3066" t="str">
            <v>CANARIAS PORTUGAL</v>
          </cell>
          <cell r="E3066" t="str">
            <v>13</v>
          </cell>
          <cell r="F3066" t="str">
            <v>PAQ06a08</v>
          </cell>
          <cell r="G3066" t="str">
            <v>B</v>
          </cell>
          <cell r="H3066">
            <v>0</v>
          </cell>
        </row>
        <row r="3067">
          <cell r="A3067" t="str">
            <v>1;13;CP;B;PAQ08a10</v>
          </cell>
          <cell r="B3067">
            <v>730069</v>
          </cell>
          <cell r="C3067" t="str">
            <v>CP</v>
          </cell>
          <cell r="D3067" t="str">
            <v>CANARIAS PORTUGAL</v>
          </cell>
          <cell r="E3067" t="str">
            <v>13</v>
          </cell>
          <cell r="F3067" t="str">
            <v>PAQ08a10</v>
          </cell>
          <cell r="G3067" t="str">
            <v>B</v>
          </cell>
          <cell r="H3067">
            <v>0</v>
          </cell>
        </row>
        <row r="3068">
          <cell r="A3068" t="str">
            <v>1;13;CP;B;PAQ10a12</v>
          </cell>
          <cell r="B3068">
            <v>730069</v>
          </cell>
          <cell r="C3068" t="str">
            <v>CP</v>
          </cell>
          <cell r="D3068" t="str">
            <v>CANARIAS PORTUGAL</v>
          </cell>
          <cell r="E3068" t="str">
            <v>13</v>
          </cell>
          <cell r="F3068" t="str">
            <v>PAQ10a12</v>
          </cell>
          <cell r="G3068" t="str">
            <v>B</v>
          </cell>
          <cell r="H3068">
            <v>0</v>
          </cell>
        </row>
        <row r="3069">
          <cell r="A3069" t="str">
            <v>1;13;CP;B;PAQ12a14</v>
          </cell>
          <cell r="B3069">
            <v>730069</v>
          </cell>
          <cell r="C3069" t="str">
            <v>CP</v>
          </cell>
          <cell r="D3069" t="str">
            <v>CANARIAS PORTUGAL</v>
          </cell>
          <cell r="E3069" t="str">
            <v>13</v>
          </cell>
          <cell r="F3069" t="str">
            <v>PAQ12a14</v>
          </cell>
          <cell r="G3069" t="str">
            <v>B</v>
          </cell>
          <cell r="H3069">
            <v>0</v>
          </cell>
        </row>
        <row r="3070">
          <cell r="A3070" t="str">
            <v>1;13;CP;B;PAQ14a16</v>
          </cell>
          <cell r="B3070">
            <v>730069</v>
          </cell>
          <cell r="C3070" t="str">
            <v>CP</v>
          </cell>
          <cell r="D3070" t="str">
            <v>CANARIAS PORTUGAL</v>
          </cell>
          <cell r="E3070" t="str">
            <v>13</v>
          </cell>
          <cell r="F3070" t="str">
            <v>PAQ14a16</v>
          </cell>
          <cell r="G3070" t="str">
            <v>B</v>
          </cell>
          <cell r="H3070">
            <v>0</v>
          </cell>
        </row>
        <row r="3071">
          <cell r="A3071" t="str">
            <v>1;13;CP;B;PAQ16a18</v>
          </cell>
          <cell r="B3071">
            <v>730069</v>
          </cell>
          <cell r="C3071" t="str">
            <v>CP</v>
          </cell>
          <cell r="D3071" t="str">
            <v>CANARIAS PORTUGAL</v>
          </cell>
          <cell r="E3071" t="str">
            <v>13</v>
          </cell>
          <cell r="F3071" t="str">
            <v>PAQ16a18</v>
          </cell>
          <cell r="G3071" t="str">
            <v>B</v>
          </cell>
          <cell r="H3071">
            <v>0</v>
          </cell>
        </row>
        <row r="3072">
          <cell r="A3072" t="str">
            <v>1;13;CP;B;PAQ18a20</v>
          </cell>
          <cell r="B3072">
            <v>730069</v>
          </cell>
          <cell r="C3072" t="str">
            <v>CP</v>
          </cell>
          <cell r="D3072" t="str">
            <v>CANARIAS PORTUGAL</v>
          </cell>
          <cell r="E3072" t="str">
            <v>13</v>
          </cell>
          <cell r="F3072" t="str">
            <v>PAQ18a20</v>
          </cell>
          <cell r="G3072" t="str">
            <v>B</v>
          </cell>
          <cell r="H3072">
            <v>0</v>
          </cell>
        </row>
        <row r="3073">
          <cell r="A3073" t="str">
            <v>1;13;CP;B;PAQ20a22</v>
          </cell>
          <cell r="B3073">
            <v>730069</v>
          </cell>
          <cell r="C3073" t="str">
            <v>CP</v>
          </cell>
          <cell r="D3073" t="str">
            <v>CANARIAS PORTUGAL</v>
          </cell>
          <cell r="E3073" t="str">
            <v>13</v>
          </cell>
          <cell r="F3073" t="str">
            <v>PAQ20a22</v>
          </cell>
          <cell r="G3073" t="str">
            <v>B</v>
          </cell>
          <cell r="H3073">
            <v>0</v>
          </cell>
        </row>
        <row r="3074">
          <cell r="A3074" t="str">
            <v>1;13;CP;B;PAQ22a24</v>
          </cell>
          <cell r="B3074">
            <v>730069</v>
          </cell>
          <cell r="C3074" t="str">
            <v>CP</v>
          </cell>
          <cell r="D3074" t="str">
            <v>CANARIAS PORTUGAL</v>
          </cell>
          <cell r="E3074" t="str">
            <v>13</v>
          </cell>
          <cell r="F3074" t="str">
            <v>PAQ22a24</v>
          </cell>
          <cell r="G3074" t="str">
            <v>B</v>
          </cell>
          <cell r="H3074">
            <v>0</v>
          </cell>
        </row>
        <row r="3075">
          <cell r="A3075" t="str">
            <v>1;13;CP;B;PAQ24a26</v>
          </cell>
          <cell r="B3075">
            <v>730069</v>
          </cell>
          <cell r="C3075" t="str">
            <v>CP</v>
          </cell>
          <cell r="D3075" t="str">
            <v>CANARIAS PORTUGAL</v>
          </cell>
          <cell r="E3075" t="str">
            <v>13</v>
          </cell>
          <cell r="F3075" t="str">
            <v>PAQ24a26</v>
          </cell>
          <cell r="G3075" t="str">
            <v>B</v>
          </cell>
          <cell r="H3075">
            <v>0</v>
          </cell>
        </row>
        <row r="3076">
          <cell r="A3076" t="str">
            <v>1;13;CP;B;PAQ26a28</v>
          </cell>
          <cell r="B3076">
            <v>730069</v>
          </cell>
          <cell r="C3076" t="str">
            <v>CP</v>
          </cell>
          <cell r="D3076" t="str">
            <v>CANARIAS PORTUGAL</v>
          </cell>
          <cell r="E3076" t="str">
            <v>13</v>
          </cell>
          <cell r="F3076" t="str">
            <v>PAQ26a28</v>
          </cell>
          <cell r="G3076" t="str">
            <v>B</v>
          </cell>
          <cell r="H3076">
            <v>0</v>
          </cell>
        </row>
        <row r="3077">
          <cell r="A3077" t="str">
            <v>1;13;CP;B;PAQ28a30</v>
          </cell>
          <cell r="B3077">
            <v>730069</v>
          </cell>
          <cell r="C3077" t="str">
            <v>CP</v>
          </cell>
          <cell r="D3077" t="str">
            <v>CANARIAS PORTUGAL</v>
          </cell>
          <cell r="E3077" t="str">
            <v>13</v>
          </cell>
          <cell r="F3077" t="str">
            <v>PAQ28a30</v>
          </cell>
          <cell r="G3077" t="str">
            <v>B</v>
          </cell>
          <cell r="H3077">
            <v>0</v>
          </cell>
        </row>
        <row r="3078">
          <cell r="A3078" t="str">
            <v>1;13;CP;B;PAQ30a32</v>
          </cell>
          <cell r="B3078">
            <v>730069</v>
          </cell>
          <cell r="C3078" t="str">
            <v>CP</v>
          </cell>
          <cell r="D3078" t="str">
            <v>CANARIAS PORTUGAL</v>
          </cell>
          <cell r="E3078" t="str">
            <v>13</v>
          </cell>
          <cell r="F3078" t="str">
            <v>PAQ30a32</v>
          </cell>
          <cell r="G3078" t="str">
            <v>B</v>
          </cell>
          <cell r="H3078">
            <v>0</v>
          </cell>
        </row>
        <row r="3079">
          <cell r="A3079" t="str">
            <v>1;13;CP;B;PAQ32a34</v>
          </cell>
          <cell r="B3079">
            <v>730069</v>
          </cell>
          <cell r="C3079" t="str">
            <v>CP</v>
          </cell>
          <cell r="D3079" t="str">
            <v>CANARIAS PORTUGAL</v>
          </cell>
          <cell r="E3079" t="str">
            <v>13</v>
          </cell>
          <cell r="F3079" t="str">
            <v>PAQ32a34</v>
          </cell>
          <cell r="G3079" t="str">
            <v>B</v>
          </cell>
          <cell r="H3079">
            <v>0</v>
          </cell>
        </row>
        <row r="3080">
          <cell r="A3080" t="str">
            <v>1;13;CP;B;PAQ34a36</v>
          </cell>
          <cell r="B3080">
            <v>730069</v>
          </cell>
          <cell r="C3080" t="str">
            <v>CP</v>
          </cell>
          <cell r="D3080" t="str">
            <v>CANARIAS PORTUGAL</v>
          </cell>
          <cell r="E3080" t="str">
            <v>13</v>
          </cell>
          <cell r="F3080" t="str">
            <v>PAQ34a36</v>
          </cell>
          <cell r="G3080" t="str">
            <v>B</v>
          </cell>
          <cell r="H3080">
            <v>0</v>
          </cell>
        </row>
        <row r="3081">
          <cell r="A3081" t="str">
            <v>1;13;CP;B;PAQ36a38</v>
          </cell>
          <cell r="B3081">
            <v>730069</v>
          </cell>
          <cell r="C3081" t="str">
            <v>CP</v>
          </cell>
          <cell r="D3081" t="str">
            <v>CANARIAS PORTUGAL</v>
          </cell>
          <cell r="E3081" t="str">
            <v>13</v>
          </cell>
          <cell r="F3081" t="str">
            <v>PAQ36a38</v>
          </cell>
          <cell r="G3081" t="str">
            <v>B</v>
          </cell>
          <cell r="H3081">
            <v>0</v>
          </cell>
        </row>
        <row r="3082">
          <cell r="A3082" t="str">
            <v>1;13;CP;B;PAQ38a40</v>
          </cell>
          <cell r="B3082">
            <v>730069</v>
          </cell>
          <cell r="C3082" t="str">
            <v>CP</v>
          </cell>
          <cell r="D3082" t="str">
            <v>CANARIAS PORTUGAL</v>
          </cell>
          <cell r="E3082" t="str">
            <v>13</v>
          </cell>
          <cell r="F3082" t="str">
            <v>PAQ38a40</v>
          </cell>
          <cell r="G3082" t="str">
            <v>B</v>
          </cell>
          <cell r="H3082">
            <v>0</v>
          </cell>
        </row>
        <row r="3083">
          <cell r="A3083" t="str">
            <v>1;13;CP;F;</v>
          </cell>
          <cell r="B3083">
            <v>730069</v>
          </cell>
          <cell r="C3083" t="str">
            <v>CP</v>
          </cell>
          <cell r="D3083" t="str">
            <v>CANARIAS PORTUGAL</v>
          </cell>
          <cell r="E3083" t="str">
            <v>13</v>
          </cell>
          <cell r="F3083" t="str">
            <v/>
          </cell>
          <cell r="G3083" t="str">
            <v>F</v>
          </cell>
          <cell r="H3083">
            <v>0</v>
          </cell>
        </row>
        <row r="3084">
          <cell r="A3084" t="str">
            <v>1;13;CP;E;</v>
          </cell>
          <cell r="B3084">
            <v>730069</v>
          </cell>
          <cell r="C3084" t="str">
            <v>CP</v>
          </cell>
          <cell r="D3084" t="str">
            <v>CANARIAS PORTUGAL</v>
          </cell>
          <cell r="E3084" t="str">
            <v>13</v>
          </cell>
          <cell r="F3084" t="str">
            <v/>
          </cell>
          <cell r="G3084" t="str">
            <v>E</v>
          </cell>
          <cell r="H3084">
            <v>0</v>
          </cell>
        </row>
        <row r="3085">
          <cell r="A3085" t="str">
            <v>1;13;CP;P;</v>
          </cell>
          <cell r="B3085">
            <v>730069</v>
          </cell>
          <cell r="C3085" t="str">
            <v>CP</v>
          </cell>
          <cell r="D3085" t="str">
            <v>CANARIAS PORTUGAL</v>
          </cell>
          <cell r="E3085" t="str">
            <v>13</v>
          </cell>
          <cell r="F3085" t="str">
            <v/>
          </cell>
          <cell r="G3085" t="str">
            <v>P</v>
          </cell>
          <cell r="H3085">
            <v>0</v>
          </cell>
        </row>
        <row r="3086">
          <cell r="A3086" t="str">
            <v>1;14;CP;B;BAG</v>
          </cell>
          <cell r="B3086">
            <v>730069</v>
          </cell>
          <cell r="C3086" t="str">
            <v>CP</v>
          </cell>
          <cell r="D3086" t="str">
            <v>CANARIAS PORTUGAL</v>
          </cell>
          <cell r="E3086" t="str">
            <v>14</v>
          </cell>
          <cell r="F3086" t="str">
            <v>BAG</v>
          </cell>
          <cell r="G3086" t="str">
            <v>B</v>
          </cell>
          <cell r="H3086">
            <v>1.79</v>
          </cell>
        </row>
        <row r="3087">
          <cell r="A3087" t="str">
            <v>1;15;CP;B;BAG</v>
          </cell>
          <cell r="B3087">
            <v>730069</v>
          </cell>
          <cell r="C3087" t="str">
            <v>CP</v>
          </cell>
          <cell r="D3087" t="str">
            <v>CANARIAS PORTUGAL</v>
          </cell>
          <cell r="E3087" t="str">
            <v>15</v>
          </cell>
          <cell r="F3087" t="str">
            <v>BAG</v>
          </cell>
          <cell r="G3087" t="str">
            <v>B</v>
          </cell>
          <cell r="H3087">
            <v>1.79</v>
          </cell>
        </row>
        <row r="3088">
          <cell r="A3088" t="str">
            <v>1;17;CP;B;PAQ00a02</v>
          </cell>
          <cell r="B3088">
            <v>730069</v>
          </cell>
          <cell r="C3088" t="str">
            <v>CP</v>
          </cell>
          <cell r="D3088" t="str">
            <v>CANARIAS PORTUGAL</v>
          </cell>
          <cell r="E3088" t="str">
            <v>17</v>
          </cell>
          <cell r="F3088" t="str">
            <v>PAQ00a02</v>
          </cell>
          <cell r="G3088" t="str">
            <v>B</v>
          </cell>
          <cell r="H3088">
            <v>12.88</v>
          </cell>
        </row>
        <row r="3089">
          <cell r="A3089" t="str">
            <v>1;17;CP;B;PAQ02a04</v>
          </cell>
          <cell r="B3089">
            <v>730069</v>
          </cell>
          <cell r="C3089" t="str">
            <v>CP</v>
          </cell>
          <cell r="D3089" t="str">
            <v>CANARIAS PORTUGAL</v>
          </cell>
          <cell r="E3089" t="str">
            <v>17</v>
          </cell>
          <cell r="F3089" t="str">
            <v>PAQ02a04</v>
          </cell>
          <cell r="G3089" t="str">
            <v>B</v>
          </cell>
          <cell r="H3089">
            <v>25.13</v>
          </cell>
        </row>
        <row r="3090">
          <cell r="A3090" t="str">
            <v>1;17;CP;B;PAQ04a06</v>
          </cell>
          <cell r="B3090">
            <v>730069</v>
          </cell>
          <cell r="C3090" t="str">
            <v>CP</v>
          </cell>
          <cell r="D3090" t="str">
            <v>CANARIAS PORTUGAL</v>
          </cell>
          <cell r="E3090" t="str">
            <v>17</v>
          </cell>
          <cell r="F3090" t="str">
            <v>PAQ04a06</v>
          </cell>
          <cell r="G3090" t="str">
            <v>B</v>
          </cell>
          <cell r="H3090">
            <v>37.36</v>
          </cell>
        </row>
        <row r="3091">
          <cell r="A3091" t="str">
            <v>1;17;CP;B;PAQ06a08</v>
          </cell>
          <cell r="B3091">
            <v>730069</v>
          </cell>
          <cell r="C3091" t="str">
            <v>CP</v>
          </cell>
          <cell r="D3091" t="str">
            <v>CANARIAS PORTUGAL</v>
          </cell>
          <cell r="E3091" t="str">
            <v>17</v>
          </cell>
          <cell r="F3091" t="str">
            <v>PAQ06a08</v>
          </cell>
          <cell r="G3091" t="str">
            <v>B</v>
          </cell>
          <cell r="H3091">
            <v>49.6</v>
          </cell>
        </row>
        <row r="3092">
          <cell r="A3092" t="str">
            <v>1;17;CP;B;PAQ08a10</v>
          </cell>
          <cell r="B3092">
            <v>730069</v>
          </cell>
          <cell r="C3092" t="str">
            <v>CP</v>
          </cell>
          <cell r="D3092" t="str">
            <v>CANARIAS PORTUGAL</v>
          </cell>
          <cell r="E3092" t="str">
            <v>17</v>
          </cell>
          <cell r="F3092" t="str">
            <v>PAQ08a10</v>
          </cell>
          <cell r="G3092" t="str">
            <v>B</v>
          </cell>
          <cell r="H3092">
            <v>61.83</v>
          </cell>
        </row>
        <row r="3093">
          <cell r="A3093" t="str">
            <v>1;17;CP;B;PAQ10a12</v>
          </cell>
          <cell r="B3093">
            <v>730069</v>
          </cell>
          <cell r="C3093" t="str">
            <v>CP</v>
          </cell>
          <cell r="D3093" t="str">
            <v>CANARIAS PORTUGAL</v>
          </cell>
          <cell r="E3093" t="str">
            <v>17</v>
          </cell>
          <cell r="F3093" t="str">
            <v>PAQ10a12</v>
          </cell>
          <cell r="G3093" t="str">
            <v>B</v>
          </cell>
          <cell r="H3093">
            <v>74.08</v>
          </cell>
        </row>
        <row r="3094">
          <cell r="A3094" t="str">
            <v>1;17;CP;B;PAQ12a14</v>
          </cell>
          <cell r="B3094">
            <v>730069</v>
          </cell>
          <cell r="C3094" t="str">
            <v>CP</v>
          </cell>
          <cell r="D3094" t="str">
            <v>CANARIAS PORTUGAL</v>
          </cell>
          <cell r="E3094" t="str">
            <v>17</v>
          </cell>
          <cell r="F3094" t="str">
            <v>PAQ12a14</v>
          </cell>
          <cell r="G3094" t="str">
            <v>B</v>
          </cell>
          <cell r="H3094">
            <v>86.31</v>
          </cell>
        </row>
        <row r="3095">
          <cell r="A3095" t="str">
            <v>1;17;CP;B;PAQ14a16</v>
          </cell>
          <cell r="B3095">
            <v>730069</v>
          </cell>
          <cell r="C3095" t="str">
            <v>CP</v>
          </cell>
          <cell r="D3095" t="str">
            <v>CANARIAS PORTUGAL</v>
          </cell>
          <cell r="E3095" t="str">
            <v>17</v>
          </cell>
          <cell r="F3095" t="str">
            <v>PAQ14a16</v>
          </cell>
          <cell r="G3095" t="str">
            <v>B</v>
          </cell>
          <cell r="H3095">
            <v>98.55</v>
          </cell>
        </row>
        <row r="3096">
          <cell r="A3096" t="str">
            <v>1;17;CP;B;PAQ16a18</v>
          </cell>
          <cell r="B3096">
            <v>730069</v>
          </cell>
          <cell r="C3096" t="str">
            <v>CP</v>
          </cell>
          <cell r="D3096" t="str">
            <v>CANARIAS PORTUGAL</v>
          </cell>
          <cell r="E3096" t="str">
            <v>17</v>
          </cell>
          <cell r="F3096" t="str">
            <v>PAQ16a18</v>
          </cell>
          <cell r="G3096" t="str">
            <v>B</v>
          </cell>
          <cell r="H3096">
            <v>110.79</v>
          </cell>
        </row>
        <row r="3097">
          <cell r="A3097" t="str">
            <v>1;17;CP;B;PAQ18a20</v>
          </cell>
          <cell r="B3097">
            <v>730069</v>
          </cell>
          <cell r="C3097" t="str">
            <v>CP</v>
          </cell>
          <cell r="D3097" t="str">
            <v>CANARIAS PORTUGAL</v>
          </cell>
          <cell r="E3097" t="str">
            <v>17</v>
          </cell>
          <cell r="F3097" t="str">
            <v>PAQ18a20</v>
          </cell>
          <cell r="G3097" t="str">
            <v>B</v>
          </cell>
          <cell r="H3097">
            <v>123.03</v>
          </cell>
        </row>
        <row r="3098">
          <cell r="A3098" t="str">
            <v>1;17;CP;B;PAQ20a22</v>
          </cell>
          <cell r="B3098">
            <v>730069</v>
          </cell>
          <cell r="C3098" t="str">
            <v>CP</v>
          </cell>
          <cell r="D3098" t="str">
            <v>CANARIAS PORTUGAL</v>
          </cell>
          <cell r="E3098" t="str">
            <v>17</v>
          </cell>
          <cell r="F3098" t="str">
            <v>PAQ20a22</v>
          </cell>
          <cell r="G3098" t="str">
            <v>B</v>
          </cell>
          <cell r="H3098">
            <v>135.26</v>
          </cell>
        </row>
        <row r="3099">
          <cell r="A3099" t="str">
            <v>1;17;CP;B;PAQ22a24</v>
          </cell>
          <cell r="B3099">
            <v>730069</v>
          </cell>
          <cell r="C3099" t="str">
            <v>CP</v>
          </cell>
          <cell r="D3099" t="str">
            <v>CANARIAS PORTUGAL</v>
          </cell>
          <cell r="E3099" t="str">
            <v>17</v>
          </cell>
          <cell r="F3099" t="str">
            <v>PAQ22a24</v>
          </cell>
          <cell r="G3099" t="str">
            <v>B</v>
          </cell>
          <cell r="H3099">
            <v>147.5</v>
          </cell>
        </row>
        <row r="3100">
          <cell r="A3100" t="str">
            <v>1;17;CP;B;PAQ24a26</v>
          </cell>
          <cell r="B3100">
            <v>730069</v>
          </cell>
          <cell r="C3100" t="str">
            <v>CP</v>
          </cell>
          <cell r="D3100" t="str">
            <v>CANARIAS PORTUGAL</v>
          </cell>
          <cell r="E3100" t="str">
            <v>17</v>
          </cell>
          <cell r="F3100" t="str">
            <v>PAQ24a26</v>
          </cell>
          <cell r="G3100" t="str">
            <v>B</v>
          </cell>
          <cell r="H3100">
            <v>159.74</v>
          </cell>
        </row>
        <row r="3101">
          <cell r="A3101" t="str">
            <v>1;17;CP;B;PAQ26a28</v>
          </cell>
          <cell r="B3101">
            <v>730069</v>
          </cell>
          <cell r="C3101" t="str">
            <v>CP</v>
          </cell>
          <cell r="D3101" t="str">
            <v>CANARIAS PORTUGAL</v>
          </cell>
          <cell r="E3101" t="str">
            <v>17</v>
          </cell>
          <cell r="F3101" t="str">
            <v>PAQ26a28</v>
          </cell>
          <cell r="G3101" t="str">
            <v>B</v>
          </cell>
          <cell r="H3101">
            <v>171.98</v>
          </cell>
        </row>
        <row r="3102">
          <cell r="A3102" t="str">
            <v>1;17;CP;B;PAQ28a30</v>
          </cell>
          <cell r="B3102">
            <v>730069</v>
          </cell>
          <cell r="C3102" t="str">
            <v>CP</v>
          </cell>
          <cell r="D3102" t="str">
            <v>CANARIAS PORTUGAL</v>
          </cell>
          <cell r="E3102" t="str">
            <v>17</v>
          </cell>
          <cell r="F3102" t="str">
            <v>PAQ28a30</v>
          </cell>
          <cell r="G3102" t="str">
            <v>B</v>
          </cell>
          <cell r="H3102">
            <v>184.21</v>
          </cell>
        </row>
        <row r="3103">
          <cell r="A3103" t="str">
            <v>1;17;CP;B;PAQ30a32</v>
          </cell>
          <cell r="B3103">
            <v>730069</v>
          </cell>
          <cell r="C3103" t="str">
            <v>CP</v>
          </cell>
          <cell r="D3103" t="str">
            <v>CANARIAS PORTUGAL</v>
          </cell>
          <cell r="E3103" t="str">
            <v>17</v>
          </cell>
          <cell r="F3103" t="str">
            <v>PAQ30a32</v>
          </cell>
          <cell r="G3103" t="str">
            <v>B</v>
          </cell>
          <cell r="H3103">
            <v>196.46</v>
          </cell>
        </row>
        <row r="3104">
          <cell r="A3104" t="str">
            <v>1;17;CP;B;PAQ32a34</v>
          </cell>
          <cell r="B3104">
            <v>730069</v>
          </cell>
          <cell r="C3104" t="str">
            <v>CP</v>
          </cell>
          <cell r="D3104" t="str">
            <v>CANARIAS PORTUGAL</v>
          </cell>
          <cell r="E3104" t="str">
            <v>17</v>
          </cell>
          <cell r="F3104" t="str">
            <v>PAQ32a34</v>
          </cell>
          <cell r="G3104" t="str">
            <v>B</v>
          </cell>
          <cell r="H3104">
            <v>208.69</v>
          </cell>
        </row>
        <row r="3105">
          <cell r="A3105" t="str">
            <v>1;17;CP;B;PAQ34a36</v>
          </cell>
          <cell r="B3105">
            <v>730069</v>
          </cell>
          <cell r="C3105" t="str">
            <v>CP</v>
          </cell>
          <cell r="D3105" t="str">
            <v>CANARIAS PORTUGAL</v>
          </cell>
          <cell r="E3105" t="str">
            <v>17</v>
          </cell>
          <cell r="F3105" t="str">
            <v>PAQ34a36</v>
          </cell>
          <cell r="G3105" t="str">
            <v>B</v>
          </cell>
          <cell r="H3105">
            <v>220.93</v>
          </cell>
        </row>
        <row r="3106">
          <cell r="A3106" t="str">
            <v>1;17;CP;B;PAQ36a38</v>
          </cell>
          <cell r="B3106">
            <v>730069</v>
          </cell>
          <cell r="C3106" t="str">
            <v>CP</v>
          </cell>
          <cell r="D3106" t="str">
            <v>CANARIAS PORTUGAL</v>
          </cell>
          <cell r="E3106" t="str">
            <v>17</v>
          </cell>
          <cell r="F3106" t="str">
            <v>PAQ36a38</v>
          </cell>
          <cell r="G3106" t="str">
            <v>B</v>
          </cell>
          <cell r="H3106">
            <v>233.16</v>
          </cell>
        </row>
        <row r="3107">
          <cell r="A3107" t="str">
            <v>1;17;CP;B;PAQ38a40</v>
          </cell>
          <cell r="B3107">
            <v>730069</v>
          </cell>
          <cell r="C3107" t="str">
            <v>CP</v>
          </cell>
          <cell r="D3107" t="str">
            <v>CANARIAS PORTUGAL</v>
          </cell>
          <cell r="E3107" t="str">
            <v>17</v>
          </cell>
          <cell r="F3107" t="str">
            <v>PAQ38a40</v>
          </cell>
          <cell r="G3107" t="str">
            <v>B</v>
          </cell>
          <cell r="H3107">
            <v>245.41</v>
          </cell>
        </row>
        <row r="3108">
          <cell r="A3108" t="str">
            <v>1;17;CP;F;</v>
          </cell>
          <cell r="B3108">
            <v>730069</v>
          </cell>
          <cell r="C3108" t="str">
            <v>CP</v>
          </cell>
          <cell r="D3108" t="str">
            <v>CANARIAS PORTUGAL</v>
          </cell>
          <cell r="E3108" t="str">
            <v>17</v>
          </cell>
          <cell r="F3108" t="str">
            <v/>
          </cell>
          <cell r="G3108" t="str">
            <v>F</v>
          </cell>
          <cell r="H3108">
            <v>12.24</v>
          </cell>
        </row>
        <row r="3109">
          <cell r="A3109" t="str">
            <v>1;17;CP;E;</v>
          </cell>
          <cell r="B3109">
            <v>730069</v>
          </cell>
          <cell r="C3109" t="str">
            <v>CP</v>
          </cell>
          <cell r="D3109" t="str">
            <v>CANARIAS PORTUGAL</v>
          </cell>
          <cell r="E3109" t="str">
            <v>17</v>
          </cell>
          <cell r="F3109" t="str">
            <v/>
          </cell>
          <cell r="G3109" t="str">
            <v>E</v>
          </cell>
          <cell r="H3109">
            <v>0</v>
          </cell>
        </row>
        <row r="3110">
          <cell r="A3110" t="str">
            <v>1;17;CP;P;</v>
          </cell>
          <cell r="B3110">
            <v>730069</v>
          </cell>
          <cell r="C3110" t="str">
            <v>CP</v>
          </cell>
          <cell r="D3110" t="str">
            <v>CANARIAS PORTUGAL</v>
          </cell>
          <cell r="E3110" t="str">
            <v>17</v>
          </cell>
          <cell r="F3110" t="str">
            <v/>
          </cell>
          <cell r="G3110" t="str">
            <v>P</v>
          </cell>
          <cell r="H3110">
            <v>0</v>
          </cell>
        </row>
        <row r="3111">
          <cell r="A3111" t="str">
            <v>1;21;CP;B;BAG</v>
          </cell>
          <cell r="B3111">
            <v>730069</v>
          </cell>
          <cell r="C3111" t="str">
            <v>CP</v>
          </cell>
          <cell r="D3111" t="str">
            <v>CANARIAS PORTUGAL</v>
          </cell>
          <cell r="E3111" t="str">
            <v>21</v>
          </cell>
          <cell r="F3111" t="str">
            <v>BAG</v>
          </cell>
          <cell r="G3111" t="str">
            <v>B</v>
          </cell>
          <cell r="H3111">
            <v>28.96</v>
          </cell>
        </row>
        <row r="3112">
          <cell r="A3112" t="str">
            <v>1;21;CP;B;DOCS</v>
          </cell>
          <cell r="B3112">
            <v>730069</v>
          </cell>
          <cell r="C3112" t="str">
            <v>CP</v>
          </cell>
          <cell r="D3112" t="str">
            <v>CANARIAS PORTUGAL</v>
          </cell>
          <cell r="E3112" t="str">
            <v>21</v>
          </cell>
          <cell r="F3112" t="str">
            <v>DOCS</v>
          </cell>
          <cell r="G3112" t="str">
            <v>B</v>
          </cell>
          <cell r="H3112">
            <v>28.96</v>
          </cell>
        </row>
        <row r="3113">
          <cell r="A3113" t="str">
            <v>1;21;CP;B;PAQ00a02</v>
          </cell>
          <cell r="B3113">
            <v>730069</v>
          </cell>
          <cell r="C3113" t="str">
            <v>CP</v>
          </cell>
          <cell r="D3113" t="str">
            <v>CANARIAS PORTUGAL</v>
          </cell>
          <cell r="E3113" t="str">
            <v>21</v>
          </cell>
          <cell r="F3113" t="str">
            <v>PAQ00a02</v>
          </cell>
          <cell r="G3113" t="str">
            <v>B</v>
          </cell>
          <cell r="H3113">
            <v>32.590000000000003</v>
          </cell>
        </row>
        <row r="3114">
          <cell r="A3114" t="str">
            <v>1;21;CP;B;PAQ02a04</v>
          </cell>
          <cell r="B3114">
            <v>730069</v>
          </cell>
          <cell r="C3114" t="str">
            <v>CP</v>
          </cell>
          <cell r="D3114" t="str">
            <v>CANARIAS PORTUGAL</v>
          </cell>
          <cell r="E3114" t="str">
            <v>21</v>
          </cell>
          <cell r="F3114" t="str">
            <v>PAQ02a04</v>
          </cell>
          <cell r="G3114" t="str">
            <v>B</v>
          </cell>
          <cell r="H3114">
            <v>49.44</v>
          </cell>
        </row>
        <row r="3115">
          <cell r="A3115" t="str">
            <v>1;21;CP;B;PAQ04a06</v>
          </cell>
          <cell r="B3115">
            <v>730069</v>
          </cell>
          <cell r="C3115" t="str">
            <v>CP</v>
          </cell>
          <cell r="D3115" t="str">
            <v>CANARIAS PORTUGAL</v>
          </cell>
          <cell r="E3115" t="str">
            <v>21</v>
          </cell>
          <cell r="F3115" t="str">
            <v>PAQ04a06</v>
          </cell>
          <cell r="G3115" t="str">
            <v>B</v>
          </cell>
          <cell r="H3115">
            <v>69.459999999999994</v>
          </cell>
        </row>
        <row r="3116">
          <cell r="A3116" t="str">
            <v>1;21;CP;B;PAQ06a08</v>
          </cell>
          <cell r="B3116">
            <v>730069</v>
          </cell>
          <cell r="C3116" t="str">
            <v>CP</v>
          </cell>
          <cell r="D3116" t="str">
            <v>CANARIAS PORTUGAL</v>
          </cell>
          <cell r="E3116" t="str">
            <v>21</v>
          </cell>
          <cell r="F3116" t="str">
            <v>PAQ06a08</v>
          </cell>
          <cell r="G3116" t="str">
            <v>B</v>
          </cell>
          <cell r="H3116">
            <v>89.47</v>
          </cell>
        </row>
        <row r="3117">
          <cell r="A3117" t="str">
            <v>1;21;CP;B;PAQ08a10</v>
          </cell>
          <cell r="B3117">
            <v>730069</v>
          </cell>
          <cell r="C3117" t="str">
            <v>CP</v>
          </cell>
          <cell r="D3117" t="str">
            <v>CANARIAS PORTUGAL</v>
          </cell>
          <cell r="E3117" t="str">
            <v>21</v>
          </cell>
          <cell r="F3117" t="str">
            <v>PAQ08a10</v>
          </cell>
          <cell r="G3117" t="str">
            <v>B</v>
          </cell>
          <cell r="H3117">
            <v>109.48</v>
          </cell>
        </row>
        <row r="3118">
          <cell r="A3118" t="str">
            <v>1;21;CP;B;PAQ10a12</v>
          </cell>
          <cell r="B3118">
            <v>730069</v>
          </cell>
          <cell r="C3118" t="str">
            <v>CP</v>
          </cell>
          <cell r="D3118" t="str">
            <v>CANARIAS PORTUGAL</v>
          </cell>
          <cell r="E3118" t="str">
            <v>21</v>
          </cell>
          <cell r="F3118" t="str">
            <v>PAQ10a12</v>
          </cell>
          <cell r="G3118" t="str">
            <v>B</v>
          </cell>
          <cell r="H3118">
            <v>129.49</v>
          </cell>
        </row>
        <row r="3119">
          <cell r="A3119" t="str">
            <v>1;21;CP;B;PAQ12a14</v>
          </cell>
          <cell r="B3119">
            <v>730069</v>
          </cell>
          <cell r="C3119" t="str">
            <v>CP</v>
          </cell>
          <cell r="D3119" t="str">
            <v>CANARIAS PORTUGAL</v>
          </cell>
          <cell r="E3119" t="str">
            <v>21</v>
          </cell>
          <cell r="F3119" t="str">
            <v>PAQ12a14</v>
          </cell>
          <cell r="G3119" t="str">
            <v>B</v>
          </cell>
          <cell r="H3119">
            <v>149.5</v>
          </cell>
        </row>
        <row r="3120">
          <cell r="A3120" t="str">
            <v>1;21;CP;B;PAQ14a16</v>
          </cell>
          <cell r="B3120">
            <v>730069</v>
          </cell>
          <cell r="C3120" t="str">
            <v>CP</v>
          </cell>
          <cell r="D3120" t="str">
            <v>CANARIAS PORTUGAL</v>
          </cell>
          <cell r="E3120" t="str">
            <v>21</v>
          </cell>
          <cell r="F3120" t="str">
            <v>PAQ14a16</v>
          </cell>
          <cell r="G3120" t="str">
            <v>B</v>
          </cell>
          <cell r="H3120">
            <v>169.51</v>
          </cell>
        </row>
        <row r="3121">
          <cell r="A3121" t="str">
            <v>1;21;CP;B;PAQ16a18</v>
          </cell>
          <cell r="B3121">
            <v>730069</v>
          </cell>
          <cell r="C3121" t="str">
            <v>CP</v>
          </cell>
          <cell r="D3121" t="str">
            <v>CANARIAS PORTUGAL</v>
          </cell>
          <cell r="E3121" t="str">
            <v>21</v>
          </cell>
          <cell r="F3121" t="str">
            <v>PAQ16a18</v>
          </cell>
          <cell r="G3121" t="str">
            <v>B</v>
          </cell>
          <cell r="H3121">
            <v>189.53</v>
          </cell>
        </row>
        <row r="3122">
          <cell r="A3122" t="str">
            <v>1;21;CP;B;PAQ18a20</v>
          </cell>
          <cell r="B3122">
            <v>730069</v>
          </cell>
          <cell r="C3122" t="str">
            <v>CP</v>
          </cell>
          <cell r="D3122" t="str">
            <v>CANARIAS PORTUGAL</v>
          </cell>
          <cell r="E3122" t="str">
            <v>21</v>
          </cell>
          <cell r="F3122" t="str">
            <v>PAQ18a20</v>
          </cell>
          <cell r="G3122" t="str">
            <v>B</v>
          </cell>
          <cell r="H3122">
            <v>209.53</v>
          </cell>
        </row>
        <row r="3123">
          <cell r="A3123" t="str">
            <v>1;21;CP;B;PAQ20a22</v>
          </cell>
          <cell r="B3123">
            <v>730069</v>
          </cell>
          <cell r="C3123" t="str">
            <v>CP</v>
          </cell>
          <cell r="D3123" t="str">
            <v>CANARIAS PORTUGAL</v>
          </cell>
          <cell r="E3123" t="str">
            <v>21</v>
          </cell>
          <cell r="F3123" t="str">
            <v>PAQ20a22</v>
          </cell>
          <cell r="G3123" t="str">
            <v>B</v>
          </cell>
          <cell r="H3123">
            <v>229.54</v>
          </cell>
        </row>
        <row r="3124">
          <cell r="A3124" t="str">
            <v>1;21;CP;B;PAQ22a24</v>
          </cell>
          <cell r="B3124">
            <v>730069</v>
          </cell>
          <cell r="C3124" t="str">
            <v>CP</v>
          </cell>
          <cell r="D3124" t="str">
            <v>CANARIAS PORTUGAL</v>
          </cell>
          <cell r="E3124" t="str">
            <v>21</v>
          </cell>
          <cell r="F3124" t="str">
            <v>PAQ22a24</v>
          </cell>
          <cell r="G3124" t="str">
            <v>B</v>
          </cell>
          <cell r="H3124">
            <v>249.55</v>
          </cell>
        </row>
        <row r="3125">
          <cell r="A3125" t="str">
            <v>1;21;CP;B;PAQ24a26</v>
          </cell>
          <cell r="B3125">
            <v>730069</v>
          </cell>
          <cell r="C3125" t="str">
            <v>CP</v>
          </cell>
          <cell r="D3125" t="str">
            <v>CANARIAS PORTUGAL</v>
          </cell>
          <cell r="E3125" t="str">
            <v>21</v>
          </cell>
          <cell r="F3125" t="str">
            <v>PAQ24a26</v>
          </cell>
          <cell r="G3125" t="str">
            <v>B</v>
          </cell>
          <cell r="H3125">
            <v>269.57</v>
          </cell>
        </row>
        <row r="3126">
          <cell r="A3126" t="str">
            <v>1;21;CP;B;PAQ26a28</v>
          </cell>
          <cell r="B3126">
            <v>730069</v>
          </cell>
          <cell r="C3126" t="str">
            <v>CP</v>
          </cell>
          <cell r="D3126" t="str">
            <v>CANARIAS PORTUGAL</v>
          </cell>
          <cell r="E3126" t="str">
            <v>21</v>
          </cell>
          <cell r="F3126" t="str">
            <v>PAQ26a28</v>
          </cell>
          <cell r="G3126" t="str">
            <v>B</v>
          </cell>
          <cell r="H3126">
            <v>289.57</v>
          </cell>
        </row>
        <row r="3127">
          <cell r="A3127" t="str">
            <v>1;21;CP;B;PAQ28a30</v>
          </cell>
          <cell r="B3127">
            <v>730069</v>
          </cell>
          <cell r="C3127" t="str">
            <v>CP</v>
          </cell>
          <cell r="D3127" t="str">
            <v>CANARIAS PORTUGAL</v>
          </cell>
          <cell r="E3127" t="str">
            <v>21</v>
          </cell>
          <cell r="F3127" t="str">
            <v>PAQ28a30</v>
          </cell>
          <cell r="G3127" t="str">
            <v>B</v>
          </cell>
          <cell r="H3127">
            <v>309.58</v>
          </cell>
        </row>
        <row r="3128">
          <cell r="A3128" t="str">
            <v>1;21;CP;B;PAQ30a32</v>
          </cell>
          <cell r="B3128">
            <v>730069</v>
          </cell>
          <cell r="C3128" t="str">
            <v>CP</v>
          </cell>
          <cell r="D3128" t="str">
            <v>CANARIAS PORTUGAL</v>
          </cell>
          <cell r="E3128" t="str">
            <v>21</v>
          </cell>
          <cell r="F3128" t="str">
            <v>PAQ30a32</v>
          </cell>
          <cell r="G3128" t="str">
            <v>B</v>
          </cell>
          <cell r="H3128">
            <v>329.6</v>
          </cell>
        </row>
        <row r="3129">
          <cell r="A3129" t="str">
            <v>1;21;CP;B;PAQ32a34</v>
          </cell>
          <cell r="B3129">
            <v>730069</v>
          </cell>
          <cell r="C3129" t="str">
            <v>CP</v>
          </cell>
          <cell r="D3129" t="str">
            <v>CANARIAS PORTUGAL</v>
          </cell>
          <cell r="E3129" t="str">
            <v>21</v>
          </cell>
          <cell r="F3129" t="str">
            <v>PAQ32a34</v>
          </cell>
          <cell r="G3129" t="str">
            <v>B</v>
          </cell>
          <cell r="H3129">
            <v>349.61</v>
          </cell>
        </row>
        <row r="3130">
          <cell r="A3130" t="str">
            <v>1;21;CP;B;PAQ34a36</v>
          </cell>
          <cell r="B3130">
            <v>730069</v>
          </cell>
          <cell r="C3130" t="str">
            <v>CP</v>
          </cell>
          <cell r="D3130" t="str">
            <v>CANARIAS PORTUGAL</v>
          </cell>
          <cell r="E3130" t="str">
            <v>21</v>
          </cell>
          <cell r="F3130" t="str">
            <v>PAQ34a36</v>
          </cell>
          <cell r="G3130" t="str">
            <v>B</v>
          </cell>
          <cell r="H3130">
            <v>369.61</v>
          </cell>
        </row>
        <row r="3131">
          <cell r="A3131" t="str">
            <v>1;21;CP;B;PAQ36a38</v>
          </cell>
          <cell r="B3131">
            <v>730069</v>
          </cell>
          <cell r="C3131" t="str">
            <v>CP</v>
          </cell>
          <cell r="D3131" t="str">
            <v>CANARIAS PORTUGAL</v>
          </cell>
          <cell r="E3131" t="str">
            <v>21</v>
          </cell>
          <cell r="F3131" t="str">
            <v>PAQ36a38</v>
          </cell>
          <cell r="G3131" t="str">
            <v>B</v>
          </cell>
          <cell r="H3131">
            <v>389.62</v>
          </cell>
        </row>
        <row r="3132">
          <cell r="A3132" t="str">
            <v>1;21;CP;F;</v>
          </cell>
          <cell r="B3132">
            <v>730069</v>
          </cell>
          <cell r="C3132" t="str">
            <v>CP</v>
          </cell>
          <cell r="D3132" t="str">
            <v>CANARIAS PORTUGAL</v>
          </cell>
          <cell r="E3132" t="str">
            <v>21</v>
          </cell>
          <cell r="F3132" t="str">
            <v/>
          </cell>
          <cell r="G3132" t="str">
            <v>F</v>
          </cell>
          <cell r="H3132">
            <v>20.010000000000002</v>
          </cell>
        </row>
        <row r="3133">
          <cell r="A3133" t="str">
            <v>1;21;CP;B;PAQ38a40</v>
          </cell>
          <cell r="B3133">
            <v>730069</v>
          </cell>
          <cell r="C3133" t="str">
            <v>CP</v>
          </cell>
          <cell r="D3133" t="str">
            <v>CANARIAS PORTUGAL</v>
          </cell>
          <cell r="E3133" t="str">
            <v>21</v>
          </cell>
          <cell r="F3133" t="str">
            <v>PAQ38a40</v>
          </cell>
          <cell r="G3133" t="str">
            <v>B</v>
          </cell>
          <cell r="H3133">
            <v>409.64</v>
          </cell>
        </row>
        <row r="3134">
          <cell r="A3134" t="str">
            <v>1;21;CP;E;</v>
          </cell>
          <cell r="B3134">
            <v>730069</v>
          </cell>
          <cell r="C3134" t="str">
            <v>CP</v>
          </cell>
          <cell r="D3134" t="str">
            <v>CANARIAS PORTUGAL</v>
          </cell>
          <cell r="E3134" t="str">
            <v>21</v>
          </cell>
          <cell r="F3134" t="str">
            <v/>
          </cell>
          <cell r="G3134" t="str">
            <v>E</v>
          </cell>
          <cell r="H3134">
            <v>0</v>
          </cell>
        </row>
        <row r="3135">
          <cell r="A3135" t="str">
            <v>1;21;CP;P;</v>
          </cell>
          <cell r="B3135">
            <v>730069</v>
          </cell>
          <cell r="C3135" t="str">
            <v>CP</v>
          </cell>
          <cell r="D3135" t="str">
            <v>CANARIAS PORTUGAL</v>
          </cell>
          <cell r="E3135" t="str">
            <v>21</v>
          </cell>
          <cell r="F3135" t="str">
            <v/>
          </cell>
          <cell r="G3135" t="str">
            <v>P</v>
          </cell>
          <cell r="H3135">
            <v>0</v>
          </cell>
        </row>
        <row r="3136">
          <cell r="A3136" t="str">
            <v>1;24;CP;B;BAG</v>
          </cell>
          <cell r="B3136">
            <v>730069</v>
          </cell>
          <cell r="C3136" t="str">
            <v>CP</v>
          </cell>
          <cell r="D3136" t="str">
            <v>CANARIAS PORTUGAL</v>
          </cell>
          <cell r="E3136" t="str">
            <v>24</v>
          </cell>
          <cell r="F3136" t="str">
            <v>BAG</v>
          </cell>
          <cell r="G3136" t="str">
            <v>B</v>
          </cell>
          <cell r="H3136">
            <v>21.55</v>
          </cell>
        </row>
        <row r="3137">
          <cell r="A3137" t="str">
            <v>1;24;CP;B;DOCS</v>
          </cell>
          <cell r="B3137">
            <v>730069</v>
          </cell>
          <cell r="C3137" t="str">
            <v>CP</v>
          </cell>
          <cell r="D3137" t="str">
            <v>CANARIAS PORTUGAL</v>
          </cell>
          <cell r="E3137" t="str">
            <v>24</v>
          </cell>
          <cell r="F3137" t="str">
            <v>DOCS</v>
          </cell>
          <cell r="G3137" t="str">
            <v>B</v>
          </cell>
          <cell r="H3137">
            <v>14.2</v>
          </cell>
        </row>
        <row r="3138">
          <cell r="A3138" t="str">
            <v>1;24;CP;B;PAQ00a02</v>
          </cell>
          <cell r="B3138">
            <v>730069</v>
          </cell>
          <cell r="C3138" t="str">
            <v>CP</v>
          </cell>
          <cell r="D3138" t="str">
            <v>CANARIAS PORTUGAL</v>
          </cell>
          <cell r="E3138" t="str">
            <v>24</v>
          </cell>
          <cell r="F3138" t="str">
            <v>PAQ00a02</v>
          </cell>
          <cell r="G3138" t="str">
            <v>B</v>
          </cell>
          <cell r="H3138">
            <v>25.16</v>
          </cell>
        </row>
        <row r="3139">
          <cell r="A3139" t="str">
            <v>1;24;CP;B;PAQ02a04</v>
          </cell>
          <cell r="B3139">
            <v>730069</v>
          </cell>
          <cell r="C3139" t="str">
            <v>CP</v>
          </cell>
          <cell r="D3139" t="str">
            <v>CANARIAS PORTUGAL</v>
          </cell>
          <cell r="E3139" t="str">
            <v>24</v>
          </cell>
          <cell r="F3139" t="str">
            <v>PAQ02a04</v>
          </cell>
          <cell r="G3139" t="str">
            <v>B</v>
          </cell>
          <cell r="H3139">
            <v>42.04</v>
          </cell>
        </row>
        <row r="3140">
          <cell r="A3140" t="str">
            <v>1;24;CP;B;PAQ04a06</v>
          </cell>
          <cell r="B3140">
            <v>730069</v>
          </cell>
          <cell r="C3140" t="str">
            <v>CP</v>
          </cell>
          <cell r="D3140" t="str">
            <v>CANARIAS PORTUGAL</v>
          </cell>
          <cell r="E3140" t="str">
            <v>24</v>
          </cell>
          <cell r="F3140" t="str">
            <v>PAQ04a06</v>
          </cell>
          <cell r="G3140" t="str">
            <v>B</v>
          </cell>
          <cell r="H3140">
            <v>62.04</v>
          </cell>
        </row>
        <row r="3141">
          <cell r="A3141" t="str">
            <v>1;24;CP;B;PAQ06a08</v>
          </cell>
          <cell r="B3141">
            <v>730069</v>
          </cell>
          <cell r="C3141" t="str">
            <v>CP</v>
          </cell>
          <cell r="D3141" t="str">
            <v>CANARIAS PORTUGAL</v>
          </cell>
          <cell r="E3141" t="str">
            <v>24</v>
          </cell>
          <cell r="F3141" t="str">
            <v>PAQ06a08</v>
          </cell>
          <cell r="G3141" t="str">
            <v>B</v>
          </cell>
          <cell r="H3141">
            <v>82.06</v>
          </cell>
        </row>
        <row r="3142">
          <cell r="A3142" t="str">
            <v>1;24;CP;B;PAQ08a10</v>
          </cell>
          <cell r="B3142">
            <v>730069</v>
          </cell>
          <cell r="C3142" t="str">
            <v>CP</v>
          </cell>
          <cell r="D3142" t="str">
            <v>CANARIAS PORTUGAL</v>
          </cell>
          <cell r="E3142" t="str">
            <v>24</v>
          </cell>
          <cell r="F3142" t="str">
            <v>PAQ08a10</v>
          </cell>
          <cell r="G3142" t="str">
            <v>B</v>
          </cell>
          <cell r="H3142">
            <v>102.07</v>
          </cell>
        </row>
        <row r="3143">
          <cell r="A3143" t="str">
            <v>1;24;CP;B;PAQ10a12</v>
          </cell>
          <cell r="B3143">
            <v>730069</v>
          </cell>
          <cell r="C3143" t="str">
            <v>CP</v>
          </cell>
          <cell r="D3143" t="str">
            <v>CANARIAS PORTUGAL</v>
          </cell>
          <cell r="E3143" t="str">
            <v>24</v>
          </cell>
          <cell r="F3143" t="str">
            <v>PAQ10a12</v>
          </cell>
          <cell r="G3143" t="str">
            <v>B</v>
          </cell>
          <cell r="H3143">
            <v>122.08</v>
          </cell>
        </row>
        <row r="3144">
          <cell r="A3144" t="str">
            <v>1;24;CP;B;PAQ12a14</v>
          </cell>
          <cell r="B3144">
            <v>730069</v>
          </cell>
          <cell r="C3144" t="str">
            <v>CP</v>
          </cell>
          <cell r="D3144" t="str">
            <v>CANARIAS PORTUGAL</v>
          </cell>
          <cell r="E3144" t="str">
            <v>24</v>
          </cell>
          <cell r="F3144" t="str">
            <v>PAQ12a14</v>
          </cell>
          <cell r="G3144" t="str">
            <v>B</v>
          </cell>
          <cell r="H3144">
            <v>142.09</v>
          </cell>
        </row>
        <row r="3145">
          <cell r="A3145" t="str">
            <v>1;24;CP;B;PAQ14a16</v>
          </cell>
          <cell r="B3145">
            <v>730069</v>
          </cell>
          <cell r="C3145" t="str">
            <v>CP</v>
          </cell>
          <cell r="D3145" t="str">
            <v>CANARIAS PORTUGAL</v>
          </cell>
          <cell r="E3145" t="str">
            <v>24</v>
          </cell>
          <cell r="F3145" t="str">
            <v>PAQ14a16</v>
          </cell>
          <cell r="G3145" t="str">
            <v>B</v>
          </cell>
          <cell r="H3145">
            <v>162.1</v>
          </cell>
        </row>
        <row r="3146">
          <cell r="A3146" t="str">
            <v>1;24;CP;B;PAQ16a18</v>
          </cell>
          <cell r="B3146">
            <v>730069</v>
          </cell>
          <cell r="C3146" t="str">
            <v>CP</v>
          </cell>
          <cell r="D3146" t="str">
            <v>CANARIAS PORTUGAL</v>
          </cell>
          <cell r="E3146" t="str">
            <v>24</v>
          </cell>
          <cell r="F3146" t="str">
            <v>PAQ16a18</v>
          </cell>
          <cell r="G3146" t="str">
            <v>B</v>
          </cell>
          <cell r="H3146">
            <v>182.11</v>
          </cell>
        </row>
        <row r="3147">
          <cell r="A3147" t="str">
            <v>1;24;CP;B;PAQ18a20</v>
          </cell>
          <cell r="B3147">
            <v>730069</v>
          </cell>
          <cell r="C3147" t="str">
            <v>CP</v>
          </cell>
          <cell r="D3147" t="str">
            <v>CANARIAS PORTUGAL</v>
          </cell>
          <cell r="E3147" t="str">
            <v>24</v>
          </cell>
          <cell r="F3147" t="str">
            <v>PAQ18a20</v>
          </cell>
          <cell r="G3147" t="str">
            <v>B</v>
          </cell>
          <cell r="H3147">
            <v>202.13</v>
          </cell>
        </row>
        <row r="3148">
          <cell r="A3148" t="str">
            <v>1;24;CP;B;PAQ20a22</v>
          </cell>
          <cell r="B3148">
            <v>730069</v>
          </cell>
          <cell r="C3148" t="str">
            <v>CP</v>
          </cell>
          <cell r="D3148" t="str">
            <v>CANARIAS PORTUGAL</v>
          </cell>
          <cell r="E3148" t="str">
            <v>24</v>
          </cell>
          <cell r="F3148" t="str">
            <v>PAQ20a22</v>
          </cell>
          <cell r="G3148" t="str">
            <v>B</v>
          </cell>
          <cell r="H3148">
            <v>222.13</v>
          </cell>
        </row>
        <row r="3149">
          <cell r="A3149" t="str">
            <v>1;24;CP;B;PAQ22a24</v>
          </cell>
          <cell r="B3149">
            <v>730069</v>
          </cell>
          <cell r="C3149" t="str">
            <v>CP</v>
          </cell>
          <cell r="D3149" t="str">
            <v>CANARIAS PORTUGAL</v>
          </cell>
          <cell r="E3149" t="str">
            <v>24</v>
          </cell>
          <cell r="F3149" t="str">
            <v>PAQ22a24</v>
          </cell>
          <cell r="G3149" t="str">
            <v>B</v>
          </cell>
          <cell r="H3149">
            <v>242.14</v>
          </cell>
        </row>
        <row r="3150">
          <cell r="A3150" t="str">
            <v>1;24;CP;B;PAQ24a26</v>
          </cell>
          <cell r="B3150">
            <v>730069</v>
          </cell>
          <cell r="C3150" t="str">
            <v>CP</v>
          </cell>
          <cell r="D3150" t="str">
            <v>CANARIAS PORTUGAL</v>
          </cell>
          <cell r="E3150" t="str">
            <v>24</v>
          </cell>
          <cell r="F3150" t="str">
            <v>PAQ24a26</v>
          </cell>
          <cell r="G3150" t="str">
            <v>B</v>
          </cell>
          <cell r="H3150">
            <v>262.14999999999998</v>
          </cell>
        </row>
        <row r="3151">
          <cell r="A3151" t="str">
            <v>1;24;CP;B;PAQ26a28</v>
          </cell>
          <cell r="B3151">
            <v>730069</v>
          </cell>
          <cell r="C3151" t="str">
            <v>CP</v>
          </cell>
          <cell r="D3151" t="str">
            <v>CANARIAS PORTUGAL</v>
          </cell>
          <cell r="E3151" t="str">
            <v>24</v>
          </cell>
          <cell r="F3151" t="str">
            <v>PAQ26a28</v>
          </cell>
          <cell r="G3151" t="str">
            <v>B</v>
          </cell>
          <cell r="H3151">
            <v>282.17</v>
          </cell>
        </row>
        <row r="3152">
          <cell r="A3152" t="str">
            <v>1;24;CP;B;PAQ28a30</v>
          </cell>
          <cell r="B3152">
            <v>730069</v>
          </cell>
          <cell r="C3152" t="str">
            <v>CP</v>
          </cell>
          <cell r="D3152" t="str">
            <v>CANARIAS PORTUGAL</v>
          </cell>
          <cell r="E3152" t="str">
            <v>24</v>
          </cell>
          <cell r="F3152" t="str">
            <v>PAQ28a30</v>
          </cell>
          <cell r="G3152" t="str">
            <v>B</v>
          </cell>
          <cell r="H3152">
            <v>302.17</v>
          </cell>
        </row>
        <row r="3153">
          <cell r="A3153" t="str">
            <v>1;24;CP;B;PAQ30a32</v>
          </cell>
          <cell r="B3153">
            <v>730069</v>
          </cell>
          <cell r="C3153" t="str">
            <v>CP</v>
          </cell>
          <cell r="D3153" t="str">
            <v>CANARIAS PORTUGAL</v>
          </cell>
          <cell r="E3153" t="str">
            <v>24</v>
          </cell>
          <cell r="F3153" t="str">
            <v>PAQ30a32</v>
          </cell>
          <cell r="G3153" t="str">
            <v>B</v>
          </cell>
          <cell r="H3153">
            <v>322.18</v>
          </cell>
        </row>
        <row r="3154">
          <cell r="A3154" t="str">
            <v>1;24;CP;B;PAQ32a34</v>
          </cell>
          <cell r="B3154">
            <v>730069</v>
          </cell>
          <cell r="C3154" t="str">
            <v>CP</v>
          </cell>
          <cell r="D3154" t="str">
            <v>CANARIAS PORTUGAL</v>
          </cell>
          <cell r="E3154" t="str">
            <v>24</v>
          </cell>
          <cell r="F3154" t="str">
            <v>PAQ32a34</v>
          </cell>
          <cell r="G3154" t="str">
            <v>B</v>
          </cell>
          <cell r="H3154">
            <v>342.2</v>
          </cell>
        </row>
        <row r="3155">
          <cell r="A3155" t="str">
            <v>1;24;CP;B;PAQ34a36</v>
          </cell>
          <cell r="B3155">
            <v>730069</v>
          </cell>
          <cell r="C3155" t="str">
            <v>CP</v>
          </cell>
          <cell r="D3155" t="str">
            <v>CANARIAS PORTUGAL</v>
          </cell>
          <cell r="E3155" t="str">
            <v>24</v>
          </cell>
          <cell r="F3155" t="str">
            <v>PAQ34a36</v>
          </cell>
          <cell r="G3155" t="str">
            <v>B</v>
          </cell>
          <cell r="H3155">
            <v>362.21</v>
          </cell>
        </row>
        <row r="3156">
          <cell r="A3156" t="str">
            <v>1;24;CP;B;PAQ36a38</v>
          </cell>
          <cell r="B3156">
            <v>730069</v>
          </cell>
          <cell r="C3156" t="str">
            <v>CP</v>
          </cell>
          <cell r="D3156" t="str">
            <v>CANARIAS PORTUGAL</v>
          </cell>
          <cell r="E3156" t="str">
            <v>24</v>
          </cell>
          <cell r="F3156" t="str">
            <v>PAQ36a38</v>
          </cell>
          <cell r="G3156" t="str">
            <v>B</v>
          </cell>
          <cell r="H3156">
            <v>382.21</v>
          </cell>
        </row>
        <row r="3157">
          <cell r="A3157" t="str">
            <v>1;24;CP;B;PAQ38a40</v>
          </cell>
          <cell r="B3157">
            <v>730069</v>
          </cell>
          <cell r="C3157" t="str">
            <v>CP</v>
          </cell>
          <cell r="D3157" t="str">
            <v>CANARIAS PORTUGAL</v>
          </cell>
          <cell r="E3157" t="str">
            <v>24</v>
          </cell>
          <cell r="F3157" t="str">
            <v>PAQ38a40</v>
          </cell>
          <cell r="G3157" t="str">
            <v>B</v>
          </cell>
          <cell r="H3157">
            <v>402.22</v>
          </cell>
        </row>
        <row r="3158">
          <cell r="A3158" t="str">
            <v>1;24;CP;F;</v>
          </cell>
          <cell r="B3158">
            <v>730069</v>
          </cell>
          <cell r="C3158" t="str">
            <v>CP</v>
          </cell>
          <cell r="D3158" t="str">
            <v>CANARIAS PORTUGAL</v>
          </cell>
          <cell r="E3158" t="str">
            <v>24</v>
          </cell>
          <cell r="F3158" t="str">
            <v/>
          </cell>
          <cell r="G3158" t="str">
            <v>F</v>
          </cell>
          <cell r="H3158">
            <v>20.010000000000002</v>
          </cell>
        </row>
        <row r="3159">
          <cell r="A3159" t="str">
            <v>1;24;CP;E;</v>
          </cell>
          <cell r="B3159">
            <v>730069</v>
          </cell>
          <cell r="C3159" t="str">
            <v>CP</v>
          </cell>
          <cell r="D3159" t="str">
            <v>CANARIAS PORTUGAL</v>
          </cell>
          <cell r="E3159" t="str">
            <v>24</v>
          </cell>
          <cell r="F3159" t="str">
            <v/>
          </cell>
          <cell r="G3159" t="str">
            <v>E</v>
          </cell>
          <cell r="H3159">
            <v>0</v>
          </cell>
        </row>
        <row r="3160">
          <cell r="A3160" t="str">
            <v>1;24;CP;P;</v>
          </cell>
          <cell r="B3160">
            <v>730069</v>
          </cell>
          <cell r="C3160" t="str">
            <v>CP</v>
          </cell>
          <cell r="D3160" t="str">
            <v>CANARIAS PORTUGAL</v>
          </cell>
          <cell r="E3160" t="str">
            <v>24</v>
          </cell>
          <cell r="F3160" t="str">
            <v/>
          </cell>
          <cell r="G3160" t="str">
            <v>P</v>
          </cell>
          <cell r="H3160">
            <v>0</v>
          </cell>
        </row>
        <row r="3161">
          <cell r="A3161" t="str">
            <v>1;27;CP;B;PAQ00a02</v>
          </cell>
          <cell r="B3161">
            <v>730069</v>
          </cell>
          <cell r="C3161" t="str">
            <v>CP</v>
          </cell>
          <cell r="D3161" t="str">
            <v>CANARIAS PORTUGAL</v>
          </cell>
          <cell r="E3161" t="str">
            <v>27</v>
          </cell>
          <cell r="F3161" t="str">
            <v>PAQ00a02</v>
          </cell>
          <cell r="G3161" t="str">
            <v>B</v>
          </cell>
          <cell r="H3161">
            <v>23.05</v>
          </cell>
        </row>
        <row r="3162">
          <cell r="A3162" t="str">
            <v>1;27;CP;B;PAQ02a04</v>
          </cell>
          <cell r="B3162">
            <v>730069</v>
          </cell>
          <cell r="C3162" t="str">
            <v>CP</v>
          </cell>
          <cell r="D3162" t="str">
            <v>CANARIAS PORTUGAL</v>
          </cell>
          <cell r="E3162" t="str">
            <v>27</v>
          </cell>
          <cell r="F3162" t="str">
            <v>PAQ02a04</v>
          </cell>
          <cell r="G3162" t="str">
            <v>B</v>
          </cell>
          <cell r="H3162">
            <v>37.700000000000003</v>
          </cell>
        </row>
        <row r="3163">
          <cell r="A3163" t="str">
            <v>1;27;CP;B;PAQ04a06</v>
          </cell>
          <cell r="B3163">
            <v>730069</v>
          </cell>
          <cell r="C3163" t="str">
            <v>CP</v>
          </cell>
          <cell r="D3163" t="str">
            <v>CANARIAS PORTUGAL</v>
          </cell>
          <cell r="E3163" t="str">
            <v>27</v>
          </cell>
          <cell r="F3163" t="str">
            <v>PAQ04a06</v>
          </cell>
          <cell r="G3163" t="str">
            <v>B</v>
          </cell>
          <cell r="H3163">
            <v>49.93</v>
          </cell>
        </row>
        <row r="3164">
          <cell r="A3164" t="str">
            <v>1;27;CP;B;PAQ06a08</v>
          </cell>
          <cell r="B3164">
            <v>730069</v>
          </cell>
          <cell r="C3164" t="str">
            <v>CP</v>
          </cell>
          <cell r="D3164" t="str">
            <v>CANARIAS PORTUGAL</v>
          </cell>
          <cell r="E3164" t="str">
            <v>27</v>
          </cell>
          <cell r="F3164" t="str">
            <v>PAQ06a08</v>
          </cell>
          <cell r="G3164" t="str">
            <v>B</v>
          </cell>
          <cell r="H3164">
            <v>62.17</v>
          </cell>
        </row>
        <row r="3165">
          <cell r="A3165" t="str">
            <v>1;27;CP;B;PAQ08a10</v>
          </cell>
          <cell r="B3165">
            <v>730069</v>
          </cell>
          <cell r="C3165" t="str">
            <v>CP</v>
          </cell>
          <cell r="D3165" t="str">
            <v>CANARIAS PORTUGAL</v>
          </cell>
          <cell r="E3165" t="str">
            <v>27</v>
          </cell>
          <cell r="F3165" t="str">
            <v>PAQ08a10</v>
          </cell>
          <cell r="G3165" t="str">
            <v>B</v>
          </cell>
          <cell r="H3165">
            <v>74.400000000000006</v>
          </cell>
        </row>
        <row r="3166">
          <cell r="A3166" t="str">
            <v>1;27;CP;B;PAQ10a12</v>
          </cell>
          <cell r="B3166">
            <v>730069</v>
          </cell>
          <cell r="C3166" t="str">
            <v>CP</v>
          </cell>
          <cell r="D3166" t="str">
            <v>CANARIAS PORTUGAL</v>
          </cell>
          <cell r="E3166" t="str">
            <v>27</v>
          </cell>
          <cell r="F3166" t="str">
            <v>PAQ10a12</v>
          </cell>
          <cell r="G3166" t="str">
            <v>B</v>
          </cell>
          <cell r="H3166">
            <v>86.65</v>
          </cell>
        </row>
        <row r="3167">
          <cell r="A3167" t="str">
            <v>1;27;CP;B;PAQ12a14</v>
          </cell>
          <cell r="B3167">
            <v>730069</v>
          </cell>
          <cell r="C3167" t="str">
            <v>CP</v>
          </cell>
          <cell r="D3167" t="str">
            <v>CANARIAS PORTUGAL</v>
          </cell>
          <cell r="E3167" t="str">
            <v>27</v>
          </cell>
          <cell r="F3167" t="str">
            <v>PAQ12a14</v>
          </cell>
          <cell r="G3167" t="str">
            <v>B</v>
          </cell>
          <cell r="H3167">
            <v>98.88</v>
          </cell>
        </row>
        <row r="3168">
          <cell r="A3168" t="str">
            <v>1;27;CP;B;PAQ14a16</v>
          </cell>
          <cell r="B3168">
            <v>730069</v>
          </cell>
          <cell r="C3168" t="str">
            <v>CP</v>
          </cell>
          <cell r="D3168" t="str">
            <v>CANARIAS PORTUGAL</v>
          </cell>
          <cell r="E3168" t="str">
            <v>27</v>
          </cell>
          <cell r="F3168" t="str">
            <v>PAQ14a16</v>
          </cell>
          <cell r="G3168" t="str">
            <v>B</v>
          </cell>
          <cell r="H3168">
            <v>111.12</v>
          </cell>
        </row>
        <row r="3169">
          <cell r="A3169" t="str">
            <v>1;27;CP;B;PAQ16a18</v>
          </cell>
          <cell r="B3169">
            <v>730069</v>
          </cell>
          <cell r="C3169" t="str">
            <v>CP</v>
          </cell>
          <cell r="D3169" t="str">
            <v>CANARIAS PORTUGAL</v>
          </cell>
          <cell r="E3169" t="str">
            <v>27</v>
          </cell>
          <cell r="F3169" t="str">
            <v>PAQ16a18</v>
          </cell>
          <cell r="G3169" t="str">
            <v>B</v>
          </cell>
          <cell r="H3169">
            <v>123.35</v>
          </cell>
        </row>
        <row r="3170">
          <cell r="A3170" t="str">
            <v>1;27;CP;B;PAQ18a20</v>
          </cell>
          <cell r="B3170">
            <v>730069</v>
          </cell>
          <cell r="C3170" t="str">
            <v>CP</v>
          </cell>
          <cell r="D3170" t="str">
            <v>CANARIAS PORTUGAL</v>
          </cell>
          <cell r="E3170" t="str">
            <v>27</v>
          </cell>
          <cell r="F3170" t="str">
            <v>PAQ18a20</v>
          </cell>
          <cell r="G3170" t="str">
            <v>B</v>
          </cell>
          <cell r="H3170">
            <v>135.6</v>
          </cell>
        </row>
        <row r="3171">
          <cell r="A3171" t="str">
            <v>1;27;CP;B;PAQ20a22</v>
          </cell>
          <cell r="B3171">
            <v>730069</v>
          </cell>
          <cell r="C3171" t="str">
            <v>CP</v>
          </cell>
          <cell r="D3171" t="str">
            <v>CANARIAS PORTUGAL</v>
          </cell>
          <cell r="E3171" t="str">
            <v>27</v>
          </cell>
          <cell r="F3171" t="str">
            <v>PAQ20a22</v>
          </cell>
          <cell r="G3171" t="str">
            <v>B</v>
          </cell>
          <cell r="H3171">
            <v>147.83000000000001</v>
          </cell>
        </row>
        <row r="3172">
          <cell r="A3172" t="str">
            <v>1;27;CP;B;PAQ22a24</v>
          </cell>
          <cell r="B3172">
            <v>730069</v>
          </cell>
          <cell r="C3172" t="str">
            <v>CP</v>
          </cell>
          <cell r="D3172" t="str">
            <v>CANARIAS PORTUGAL</v>
          </cell>
          <cell r="E3172" t="str">
            <v>27</v>
          </cell>
          <cell r="F3172" t="str">
            <v>PAQ22a24</v>
          </cell>
          <cell r="G3172" t="str">
            <v>B</v>
          </cell>
          <cell r="H3172">
            <v>160.07</v>
          </cell>
        </row>
        <row r="3173">
          <cell r="A3173" t="str">
            <v>1;27;CP;B;PAQ24a26</v>
          </cell>
          <cell r="B3173">
            <v>730069</v>
          </cell>
          <cell r="C3173" t="str">
            <v>CP</v>
          </cell>
          <cell r="D3173" t="str">
            <v>CANARIAS PORTUGAL</v>
          </cell>
          <cell r="E3173" t="str">
            <v>27</v>
          </cell>
          <cell r="F3173" t="str">
            <v>PAQ24a26</v>
          </cell>
          <cell r="G3173" t="str">
            <v>B</v>
          </cell>
          <cell r="H3173">
            <v>172.31</v>
          </cell>
        </row>
        <row r="3174">
          <cell r="A3174" t="str">
            <v>1;27;CP;B;PAQ26a28</v>
          </cell>
          <cell r="B3174">
            <v>730069</v>
          </cell>
          <cell r="C3174" t="str">
            <v>CP</v>
          </cell>
          <cell r="D3174" t="str">
            <v>CANARIAS PORTUGAL</v>
          </cell>
          <cell r="E3174" t="str">
            <v>27</v>
          </cell>
          <cell r="F3174" t="str">
            <v>PAQ26a28</v>
          </cell>
          <cell r="G3174" t="str">
            <v>B</v>
          </cell>
          <cell r="H3174">
            <v>184.55</v>
          </cell>
        </row>
        <row r="3175">
          <cell r="A3175" t="str">
            <v>1;27;CP;B;PAQ28a30</v>
          </cell>
          <cell r="B3175">
            <v>730069</v>
          </cell>
          <cell r="C3175" t="str">
            <v>CP</v>
          </cell>
          <cell r="D3175" t="str">
            <v>CANARIAS PORTUGAL</v>
          </cell>
          <cell r="E3175" t="str">
            <v>27</v>
          </cell>
          <cell r="F3175" t="str">
            <v>PAQ28a30</v>
          </cell>
          <cell r="G3175" t="str">
            <v>B</v>
          </cell>
          <cell r="H3175">
            <v>196.78</v>
          </cell>
        </row>
        <row r="3176">
          <cell r="A3176" t="str">
            <v>1;27;CP;B;PAQ30a32</v>
          </cell>
          <cell r="B3176">
            <v>730069</v>
          </cell>
          <cell r="C3176" t="str">
            <v>CP</v>
          </cell>
          <cell r="D3176" t="str">
            <v>CANARIAS PORTUGAL</v>
          </cell>
          <cell r="E3176" t="str">
            <v>27</v>
          </cell>
          <cell r="F3176" t="str">
            <v>PAQ30a32</v>
          </cell>
          <cell r="G3176" t="str">
            <v>B</v>
          </cell>
          <cell r="H3176">
            <v>209.02</v>
          </cell>
        </row>
        <row r="3177">
          <cell r="A3177" t="str">
            <v>1;27;CP;B;PAQ32a34</v>
          </cell>
          <cell r="B3177">
            <v>730069</v>
          </cell>
          <cell r="C3177" t="str">
            <v>CP</v>
          </cell>
          <cell r="D3177" t="str">
            <v>CANARIAS PORTUGAL</v>
          </cell>
          <cell r="E3177" t="str">
            <v>27</v>
          </cell>
          <cell r="F3177" t="str">
            <v>PAQ32a34</v>
          </cell>
          <cell r="G3177" t="str">
            <v>B</v>
          </cell>
          <cell r="H3177">
            <v>221.26</v>
          </cell>
        </row>
        <row r="3178">
          <cell r="A3178" t="str">
            <v>1;27;CP;B;PAQ34a36</v>
          </cell>
          <cell r="B3178">
            <v>730069</v>
          </cell>
          <cell r="C3178" t="str">
            <v>CP</v>
          </cell>
          <cell r="D3178" t="str">
            <v>CANARIAS PORTUGAL</v>
          </cell>
          <cell r="E3178" t="str">
            <v>27</v>
          </cell>
          <cell r="F3178" t="str">
            <v>PAQ34a36</v>
          </cell>
          <cell r="G3178" t="str">
            <v>B</v>
          </cell>
          <cell r="H3178">
            <v>233.5</v>
          </cell>
        </row>
        <row r="3179">
          <cell r="A3179" t="str">
            <v>1;27;CP;B;PAQ36a38</v>
          </cell>
          <cell r="B3179">
            <v>730069</v>
          </cell>
          <cell r="C3179" t="str">
            <v>CP</v>
          </cell>
          <cell r="D3179" t="str">
            <v>CANARIAS PORTUGAL</v>
          </cell>
          <cell r="E3179" t="str">
            <v>27</v>
          </cell>
          <cell r="F3179" t="str">
            <v>PAQ36a38</v>
          </cell>
          <cell r="G3179" t="str">
            <v>B</v>
          </cell>
          <cell r="H3179">
            <v>245.73</v>
          </cell>
        </row>
        <row r="3180">
          <cell r="A3180" t="str">
            <v>1;27;CP;B;PAQ38a40</v>
          </cell>
          <cell r="B3180">
            <v>730069</v>
          </cell>
          <cell r="C3180" t="str">
            <v>CP</v>
          </cell>
          <cell r="D3180" t="str">
            <v>CANARIAS PORTUGAL</v>
          </cell>
          <cell r="E3180" t="str">
            <v>27</v>
          </cell>
          <cell r="F3180" t="str">
            <v>PAQ38a40</v>
          </cell>
          <cell r="G3180" t="str">
            <v>B</v>
          </cell>
          <cell r="H3180">
            <v>257.97000000000003</v>
          </cell>
        </row>
        <row r="3181">
          <cell r="A3181" t="str">
            <v>1;27;CP;F;</v>
          </cell>
          <cell r="B3181">
            <v>730069</v>
          </cell>
          <cell r="C3181" t="str">
            <v>CP</v>
          </cell>
          <cell r="D3181" t="str">
            <v>CANARIAS PORTUGAL</v>
          </cell>
          <cell r="E3181" t="str">
            <v>27</v>
          </cell>
          <cell r="F3181" t="str">
            <v/>
          </cell>
          <cell r="G3181" t="str">
            <v>F</v>
          </cell>
          <cell r="H3181">
            <v>12.24</v>
          </cell>
        </row>
        <row r="3182">
          <cell r="A3182" t="str">
            <v>1;27;CP;E;</v>
          </cell>
          <cell r="B3182">
            <v>730069</v>
          </cell>
          <cell r="C3182" t="str">
            <v>CP</v>
          </cell>
          <cell r="D3182" t="str">
            <v>CANARIAS PORTUGAL</v>
          </cell>
          <cell r="E3182" t="str">
            <v>27</v>
          </cell>
          <cell r="F3182" t="str">
            <v/>
          </cell>
          <cell r="G3182" t="str">
            <v>E</v>
          </cell>
          <cell r="H3182">
            <v>0</v>
          </cell>
        </row>
        <row r="3183">
          <cell r="A3183" t="str">
            <v>1;27;CP;P;</v>
          </cell>
          <cell r="B3183">
            <v>730069</v>
          </cell>
          <cell r="C3183" t="str">
            <v>CP</v>
          </cell>
          <cell r="D3183" t="str">
            <v>CANARIAS PORTUGAL</v>
          </cell>
          <cell r="E3183" t="str">
            <v>27</v>
          </cell>
          <cell r="F3183" t="str">
            <v/>
          </cell>
          <cell r="G3183" t="str">
            <v>P</v>
          </cell>
          <cell r="H3183">
            <v>0</v>
          </cell>
        </row>
        <row r="3184">
          <cell r="A3184" t="str">
            <v>1;33;CP;B;PAQ00a02</v>
          </cell>
          <cell r="B3184">
            <v>730069</v>
          </cell>
          <cell r="C3184" t="str">
            <v>CP</v>
          </cell>
          <cell r="D3184" t="str">
            <v>CANARIAS PORTUGAL</v>
          </cell>
          <cell r="E3184" t="str">
            <v>33</v>
          </cell>
          <cell r="F3184" t="str">
            <v>PAQ00a02</v>
          </cell>
          <cell r="G3184" t="str">
            <v>B</v>
          </cell>
          <cell r="H3184">
            <v>34.549999999999997</v>
          </cell>
        </row>
        <row r="3185">
          <cell r="A3185" t="str">
            <v>1;33;CP;B;PAQ02a04</v>
          </cell>
          <cell r="B3185">
            <v>730069</v>
          </cell>
          <cell r="C3185" t="str">
            <v>CP</v>
          </cell>
          <cell r="D3185" t="str">
            <v>CANARIAS PORTUGAL</v>
          </cell>
          <cell r="E3185" t="str">
            <v>33</v>
          </cell>
          <cell r="F3185" t="str">
            <v>PAQ02a04</v>
          </cell>
          <cell r="G3185" t="str">
            <v>B</v>
          </cell>
          <cell r="H3185">
            <v>52.91</v>
          </cell>
        </row>
        <row r="3186">
          <cell r="A3186" t="str">
            <v>1;33;CP;B;PAQ04a06</v>
          </cell>
          <cell r="B3186">
            <v>730069</v>
          </cell>
          <cell r="C3186" t="str">
            <v>CP</v>
          </cell>
          <cell r="D3186" t="str">
            <v>CANARIAS PORTUGAL</v>
          </cell>
          <cell r="E3186" t="str">
            <v>33</v>
          </cell>
          <cell r="F3186" t="str">
            <v>PAQ04a06</v>
          </cell>
          <cell r="G3186" t="str">
            <v>B</v>
          </cell>
          <cell r="H3186">
            <v>71.260000000000005</v>
          </cell>
        </row>
        <row r="3187">
          <cell r="A3187" t="str">
            <v>1;33;CP;B;PAQ06a08</v>
          </cell>
          <cell r="B3187">
            <v>730069</v>
          </cell>
          <cell r="C3187" t="str">
            <v>CP</v>
          </cell>
          <cell r="D3187" t="str">
            <v>CANARIAS PORTUGAL</v>
          </cell>
          <cell r="E3187" t="str">
            <v>33</v>
          </cell>
          <cell r="F3187" t="str">
            <v>PAQ06a08</v>
          </cell>
          <cell r="G3187" t="str">
            <v>B</v>
          </cell>
          <cell r="H3187">
            <v>89.62</v>
          </cell>
        </row>
        <row r="3188">
          <cell r="A3188" t="str">
            <v>1;33;CP;B;PAQ08a10</v>
          </cell>
          <cell r="B3188">
            <v>730069</v>
          </cell>
          <cell r="C3188" t="str">
            <v>CP</v>
          </cell>
          <cell r="D3188" t="str">
            <v>CANARIAS PORTUGAL</v>
          </cell>
          <cell r="E3188" t="str">
            <v>33</v>
          </cell>
          <cell r="F3188" t="str">
            <v>PAQ08a10</v>
          </cell>
          <cell r="G3188" t="str">
            <v>B</v>
          </cell>
          <cell r="H3188">
            <v>107.98</v>
          </cell>
        </row>
        <row r="3189">
          <cell r="A3189" t="str">
            <v>1;33;CP;B;PAQ10a12</v>
          </cell>
          <cell r="B3189">
            <v>730069</v>
          </cell>
          <cell r="C3189" t="str">
            <v>CP</v>
          </cell>
          <cell r="D3189" t="str">
            <v>CANARIAS PORTUGAL</v>
          </cell>
          <cell r="E3189" t="str">
            <v>33</v>
          </cell>
          <cell r="F3189" t="str">
            <v>PAQ10a12</v>
          </cell>
          <cell r="G3189" t="str">
            <v>B</v>
          </cell>
          <cell r="H3189">
            <v>126.34</v>
          </cell>
        </row>
        <row r="3190">
          <cell r="A3190" t="str">
            <v>1;33;CP;B;PAQ12a14</v>
          </cell>
          <cell r="B3190">
            <v>730069</v>
          </cell>
          <cell r="C3190" t="str">
            <v>CP</v>
          </cell>
          <cell r="D3190" t="str">
            <v>CANARIAS PORTUGAL</v>
          </cell>
          <cell r="E3190" t="str">
            <v>33</v>
          </cell>
          <cell r="F3190" t="str">
            <v>PAQ12a14</v>
          </cell>
          <cell r="G3190" t="str">
            <v>B</v>
          </cell>
          <cell r="H3190">
            <v>144.69</v>
          </cell>
        </row>
        <row r="3191">
          <cell r="A3191" t="str">
            <v>1;33;CP;B;PAQ14a16</v>
          </cell>
          <cell r="B3191">
            <v>730069</v>
          </cell>
          <cell r="C3191" t="str">
            <v>CP</v>
          </cell>
          <cell r="D3191" t="str">
            <v>CANARIAS PORTUGAL</v>
          </cell>
          <cell r="E3191" t="str">
            <v>33</v>
          </cell>
          <cell r="F3191" t="str">
            <v>PAQ14a16</v>
          </cell>
          <cell r="G3191" t="str">
            <v>B</v>
          </cell>
          <cell r="H3191">
            <v>163.04</v>
          </cell>
        </row>
        <row r="3192">
          <cell r="A3192" t="str">
            <v>1;33;CP;B;PAQ16a18</v>
          </cell>
          <cell r="B3192">
            <v>730069</v>
          </cell>
          <cell r="C3192" t="str">
            <v>CP</v>
          </cell>
          <cell r="D3192" t="str">
            <v>CANARIAS PORTUGAL</v>
          </cell>
          <cell r="E3192" t="str">
            <v>33</v>
          </cell>
          <cell r="F3192" t="str">
            <v>PAQ16a18</v>
          </cell>
          <cell r="G3192" t="str">
            <v>B</v>
          </cell>
          <cell r="H3192">
            <v>181.41</v>
          </cell>
        </row>
        <row r="3193">
          <cell r="A3193" t="str">
            <v>1;33;CP;B;PAQ18a20</v>
          </cell>
          <cell r="B3193">
            <v>730069</v>
          </cell>
          <cell r="C3193" t="str">
            <v>CP</v>
          </cell>
          <cell r="D3193" t="str">
            <v>CANARIAS PORTUGAL</v>
          </cell>
          <cell r="E3193" t="str">
            <v>33</v>
          </cell>
          <cell r="F3193" t="str">
            <v>PAQ18a20</v>
          </cell>
          <cell r="G3193" t="str">
            <v>B</v>
          </cell>
          <cell r="H3193">
            <v>199.76</v>
          </cell>
        </row>
        <row r="3194">
          <cell r="A3194" t="str">
            <v>1;33;CP;B;PAQ20a22</v>
          </cell>
          <cell r="B3194">
            <v>730069</v>
          </cell>
          <cell r="C3194" t="str">
            <v>CP</v>
          </cell>
          <cell r="D3194" t="str">
            <v>CANARIAS PORTUGAL</v>
          </cell>
          <cell r="E3194" t="str">
            <v>33</v>
          </cell>
          <cell r="F3194" t="str">
            <v>PAQ20a22</v>
          </cell>
          <cell r="G3194" t="str">
            <v>B</v>
          </cell>
          <cell r="H3194">
            <v>218.12</v>
          </cell>
        </row>
        <row r="3195">
          <cell r="A3195" t="str">
            <v>1;33;CP;B;PAQ22a24</v>
          </cell>
          <cell r="B3195">
            <v>730069</v>
          </cell>
          <cell r="C3195" t="str">
            <v>CP</v>
          </cell>
          <cell r="D3195" t="str">
            <v>CANARIAS PORTUGAL</v>
          </cell>
          <cell r="E3195" t="str">
            <v>33</v>
          </cell>
          <cell r="F3195" t="str">
            <v>PAQ22a24</v>
          </cell>
          <cell r="G3195" t="str">
            <v>B</v>
          </cell>
          <cell r="H3195">
            <v>236.47</v>
          </cell>
        </row>
        <row r="3196">
          <cell r="A3196" t="str">
            <v>1;33;CP;B;PAQ24a26</v>
          </cell>
          <cell r="B3196">
            <v>730069</v>
          </cell>
          <cell r="C3196" t="str">
            <v>CP</v>
          </cell>
          <cell r="D3196" t="str">
            <v>CANARIAS PORTUGAL</v>
          </cell>
          <cell r="E3196" t="str">
            <v>33</v>
          </cell>
          <cell r="F3196" t="str">
            <v>PAQ24a26</v>
          </cell>
          <cell r="G3196" t="str">
            <v>B</v>
          </cell>
          <cell r="H3196">
            <v>254.84</v>
          </cell>
        </row>
        <row r="3197">
          <cell r="A3197" t="str">
            <v>1;33;CP;B;PAQ26a28</v>
          </cell>
          <cell r="B3197">
            <v>730069</v>
          </cell>
          <cell r="C3197" t="str">
            <v>CP</v>
          </cell>
          <cell r="D3197" t="str">
            <v>CANARIAS PORTUGAL</v>
          </cell>
          <cell r="E3197" t="str">
            <v>33</v>
          </cell>
          <cell r="F3197" t="str">
            <v>PAQ26a28</v>
          </cell>
          <cell r="G3197" t="str">
            <v>B</v>
          </cell>
          <cell r="H3197">
            <v>273.19</v>
          </cell>
        </row>
        <row r="3198">
          <cell r="A3198" t="str">
            <v>1;33;CP;B;PAQ28a30</v>
          </cell>
          <cell r="B3198">
            <v>730069</v>
          </cell>
          <cell r="C3198" t="str">
            <v>CP</v>
          </cell>
          <cell r="D3198" t="str">
            <v>CANARIAS PORTUGAL</v>
          </cell>
          <cell r="E3198" t="str">
            <v>33</v>
          </cell>
          <cell r="F3198" t="str">
            <v>PAQ28a30</v>
          </cell>
          <cell r="G3198" t="str">
            <v>B</v>
          </cell>
          <cell r="H3198">
            <v>291.54000000000002</v>
          </cell>
        </row>
        <row r="3199">
          <cell r="A3199" t="str">
            <v>1;33;CP;B;PAQ30a32</v>
          </cell>
          <cell r="B3199">
            <v>730069</v>
          </cell>
          <cell r="C3199" t="str">
            <v>CP</v>
          </cell>
          <cell r="D3199" t="str">
            <v>CANARIAS PORTUGAL</v>
          </cell>
          <cell r="E3199" t="str">
            <v>33</v>
          </cell>
          <cell r="F3199" t="str">
            <v>PAQ30a32</v>
          </cell>
          <cell r="G3199" t="str">
            <v>B</v>
          </cell>
          <cell r="H3199">
            <v>309.89999999999998</v>
          </cell>
        </row>
        <row r="3200">
          <cell r="A3200" t="str">
            <v>1;33;CP;B;PAQ32a34</v>
          </cell>
          <cell r="B3200">
            <v>730069</v>
          </cell>
          <cell r="C3200" t="str">
            <v>CP</v>
          </cell>
          <cell r="D3200" t="str">
            <v>CANARIAS PORTUGAL</v>
          </cell>
          <cell r="E3200" t="str">
            <v>33</v>
          </cell>
          <cell r="F3200" t="str">
            <v>PAQ32a34</v>
          </cell>
          <cell r="G3200" t="str">
            <v>B</v>
          </cell>
          <cell r="H3200">
            <v>328.26</v>
          </cell>
        </row>
        <row r="3201">
          <cell r="A3201" t="str">
            <v>1;33;CP;B;PAQ34a36</v>
          </cell>
          <cell r="B3201">
            <v>730069</v>
          </cell>
          <cell r="C3201" t="str">
            <v>CP</v>
          </cell>
          <cell r="D3201" t="str">
            <v>CANARIAS PORTUGAL</v>
          </cell>
          <cell r="E3201" t="str">
            <v>33</v>
          </cell>
          <cell r="F3201" t="str">
            <v>PAQ34a36</v>
          </cell>
          <cell r="G3201" t="str">
            <v>B</v>
          </cell>
          <cell r="H3201">
            <v>346.62</v>
          </cell>
        </row>
        <row r="3202">
          <cell r="A3202" t="str">
            <v>1;33;CP;B;PAQ36a38</v>
          </cell>
          <cell r="B3202">
            <v>730069</v>
          </cell>
          <cell r="C3202" t="str">
            <v>CP</v>
          </cell>
          <cell r="D3202" t="str">
            <v>CANARIAS PORTUGAL</v>
          </cell>
          <cell r="E3202" t="str">
            <v>33</v>
          </cell>
          <cell r="F3202" t="str">
            <v>PAQ36a38</v>
          </cell>
          <cell r="G3202" t="str">
            <v>B</v>
          </cell>
          <cell r="H3202">
            <v>364.97</v>
          </cell>
        </row>
        <row r="3203">
          <cell r="A3203" t="str">
            <v>1;33;CP;F;</v>
          </cell>
          <cell r="B3203">
            <v>730069</v>
          </cell>
          <cell r="C3203" t="str">
            <v>CP</v>
          </cell>
          <cell r="D3203" t="str">
            <v>CANARIAS PORTUGAL</v>
          </cell>
          <cell r="E3203" t="str">
            <v>33</v>
          </cell>
          <cell r="F3203" t="str">
            <v/>
          </cell>
          <cell r="G3203" t="str">
            <v>F</v>
          </cell>
          <cell r="H3203">
            <v>18.350000000000001</v>
          </cell>
        </row>
        <row r="3204">
          <cell r="A3204" t="str">
            <v>1;33;CP;B;PAQ38a40</v>
          </cell>
          <cell r="B3204">
            <v>730069</v>
          </cell>
          <cell r="C3204" t="str">
            <v>CP</v>
          </cell>
          <cell r="D3204" t="str">
            <v>CANARIAS PORTUGAL</v>
          </cell>
          <cell r="E3204" t="str">
            <v>33</v>
          </cell>
          <cell r="F3204" t="str">
            <v>PAQ38a40</v>
          </cell>
          <cell r="G3204" t="str">
            <v>B</v>
          </cell>
          <cell r="H3204">
            <v>383.32</v>
          </cell>
        </row>
        <row r="3205">
          <cell r="A3205" t="str">
            <v>1;33;CP;P;</v>
          </cell>
          <cell r="B3205">
            <v>730069</v>
          </cell>
          <cell r="C3205" t="str">
            <v>CP</v>
          </cell>
          <cell r="D3205" t="str">
            <v>CANARIAS PORTUGAL</v>
          </cell>
          <cell r="E3205" t="str">
            <v>33</v>
          </cell>
          <cell r="F3205" t="str">
            <v/>
          </cell>
          <cell r="G3205" t="str">
            <v>P</v>
          </cell>
          <cell r="H3205">
            <v>0</v>
          </cell>
        </row>
        <row r="3206">
          <cell r="A3206" t="str">
            <v>1;33;CP;E;</v>
          </cell>
          <cell r="B3206">
            <v>730069</v>
          </cell>
          <cell r="C3206" t="str">
            <v>CP</v>
          </cell>
          <cell r="D3206" t="str">
            <v>CANARIAS PORTUGAL</v>
          </cell>
          <cell r="E3206" t="str">
            <v>33</v>
          </cell>
          <cell r="F3206" t="str">
            <v/>
          </cell>
          <cell r="G3206" t="str">
            <v>E</v>
          </cell>
          <cell r="H3206">
            <v>0</v>
          </cell>
        </row>
        <row r="3207">
          <cell r="A3207" t="str">
            <v>1;48;CP;B;BAG</v>
          </cell>
          <cell r="B3207">
            <v>730069</v>
          </cell>
          <cell r="C3207" t="str">
            <v>CP</v>
          </cell>
          <cell r="D3207" t="str">
            <v>CANARIAS PORTUGAL</v>
          </cell>
          <cell r="E3207" t="str">
            <v>48</v>
          </cell>
          <cell r="F3207" t="str">
            <v>BAG</v>
          </cell>
          <cell r="G3207" t="str">
            <v>B</v>
          </cell>
          <cell r="H3207">
            <v>19.54</v>
          </cell>
        </row>
        <row r="3208">
          <cell r="A3208" t="str">
            <v>1;48;CP;B;DOCS</v>
          </cell>
          <cell r="B3208">
            <v>730069</v>
          </cell>
          <cell r="C3208" t="str">
            <v>CP</v>
          </cell>
          <cell r="D3208" t="str">
            <v>CANARIAS PORTUGAL</v>
          </cell>
          <cell r="E3208" t="str">
            <v>48</v>
          </cell>
          <cell r="F3208" t="str">
            <v>DOCS</v>
          </cell>
          <cell r="G3208" t="str">
            <v>B</v>
          </cell>
          <cell r="H3208">
            <v>10.19</v>
          </cell>
        </row>
        <row r="3209">
          <cell r="A3209" t="str">
            <v>1;48;CP;B;PAQ00a02</v>
          </cell>
          <cell r="B3209">
            <v>730069</v>
          </cell>
          <cell r="C3209" t="str">
            <v>CP</v>
          </cell>
          <cell r="D3209" t="str">
            <v>CANARIAS PORTUGAL</v>
          </cell>
          <cell r="E3209" t="str">
            <v>48</v>
          </cell>
          <cell r="F3209" t="str">
            <v>PAQ00a02</v>
          </cell>
          <cell r="G3209" t="str">
            <v>B</v>
          </cell>
          <cell r="H3209">
            <v>23.05</v>
          </cell>
        </row>
        <row r="3210">
          <cell r="A3210" t="str">
            <v>1;48;CP;B;PAQ02a04</v>
          </cell>
          <cell r="B3210">
            <v>730069</v>
          </cell>
          <cell r="C3210" t="str">
            <v>CP</v>
          </cell>
          <cell r="D3210" t="str">
            <v>CANARIAS PORTUGAL</v>
          </cell>
          <cell r="E3210" t="str">
            <v>48</v>
          </cell>
          <cell r="F3210" t="str">
            <v>PAQ02a04</v>
          </cell>
          <cell r="G3210" t="str">
            <v>B</v>
          </cell>
          <cell r="H3210">
            <v>37.700000000000003</v>
          </cell>
        </row>
        <row r="3211">
          <cell r="A3211" t="str">
            <v>1;48;CP;B;PAQ04a06</v>
          </cell>
          <cell r="B3211">
            <v>730069</v>
          </cell>
          <cell r="C3211" t="str">
            <v>CP</v>
          </cell>
          <cell r="D3211" t="str">
            <v>CANARIAS PORTUGAL</v>
          </cell>
          <cell r="E3211" t="str">
            <v>48</v>
          </cell>
          <cell r="F3211" t="str">
            <v>PAQ04a06</v>
          </cell>
          <cell r="G3211" t="str">
            <v>B</v>
          </cell>
          <cell r="H3211">
            <v>49.93</v>
          </cell>
        </row>
        <row r="3212">
          <cell r="A3212" t="str">
            <v>1;48;CP;B;PAQ06a08</v>
          </cell>
          <cell r="B3212">
            <v>730069</v>
          </cell>
          <cell r="C3212" t="str">
            <v>CP</v>
          </cell>
          <cell r="D3212" t="str">
            <v>CANARIAS PORTUGAL</v>
          </cell>
          <cell r="E3212" t="str">
            <v>48</v>
          </cell>
          <cell r="F3212" t="str">
            <v>PAQ06a08</v>
          </cell>
          <cell r="G3212" t="str">
            <v>B</v>
          </cell>
          <cell r="H3212">
            <v>62.17</v>
          </cell>
        </row>
        <row r="3213">
          <cell r="A3213" t="str">
            <v>1;48;CP;B;PAQ08a10</v>
          </cell>
          <cell r="B3213">
            <v>730069</v>
          </cell>
          <cell r="C3213" t="str">
            <v>CP</v>
          </cell>
          <cell r="D3213" t="str">
            <v>CANARIAS PORTUGAL</v>
          </cell>
          <cell r="E3213" t="str">
            <v>48</v>
          </cell>
          <cell r="F3213" t="str">
            <v>PAQ08a10</v>
          </cell>
          <cell r="G3213" t="str">
            <v>B</v>
          </cell>
          <cell r="H3213">
            <v>74.400000000000006</v>
          </cell>
        </row>
        <row r="3214">
          <cell r="A3214" t="str">
            <v>1;48;CP;B;PAQ10a12</v>
          </cell>
          <cell r="B3214">
            <v>730069</v>
          </cell>
          <cell r="C3214" t="str">
            <v>CP</v>
          </cell>
          <cell r="D3214" t="str">
            <v>CANARIAS PORTUGAL</v>
          </cell>
          <cell r="E3214" t="str">
            <v>48</v>
          </cell>
          <cell r="F3214" t="str">
            <v>PAQ10a12</v>
          </cell>
          <cell r="G3214" t="str">
            <v>B</v>
          </cell>
          <cell r="H3214">
            <v>86.65</v>
          </cell>
        </row>
        <row r="3215">
          <cell r="A3215" t="str">
            <v>1;48;CP;B;PAQ12a14</v>
          </cell>
          <cell r="B3215">
            <v>730069</v>
          </cell>
          <cell r="C3215" t="str">
            <v>CP</v>
          </cell>
          <cell r="D3215" t="str">
            <v>CANARIAS PORTUGAL</v>
          </cell>
          <cell r="E3215" t="str">
            <v>48</v>
          </cell>
          <cell r="F3215" t="str">
            <v>PAQ12a14</v>
          </cell>
          <cell r="G3215" t="str">
            <v>B</v>
          </cell>
          <cell r="H3215">
            <v>98.88</v>
          </cell>
        </row>
        <row r="3216">
          <cell r="A3216" t="str">
            <v>1;48;CP;B;PAQ14a16</v>
          </cell>
          <cell r="B3216">
            <v>730069</v>
          </cell>
          <cell r="C3216" t="str">
            <v>CP</v>
          </cell>
          <cell r="D3216" t="str">
            <v>CANARIAS PORTUGAL</v>
          </cell>
          <cell r="E3216" t="str">
            <v>48</v>
          </cell>
          <cell r="F3216" t="str">
            <v>PAQ14a16</v>
          </cell>
          <cell r="G3216" t="str">
            <v>B</v>
          </cell>
          <cell r="H3216">
            <v>111.12</v>
          </cell>
        </row>
        <row r="3217">
          <cell r="A3217" t="str">
            <v>1;48;CP;B;PAQ16a18</v>
          </cell>
          <cell r="B3217">
            <v>730069</v>
          </cell>
          <cell r="C3217" t="str">
            <v>CP</v>
          </cell>
          <cell r="D3217" t="str">
            <v>CANARIAS PORTUGAL</v>
          </cell>
          <cell r="E3217" t="str">
            <v>48</v>
          </cell>
          <cell r="F3217" t="str">
            <v>PAQ16a18</v>
          </cell>
          <cell r="G3217" t="str">
            <v>B</v>
          </cell>
          <cell r="H3217">
            <v>123.35</v>
          </cell>
        </row>
        <row r="3218">
          <cell r="A3218" t="str">
            <v>1;48;CP;B;PAQ18a20</v>
          </cell>
          <cell r="B3218">
            <v>730069</v>
          </cell>
          <cell r="C3218" t="str">
            <v>CP</v>
          </cell>
          <cell r="D3218" t="str">
            <v>CANARIAS PORTUGAL</v>
          </cell>
          <cell r="E3218" t="str">
            <v>48</v>
          </cell>
          <cell r="F3218" t="str">
            <v>PAQ18a20</v>
          </cell>
          <cell r="G3218" t="str">
            <v>B</v>
          </cell>
          <cell r="H3218">
            <v>135.6</v>
          </cell>
        </row>
        <row r="3219">
          <cell r="A3219" t="str">
            <v>1;48;CP;B;PAQ20a22</v>
          </cell>
          <cell r="B3219">
            <v>730069</v>
          </cell>
          <cell r="C3219" t="str">
            <v>CP</v>
          </cell>
          <cell r="D3219" t="str">
            <v>CANARIAS PORTUGAL</v>
          </cell>
          <cell r="E3219" t="str">
            <v>48</v>
          </cell>
          <cell r="F3219" t="str">
            <v>PAQ20a22</v>
          </cell>
          <cell r="G3219" t="str">
            <v>B</v>
          </cell>
          <cell r="H3219">
            <v>147.83000000000001</v>
          </cell>
        </row>
        <row r="3220">
          <cell r="A3220" t="str">
            <v>1;48;CP;B;PAQ22a24</v>
          </cell>
          <cell r="B3220">
            <v>730069</v>
          </cell>
          <cell r="C3220" t="str">
            <v>CP</v>
          </cell>
          <cell r="D3220" t="str">
            <v>CANARIAS PORTUGAL</v>
          </cell>
          <cell r="E3220" t="str">
            <v>48</v>
          </cell>
          <cell r="F3220" t="str">
            <v>PAQ22a24</v>
          </cell>
          <cell r="G3220" t="str">
            <v>B</v>
          </cell>
          <cell r="H3220">
            <v>160.07</v>
          </cell>
        </row>
        <row r="3221">
          <cell r="A3221" t="str">
            <v>1;48;CP;B;PAQ24a26</v>
          </cell>
          <cell r="B3221">
            <v>730069</v>
          </cell>
          <cell r="C3221" t="str">
            <v>CP</v>
          </cell>
          <cell r="D3221" t="str">
            <v>CANARIAS PORTUGAL</v>
          </cell>
          <cell r="E3221" t="str">
            <v>48</v>
          </cell>
          <cell r="F3221" t="str">
            <v>PAQ24a26</v>
          </cell>
          <cell r="G3221" t="str">
            <v>B</v>
          </cell>
          <cell r="H3221">
            <v>172.31</v>
          </cell>
        </row>
        <row r="3222">
          <cell r="A3222" t="str">
            <v>1;48;CP;B;PAQ26a28</v>
          </cell>
          <cell r="B3222">
            <v>730069</v>
          </cell>
          <cell r="C3222" t="str">
            <v>CP</v>
          </cell>
          <cell r="D3222" t="str">
            <v>CANARIAS PORTUGAL</v>
          </cell>
          <cell r="E3222" t="str">
            <v>48</v>
          </cell>
          <cell r="F3222" t="str">
            <v>PAQ26a28</v>
          </cell>
          <cell r="G3222" t="str">
            <v>B</v>
          </cell>
          <cell r="H3222">
            <v>184.55</v>
          </cell>
        </row>
        <row r="3223">
          <cell r="A3223" t="str">
            <v>1;48;CP;B;PAQ28a30</v>
          </cell>
          <cell r="B3223">
            <v>730069</v>
          </cell>
          <cell r="C3223" t="str">
            <v>CP</v>
          </cell>
          <cell r="D3223" t="str">
            <v>CANARIAS PORTUGAL</v>
          </cell>
          <cell r="E3223" t="str">
            <v>48</v>
          </cell>
          <cell r="F3223" t="str">
            <v>PAQ28a30</v>
          </cell>
          <cell r="G3223" t="str">
            <v>B</v>
          </cell>
          <cell r="H3223">
            <v>196.78</v>
          </cell>
        </row>
        <row r="3224">
          <cell r="A3224" t="str">
            <v>1;48;CP;B;PAQ30a32</v>
          </cell>
          <cell r="B3224">
            <v>730069</v>
          </cell>
          <cell r="C3224" t="str">
            <v>CP</v>
          </cell>
          <cell r="D3224" t="str">
            <v>CANARIAS PORTUGAL</v>
          </cell>
          <cell r="E3224" t="str">
            <v>48</v>
          </cell>
          <cell r="F3224" t="str">
            <v>PAQ30a32</v>
          </cell>
          <cell r="G3224" t="str">
            <v>B</v>
          </cell>
          <cell r="H3224">
            <v>209.02</v>
          </cell>
        </row>
        <row r="3225">
          <cell r="A3225" t="str">
            <v>1;48;CP;B;PAQ32a34</v>
          </cell>
          <cell r="B3225">
            <v>730069</v>
          </cell>
          <cell r="C3225" t="str">
            <v>CP</v>
          </cell>
          <cell r="D3225" t="str">
            <v>CANARIAS PORTUGAL</v>
          </cell>
          <cell r="E3225" t="str">
            <v>48</v>
          </cell>
          <cell r="F3225" t="str">
            <v>PAQ32a34</v>
          </cell>
          <cell r="G3225" t="str">
            <v>B</v>
          </cell>
          <cell r="H3225">
            <v>221.26</v>
          </cell>
        </row>
        <row r="3226">
          <cell r="A3226" t="str">
            <v>1;48;CP;B;PAQ34a36</v>
          </cell>
          <cell r="B3226">
            <v>730069</v>
          </cell>
          <cell r="C3226" t="str">
            <v>CP</v>
          </cell>
          <cell r="D3226" t="str">
            <v>CANARIAS PORTUGAL</v>
          </cell>
          <cell r="E3226" t="str">
            <v>48</v>
          </cell>
          <cell r="F3226" t="str">
            <v>PAQ34a36</v>
          </cell>
          <cell r="G3226" t="str">
            <v>B</v>
          </cell>
          <cell r="H3226">
            <v>233.5</v>
          </cell>
        </row>
        <row r="3227">
          <cell r="A3227" t="str">
            <v>1;48;CP;B;PAQ36a38</v>
          </cell>
          <cell r="B3227">
            <v>730069</v>
          </cell>
          <cell r="C3227" t="str">
            <v>CP</v>
          </cell>
          <cell r="D3227" t="str">
            <v>CANARIAS PORTUGAL</v>
          </cell>
          <cell r="E3227" t="str">
            <v>48</v>
          </cell>
          <cell r="F3227" t="str">
            <v>PAQ36a38</v>
          </cell>
          <cell r="G3227" t="str">
            <v>B</v>
          </cell>
          <cell r="H3227">
            <v>245.73</v>
          </cell>
        </row>
        <row r="3228">
          <cell r="A3228" t="str">
            <v>1;48;CP;B;PAQ38a40</v>
          </cell>
          <cell r="B3228">
            <v>730069</v>
          </cell>
          <cell r="C3228" t="str">
            <v>CP</v>
          </cell>
          <cell r="D3228" t="str">
            <v>CANARIAS PORTUGAL</v>
          </cell>
          <cell r="E3228" t="str">
            <v>48</v>
          </cell>
          <cell r="F3228" t="str">
            <v>PAQ38a40</v>
          </cell>
          <cell r="G3228" t="str">
            <v>B</v>
          </cell>
          <cell r="H3228">
            <v>257.97000000000003</v>
          </cell>
        </row>
        <row r="3229">
          <cell r="A3229" t="str">
            <v>1;48;CP;F;</v>
          </cell>
          <cell r="B3229">
            <v>730069</v>
          </cell>
          <cell r="C3229" t="str">
            <v>CP</v>
          </cell>
          <cell r="D3229" t="str">
            <v>CANARIAS PORTUGAL</v>
          </cell>
          <cell r="E3229" t="str">
            <v>48</v>
          </cell>
          <cell r="F3229" t="str">
            <v/>
          </cell>
          <cell r="G3229" t="str">
            <v>F</v>
          </cell>
          <cell r="H3229">
            <v>12.24</v>
          </cell>
        </row>
        <row r="3230">
          <cell r="A3230" t="str">
            <v>1;48;CP;E;</v>
          </cell>
          <cell r="B3230">
            <v>730069</v>
          </cell>
          <cell r="C3230" t="str">
            <v>CP</v>
          </cell>
          <cell r="D3230" t="str">
            <v>CANARIAS PORTUGAL</v>
          </cell>
          <cell r="E3230" t="str">
            <v>48</v>
          </cell>
          <cell r="F3230" t="str">
            <v/>
          </cell>
          <cell r="G3230" t="str">
            <v>E</v>
          </cell>
          <cell r="H3230">
            <v>0</v>
          </cell>
        </row>
        <row r="3231">
          <cell r="A3231" t="str">
            <v>1;48;CP;P;</v>
          </cell>
          <cell r="B3231">
            <v>730069</v>
          </cell>
          <cell r="C3231" t="str">
            <v>CP</v>
          </cell>
          <cell r="D3231" t="str">
            <v>CANARIAS PORTUGAL</v>
          </cell>
          <cell r="E3231" t="str">
            <v>48</v>
          </cell>
          <cell r="F3231" t="str">
            <v/>
          </cell>
          <cell r="G3231" t="str">
            <v>P</v>
          </cell>
          <cell r="H3231">
            <v>0</v>
          </cell>
        </row>
        <row r="3232">
          <cell r="A3232" t="str">
            <v>1;64;CP;B;BAG</v>
          </cell>
          <cell r="B3232">
            <v>730069</v>
          </cell>
          <cell r="C3232" t="str">
            <v>CP</v>
          </cell>
          <cell r="D3232" t="str">
            <v>CANARIAS PORTUGAL</v>
          </cell>
          <cell r="E3232" t="str">
            <v>64</v>
          </cell>
          <cell r="F3232" t="str">
            <v>BAG</v>
          </cell>
          <cell r="G3232" t="str">
            <v>B</v>
          </cell>
          <cell r="H3232">
            <v>23.05</v>
          </cell>
        </row>
        <row r="3233">
          <cell r="A3233" t="str">
            <v>1;64;CP;B;PAQ00a02</v>
          </cell>
          <cell r="B3233">
            <v>730069</v>
          </cell>
          <cell r="C3233" t="str">
            <v>CP</v>
          </cell>
          <cell r="D3233" t="str">
            <v>CANARIAS PORTUGAL</v>
          </cell>
          <cell r="E3233" t="str">
            <v>64</v>
          </cell>
          <cell r="F3233" t="str">
            <v>PAQ00a02</v>
          </cell>
          <cell r="G3233" t="str">
            <v>B</v>
          </cell>
          <cell r="H3233">
            <v>26.65</v>
          </cell>
        </row>
        <row r="3234">
          <cell r="A3234" t="str">
            <v>1;64;CP;B;PAQ02a04</v>
          </cell>
          <cell r="B3234">
            <v>730069</v>
          </cell>
          <cell r="C3234" t="str">
            <v>CP</v>
          </cell>
          <cell r="D3234" t="str">
            <v>CANARIAS PORTUGAL</v>
          </cell>
          <cell r="E3234" t="str">
            <v>64</v>
          </cell>
          <cell r="F3234" t="str">
            <v>PAQ02a04</v>
          </cell>
          <cell r="G3234" t="str">
            <v>B</v>
          </cell>
          <cell r="H3234">
            <v>43.5</v>
          </cell>
        </row>
        <row r="3235">
          <cell r="A3235" t="str">
            <v>1;64;CP;B;PAQ04a06</v>
          </cell>
          <cell r="B3235">
            <v>730069</v>
          </cell>
          <cell r="C3235" t="str">
            <v>CP</v>
          </cell>
          <cell r="D3235" t="str">
            <v>CANARIAS PORTUGAL</v>
          </cell>
          <cell r="E3235" t="str">
            <v>64</v>
          </cell>
          <cell r="F3235" t="str">
            <v>PAQ04a06</v>
          </cell>
          <cell r="G3235" t="str">
            <v>B</v>
          </cell>
          <cell r="H3235">
            <v>63.51</v>
          </cell>
        </row>
        <row r="3236">
          <cell r="A3236" t="str">
            <v>1;64;CP;B;PAQ06a08</v>
          </cell>
          <cell r="B3236">
            <v>730069</v>
          </cell>
          <cell r="C3236" t="str">
            <v>CP</v>
          </cell>
          <cell r="D3236" t="str">
            <v>CANARIAS PORTUGAL</v>
          </cell>
          <cell r="E3236" t="str">
            <v>64</v>
          </cell>
          <cell r="F3236" t="str">
            <v>PAQ06a08</v>
          </cell>
          <cell r="G3236" t="str">
            <v>B</v>
          </cell>
          <cell r="H3236">
            <v>83.53</v>
          </cell>
        </row>
        <row r="3237">
          <cell r="A3237" t="str">
            <v>1;64;CP;B;PAQ08a10</v>
          </cell>
          <cell r="B3237">
            <v>730069</v>
          </cell>
          <cell r="C3237" t="str">
            <v>CP</v>
          </cell>
          <cell r="D3237" t="str">
            <v>CANARIAS PORTUGAL</v>
          </cell>
          <cell r="E3237" t="str">
            <v>64</v>
          </cell>
          <cell r="F3237" t="str">
            <v>PAQ08a10</v>
          </cell>
          <cell r="G3237" t="str">
            <v>B</v>
          </cell>
          <cell r="H3237">
            <v>103.54</v>
          </cell>
        </row>
        <row r="3238">
          <cell r="A3238" t="str">
            <v>1;64;CP;B;PAQ10a12</v>
          </cell>
          <cell r="B3238">
            <v>730069</v>
          </cell>
          <cell r="C3238" t="str">
            <v>CP</v>
          </cell>
          <cell r="D3238" t="str">
            <v>CANARIAS PORTUGAL</v>
          </cell>
          <cell r="E3238" t="str">
            <v>64</v>
          </cell>
          <cell r="F3238" t="str">
            <v>PAQ10a12</v>
          </cell>
          <cell r="G3238" t="str">
            <v>B</v>
          </cell>
          <cell r="H3238">
            <v>123.54</v>
          </cell>
        </row>
        <row r="3239">
          <cell r="A3239" t="str">
            <v>1;64;CP;B;PAQ12a14</v>
          </cell>
          <cell r="B3239">
            <v>730069</v>
          </cell>
          <cell r="C3239" t="str">
            <v>CP</v>
          </cell>
          <cell r="D3239" t="str">
            <v>CANARIAS PORTUGAL</v>
          </cell>
          <cell r="E3239" t="str">
            <v>64</v>
          </cell>
          <cell r="F3239" t="str">
            <v>PAQ12a14</v>
          </cell>
          <cell r="G3239" t="str">
            <v>B</v>
          </cell>
          <cell r="H3239">
            <v>143.56</v>
          </cell>
        </row>
        <row r="3240">
          <cell r="A3240" t="str">
            <v>1;64;CP;B;PAQ14a16</v>
          </cell>
          <cell r="B3240">
            <v>730069</v>
          </cell>
          <cell r="C3240" t="str">
            <v>CP</v>
          </cell>
          <cell r="D3240" t="str">
            <v>CANARIAS PORTUGAL</v>
          </cell>
          <cell r="E3240" t="str">
            <v>64</v>
          </cell>
          <cell r="F3240" t="str">
            <v>PAQ14a16</v>
          </cell>
          <cell r="G3240" t="str">
            <v>B</v>
          </cell>
          <cell r="H3240">
            <v>163.57</v>
          </cell>
        </row>
        <row r="3241">
          <cell r="A3241" t="str">
            <v>1;64;CP;B;PAQ16a18</v>
          </cell>
          <cell r="B3241">
            <v>730069</v>
          </cell>
          <cell r="C3241" t="str">
            <v>CP</v>
          </cell>
          <cell r="D3241" t="str">
            <v>CANARIAS PORTUGAL</v>
          </cell>
          <cell r="E3241" t="str">
            <v>64</v>
          </cell>
          <cell r="F3241" t="str">
            <v>PAQ16a18</v>
          </cell>
          <cell r="G3241" t="str">
            <v>B</v>
          </cell>
          <cell r="H3241">
            <v>183.58</v>
          </cell>
        </row>
        <row r="3242">
          <cell r="A3242" t="str">
            <v>1;64;CP;B;PAQ18a20</v>
          </cell>
          <cell r="B3242">
            <v>730069</v>
          </cell>
          <cell r="C3242" t="str">
            <v>CP</v>
          </cell>
          <cell r="D3242" t="str">
            <v>CANARIAS PORTUGAL</v>
          </cell>
          <cell r="E3242" t="str">
            <v>64</v>
          </cell>
          <cell r="F3242" t="str">
            <v>PAQ18a20</v>
          </cell>
          <cell r="G3242" t="str">
            <v>B</v>
          </cell>
          <cell r="H3242">
            <v>203.58</v>
          </cell>
        </row>
        <row r="3243">
          <cell r="A3243" t="str">
            <v>1;64;CP;B;PAQ20a22</v>
          </cell>
          <cell r="B3243">
            <v>730069</v>
          </cell>
          <cell r="C3243" t="str">
            <v>CP</v>
          </cell>
          <cell r="D3243" t="str">
            <v>CANARIAS PORTUGAL</v>
          </cell>
          <cell r="E3243" t="str">
            <v>64</v>
          </cell>
          <cell r="F3243" t="str">
            <v>PAQ20a22</v>
          </cell>
          <cell r="G3243" t="str">
            <v>B</v>
          </cell>
          <cell r="H3243">
            <v>223.6</v>
          </cell>
        </row>
        <row r="3244">
          <cell r="A3244" t="str">
            <v>1;64;CP;B;PAQ22a24</v>
          </cell>
          <cell r="B3244">
            <v>730069</v>
          </cell>
          <cell r="C3244" t="str">
            <v>CP</v>
          </cell>
          <cell r="D3244" t="str">
            <v>CANARIAS PORTUGAL</v>
          </cell>
          <cell r="E3244" t="str">
            <v>64</v>
          </cell>
          <cell r="F3244" t="str">
            <v>PAQ22a24</v>
          </cell>
          <cell r="G3244" t="str">
            <v>B</v>
          </cell>
          <cell r="H3244">
            <v>243.61</v>
          </cell>
        </row>
        <row r="3245">
          <cell r="A3245" t="str">
            <v>1;64;CP;B;PAQ24a26</v>
          </cell>
          <cell r="B3245">
            <v>730069</v>
          </cell>
          <cell r="C3245" t="str">
            <v>CP</v>
          </cell>
          <cell r="D3245" t="str">
            <v>CANARIAS PORTUGAL</v>
          </cell>
          <cell r="E3245" t="str">
            <v>64</v>
          </cell>
          <cell r="F3245" t="str">
            <v>PAQ24a26</v>
          </cell>
          <cell r="G3245" t="str">
            <v>B</v>
          </cell>
          <cell r="H3245">
            <v>263.62</v>
          </cell>
        </row>
        <row r="3246">
          <cell r="A3246" t="str">
            <v>1;64;CP;B;PAQ26a28</v>
          </cell>
          <cell r="B3246">
            <v>730069</v>
          </cell>
          <cell r="C3246" t="str">
            <v>CP</v>
          </cell>
          <cell r="D3246" t="str">
            <v>CANARIAS PORTUGAL</v>
          </cell>
          <cell r="E3246" t="str">
            <v>64</v>
          </cell>
          <cell r="F3246" t="str">
            <v>PAQ26a28</v>
          </cell>
          <cell r="G3246" t="str">
            <v>B</v>
          </cell>
          <cell r="H3246">
            <v>283.63</v>
          </cell>
        </row>
        <row r="3247">
          <cell r="A3247" t="str">
            <v>1;64;CP;B;PAQ28a30</v>
          </cell>
          <cell r="B3247">
            <v>730069</v>
          </cell>
          <cell r="C3247" t="str">
            <v>CP</v>
          </cell>
          <cell r="D3247" t="str">
            <v>CANARIAS PORTUGAL</v>
          </cell>
          <cell r="E3247" t="str">
            <v>64</v>
          </cell>
          <cell r="F3247" t="str">
            <v>PAQ28a30</v>
          </cell>
          <cell r="G3247" t="str">
            <v>B</v>
          </cell>
          <cell r="H3247">
            <v>303.64</v>
          </cell>
        </row>
        <row r="3248">
          <cell r="A3248" t="str">
            <v>1;64;CP;B;PAQ30a32</v>
          </cell>
          <cell r="B3248">
            <v>730069</v>
          </cell>
          <cell r="C3248" t="str">
            <v>CP</v>
          </cell>
          <cell r="D3248" t="str">
            <v>CANARIAS PORTUGAL</v>
          </cell>
          <cell r="E3248" t="str">
            <v>64</v>
          </cell>
          <cell r="F3248" t="str">
            <v>PAQ30a32</v>
          </cell>
          <cell r="G3248" t="str">
            <v>B</v>
          </cell>
          <cell r="H3248">
            <v>323.64999999999998</v>
          </cell>
        </row>
        <row r="3249">
          <cell r="A3249" t="str">
            <v>1;64;CP;B;PAQ32a34</v>
          </cell>
          <cell r="B3249">
            <v>730069</v>
          </cell>
          <cell r="C3249" t="str">
            <v>CP</v>
          </cell>
          <cell r="D3249" t="str">
            <v>CANARIAS PORTUGAL</v>
          </cell>
          <cell r="E3249" t="str">
            <v>64</v>
          </cell>
          <cell r="F3249" t="str">
            <v>PAQ32a34</v>
          </cell>
          <cell r="G3249" t="str">
            <v>B</v>
          </cell>
          <cell r="H3249">
            <v>343.67</v>
          </cell>
        </row>
        <row r="3250">
          <cell r="A3250" t="str">
            <v>1;64;CP;B;PAQ34a36</v>
          </cell>
          <cell r="B3250">
            <v>730069</v>
          </cell>
          <cell r="C3250" t="str">
            <v>CP</v>
          </cell>
          <cell r="D3250" t="str">
            <v>CANARIAS PORTUGAL</v>
          </cell>
          <cell r="E3250" t="str">
            <v>64</v>
          </cell>
          <cell r="F3250" t="str">
            <v>PAQ34a36</v>
          </cell>
          <cell r="G3250" t="str">
            <v>B</v>
          </cell>
          <cell r="H3250">
            <v>363.67</v>
          </cell>
        </row>
        <row r="3251">
          <cell r="A3251" t="str">
            <v>1;64;CP;B;PAQ36a38</v>
          </cell>
          <cell r="B3251">
            <v>730069</v>
          </cell>
          <cell r="C3251" t="str">
            <v>CP</v>
          </cell>
          <cell r="D3251" t="str">
            <v>CANARIAS PORTUGAL</v>
          </cell>
          <cell r="E3251" t="str">
            <v>64</v>
          </cell>
          <cell r="F3251" t="str">
            <v>PAQ36a38</v>
          </cell>
          <cell r="G3251" t="str">
            <v>B</v>
          </cell>
          <cell r="H3251">
            <v>383.68</v>
          </cell>
        </row>
        <row r="3252">
          <cell r="A3252" t="str">
            <v>1;64;CP;F;</v>
          </cell>
          <cell r="B3252">
            <v>730069</v>
          </cell>
          <cell r="C3252" t="str">
            <v>CP</v>
          </cell>
          <cell r="D3252" t="str">
            <v>CANARIAS PORTUGAL</v>
          </cell>
          <cell r="E3252" t="str">
            <v>64</v>
          </cell>
          <cell r="F3252" t="str">
            <v/>
          </cell>
          <cell r="G3252" t="str">
            <v>F</v>
          </cell>
          <cell r="H3252">
            <v>20.010000000000002</v>
          </cell>
        </row>
        <row r="3253">
          <cell r="A3253" t="str">
            <v>1;64;CP;B;PAQ38a40</v>
          </cell>
          <cell r="B3253">
            <v>730069</v>
          </cell>
          <cell r="C3253" t="str">
            <v>CP</v>
          </cell>
          <cell r="D3253" t="str">
            <v>CANARIAS PORTUGAL</v>
          </cell>
          <cell r="E3253" t="str">
            <v>64</v>
          </cell>
          <cell r="F3253" t="str">
            <v>PAQ38a40</v>
          </cell>
          <cell r="G3253" t="str">
            <v>B</v>
          </cell>
          <cell r="H3253">
            <v>403.69</v>
          </cell>
        </row>
        <row r="3254">
          <cell r="A3254" t="str">
            <v>1;64;CP;P;</v>
          </cell>
          <cell r="B3254">
            <v>730069</v>
          </cell>
          <cell r="C3254" t="str">
            <v>CP</v>
          </cell>
          <cell r="D3254" t="str">
            <v>CANARIAS PORTUGAL</v>
          </cell>
          <cell r="E3254" t="str">
            <v>64</v>
          </cell>
          <cell r="F3254" t="str">
            <v/>
          </cell>
          <cell r="G3254" t="str">
            <v>P</v>
          </cell>
          <cell r="H3254">
            <v>0</v>
          </cell>
        </row>
        <row r="3255">
          <cell r="A3255" t="str">
            <v>1;64;CP;E;</v>
          </cell>
          <cell r="B3255">
            <v>730069</v>
          </cell>
          <cell r="C3255" t="str">
            <v>CP</v>
          </cell>
          <cell r="D3255" t="str">
            <v>CANARIAS PORTUGAL</v>
          </cell>
          <cell r="E3255" t="str">
            <v>64</v>
          </cell>
          <cell r="F3255" t="str">
            <v/>
          </cell>
          <cell r="G3255" t="str">
            <v>E</v>
          </cell>
          <cell r="H3255">
            <v>0</v>
          </cell>
        </row>
        <row r="3256">
          <cell r="A3256" t="str">
            <v>1;74;C1;B;96M 15-25</v>
          </cell>
          <cell r="B3256">
            <v>730069</v>
          </cell>
          <cell r="C3256" t="str">
            <v>C1</v>
          </cell>
          <cell r="D3256" t="str">
            <v>CANARIAS AÉREO 1</v>
          </cell>
          <cell r="E3256" t="str">
            <v>74</v>
          </cell>
          <cell r="F3256" t="str">
            <v>96M 15-25</v>
          </cell>
          <cell r="G3256" t="str">
            <v>B</v>
          </cell>
          <cell r="H3256">
            <v>269.89999999999998</v>
          </cell>
        </row>
        <row r="3257">
          <cell r="A3257" t="str">
            <v>1;74;C1;B;96MED</v>
          </cell>
          <cell r="B3257">
            <v>730069</v>
          </cell>
          <cell r="C3257" t="str">
            <v>C1</v>
          </cell>
          <cell r="D3257" t="str">
            <v>CANARIAS AÉREO 1</v>
          </cell>
          <cell r="E3257" t="str">
            <v>74</v>
          </cell>
          <cell r="F3257" t="str">
            <v>96MED</v>
          </cell>
          <cell r="G3257" t="str">
            <v>B</v>
          </cell>
          <cell r="H3257">
            <v>233.86</v>
          </cell>
        </row>
        <row r="3258">
          <cell r="A3258" t="str">
            <v>1;74;C1;B;96S 15-25</v>
          </cell>
          <cell r="B3258">
            <v>730069</v>
          </cell>
          <cell r="C3258" t="str">
            <v>C1</v>
          </cell>
          <cell r="D3258" t="str">
            <v>CANARIAS AÉREO 1</v>
          </cell>
          <cell r="E3258" t="str">
            <v>74</v>
          </cell>
          <cell r="F3258" t="str">
            <v>96S 15-25</v>
          </cell>
          <cell r="G3258" t="str">
            <v>B</v>
          </cell>
          <cell r="H3258">
            <v>190.89</v>
          </cell>
        </row>
        <row r="3259">
          <cell r="A3259" t="str">
            <v>1;74;C1;B;96SMA</v>
          </cell>
          <cell r="B3259">
            <v>730069</v>
          </cell>
          <cell r="C3259" t="str">
            <v>C1</v>
          </cell>
          <cell r="D3259" t="str">
            <v>CANARIAS AÉREO 1</v>
          </cell>
          <cell r="E3259" t="str">
            <v>74</v>
          </cell>
          <cell r="F3259" t="str">
            <v>96SMA</v>
          </cell>
          <cell r="G3259" t="str">
            <v>B</v>
          </cell>
          <cell r="H3259">
            <v>157.22</v>
          </cell>
        </row>
        <row r="3260">
          <cell r="A3260" t="str">
            <v>1;78;C1;B;48L 15-25</v>
          </cell>
          <cell r="B3260">
            <v>730069</v>
          </cell>
          <cell r="C3260" t="str">
            <v>C1</v>
          </cell>
          <cell r="D3260" t="str">
            <v>CANARIAS AÉREO 1</v>
          </cell>
          <cell r="E3260" t="str">
            <v>78</v>
          </cell>
          <cell r="F3260" t="str">
            <v>48L 15-25</v>
          </cell>
          <cell r="G3260" t="str">
            <v>B</v>
          </cell>
          <cell r="H3260">
            <v>5</v>
          </cell>
        </row>
        <row r="3261">
          <cell r="A3261" t="str">
            <v>1;78;C1;B;48LAR</v>
          </cell>
          <cell r="B3261">
            <v>730069</v>
          </cell>
          <cell r="C3261" t="str">
            <v>C1</v>
          </cell>
          <cell r="D3261" t="str">
            <v>CANARIAS AÉREO 1</v>
          </cell>
          <cell r="E3261" t="str">
            <v>78</v>
          </cell>
          <cell r="F3261" t="str">
            <v>48LAR</v>
          </cell>
          <cell r="G3261" t="str">
            <v>B</v>
          </cell>
          <cell r="H3261">
            <v>5</v>
          </cell>
        </row>
        <row r="3262">
          <cell r="A3262" t="str">
            <v>1;78;C1;B;48M 15-25</v>
          </cell>
          <cell r="B3262">
            <v>730069</v>
          </cell>
          <cell r="C3262" t="str">
            <v>C1</v>
          </cell>
          <cell r="D3262" t="str">
            <v>CANARIAS AÉREO 1</v>
          </cell>
          <cell r="E3262" t="str">
            <v>78</v>
          </cell>
          <cell r="F3262" t="str">
            <v>48M 15-25</v>
          </cell>
          <cell r="G3262" t="str">
            <v>B</v>
          </cell>
          <cell r="H3262">
            <v>5</v>
          </cell>
        </row>
        <row r="3263">
          <cell r="A3263" t="str">
            <v>1;78;C1;B;48MED</v>
          </cell>
          <cell r="B3263">
            <v>730069</v>
          </cell>
          <cell r="C3263" t="str">
            <v>C1</v>
          </cell>
          <cell r="D3263" t="str">
            <v>CANARIAS AÉREO 1</v>
          </cell>
          <cell r="E3263" t="str">
            <v>78</v>
          </cell>
          <cell r="F3263" t="str">
            <v>48MED</v>
          </cell>
          <cell r="G3263" t="str">
            <v>B</v>
          </cell>
          <cell r="H3263">
            <v>5</v>
          </cell>
        </row>
        <row r="3264">
          <cell r="A3264" t="str">
            <v>1;78;C1;B;48S 15-25</v>
          </cell>
          <cell r="B3264">
            <v>730069</v>
          </cell>
          <cell r="C3264" t="str">
            <v>C1</v>
          </cell>
          <cell r="D3264" t="str">
            <v>CANARIAS AÉREO 1</v>
          </cell>
          <cell r="E3264" t="str">
            <v>78</v>
          </cell>
          <cell r="F3264" t="str">
            <v>48S 15-25</v>
          </cell>
          <cell r="G3264" t="str">
            <v>B</v>
          </cell>
          <cell r="H3264">
            <v>5</v>
          </cell>
        </row>
        <row r="3265">
          <cell r="A3265" t="str">
            <v>1;78;C1;B;48SMA</v>
          </cell>
          <cell r="B3265">
            <v>730069</v>
          </cell>
          <cell r="C3265" t="str">
            <v>C1</v>
          </cell>
          <cell r="D3265" t="str">
            <v>CANARIAS AÉREO 1</v>
          </cell>
          <cell r="E3265" t="str">
            <v>78</v>
          </cell>
          <cell r="F3265" t="str">
            <v>48SMA</v>
          </cell>
          <cell r="G3265" t="str">
            <v>B</v>
          </cell>
          <cell r="H3265">
            <v>5</v>
          </cell>
        </row>
        <row r="3266">
          <cell r="A3266" t="str">
            <v>1;78;C1;B;96M 15-25</v>
          </cell>
          <cell r="B3266">
            <v>730069</v>
          </cell>
          <cell r="C3266" t="str">
            <v>C1</v>
          </cell>
          <cell r="D3266" t="str">
            <v>CANARIAS AÉREO 1</v>
          </cell>
          <cell r="E3266" t="str">
            <v>78</v>
          </cell>
          <cell r="F3266" t="str">
            <v>96M 15-25</v>
          </cell>
          <cell r="G3266" t="str">
            <v>B</v>
          </cell>
          <cell r="H3266">
            <v>5</v>
          </cell>
        </row>
        <row r="3267">
          <cell r="A3267" t="str">
            <v>1;78;C1;B;96MED</v>
          </cell>
          <cell r="B3267">
            <v>730069</v>
          </cell>
          <cell r="C3267" t="str">
            <v>C1</v>
          </cell>
          <cell r="D3267" t="str">
            <v>CANARIAS AÉREO 1</v>
          </cell>
          <cell r="E3267" t="str">
            <v>78</v>
          </cell>
          <cell r="F3267" t="str">
            <v>96MED</v>
          </cell>
          <cell r="G3267" t="str">
            <v>B</v>
          </cell>
          <cell r="H3267">
            <v>5</v>
          </cell>
        </row>
        <row r="3268">
          <cell r="A3268" t="str">
            <v>1;78;C1;B;96S 15-25</v>
          </cell>
          <cell r="B3268">
            <v>730069</v>
          </cell>
          <cell r="C3268" t="str">
            <v>C1</v>
          </cell>
          <cell r="D3268" t="str">
            <v>CANARIAS AÉREO 1</v>
          </cell>
          <cell r="E3268" t="str">
            <v>78</v>
          </cell>
          <cell r="F3268" t="str">
            <v>96S 15-25</v>
          </cell>
          <cell r="G3268" t="str">
            <v>B</v>
          </cell>
          <cell r="H3268">
            <v>5</v>
          </cell>
        </row>
        <row r="3269">
          <cell r="A3269" t="str">
            <v>1;78;C1;B;96SMA</v>
          </cell>
          <cell r="B3269">
            <v>730069</v>
          </cell>
          <cell r="C3269" t="str">
            <v>C1</v>
          </cell>
          <cell r="D3269" t="str">
            <v>CANARIAS AÉREO 1</v>
          </cell>
          <cell r="E3269" t="str">
            <v>78</v>
          </cell>
          <cell r="F3269" t="str">
            <v>96SMA</v>
          </cell>
          <cell r="G3269" t="str">
            <v>B</v>
          </cell>
          <cell r="H3269">
            <v>5</v>
          </cell>
        </row>
        <row r="3270">
          <cell r="A3270" t="str">
            <v>1;79;C1;B;48L 15-25</v>
          </cell>
          <cell r="B3270">
            <v>730069</v>
          </cell>
          <cell r="C3270" t="str">
            <v>C1</v>
          </cell>
          <cell r="D3270" t="str">
            <v>CANARIAS AÉREO 1</v>
          </cell>
          <cell r="E3270" t="str">
            <v>79</v>
          </cell>
          <cell r="F3270" t="str">
            <v>48L 15-25</v>
          </cell>
          <cell r="G3270" t="str">
            <v>B</v>
          </cell>
          <cell r="H3270">
            <v>0</v>
          </cell>
        </row>
        <row r="3271">
          <cell r="A3271" t="str">
            <v>1;79;C1;B;48LAR</v>
          </cell>
          <cell r="B3271">
            <v>730069</v>
          </cell>
          <cell r="C3271" t="str">
            <v>C1</v>
          </cell>
          <cell r="D3271" t="str">
            <v>CANARIAS AÉREO 1</v>
          </cell>
          <cell r="E3271" t="str">
            <v>79</v>
          </cell>
          <cell r="F3271" t="str">
            <v>48LAR</v>
          </cell>
          <cell r="G3271" t="str">
            <v>B</v>
          </cell>
          <cell r="H3271">
            <v>0</v>
          </cell>
        </row>
        <row r="3272">
          <cell r="A3272" t="str">
            <v>1;79;C1;B;48M 15-25</v>
          </cell>
          <cell r="B3272">
            <v>730069</v>
          </cell>
          <cell r="C3272" t="str">
            <v>C1</v>
          </cell>
          <cell r="D3272" t="str">
            <v>CANARIAS AÉREO 1</v>
          </cell>
          <cell r="E3272" t="str">
            <v>79</v>
          </cell>
          <cell r="F3272" t="str">
            <v>48M 15-25</v>
          </cell>
          <cell r="G3272" t="str">
            <v>B</v>
          </cell>
          <cell r="H3272">
            <v>0</v>
          </cell>
        </row>
        <row r="3273">
          <cell r="A3273" t="str">
            <v>1;79;C1;B;48MED</v>
          </cell>
          <cell r="B3273">
            <v>730069</v>
          </cell>
          <cell r="C3273" t="str">
            <v>C1</v>
          </cell>
          <cell r="D3273" t="str">
            <v>CANARIAS AÉREO 1</v>
          </cell>
          <cell r="E3273" t="str">
            <v>79</v>
          </cell>
          <cell r="F3273" t="str">
            <v>48MED</v>
          </cell>
          <cell r="G3273" t="str">
            <v>B</v>
          </cell>
          <cell r="H3273">
            <v>0</v>
          </cell>
        </row>
        <row r="3274">
          <cell r="A3274" t="str">
            <v>1;79;C1;B;48S 15-25</v>
          </cell>
          <cell r="B3274">
            <v>730069</v>
          </cell>
          <cell r="C3274" t="str">
            <v>C1</v>
          </cell>
          <cell r="D3274" t="str">
            <v>CANARIAS AÉREO 1</v>
          </cell>
          <cell r="E3274" t="str">
            <v>79</v>
          </cell>
          <cell r="F3274" t="str">
            <v>48S 15-25</v>
          </cell>
          <cell r="G3274" t="str">
            <v>B</v>
          </cell>
          <cell r="H3274">
            <v>0</v>
          </cell>
        </row>
        <row r="3275">
          <cell r="A3275" t="str">
            <v>1;79;C1;B;48SMA</v>
          </cell>
          <cell r="B3275">
            <v>730069</v>
          </cell>
          <cell r="C3275" t="str">
            <v>C1</v>
          </cell>
          <cell r="D3275" t="str">
            <v>CANARIAS AÉREO 1</v>
          </cell>
          <cell r="E3275" t="str">
            <v>79</v>
          </cell>
          <cell r="F3275" t="str">
            <v>48SMA</v>
          </cell>
          <cell r="G3275" t="str">
            <v>B</v>
          </cell>
          <cell r="H3275">
            <v>0</v>
          </cell>
        </row>
        <row r="3276">
          <cell r="A3276" t="str">
            <v>1;79;C1;B;96M 15-25</v>
          </cell>
          <cell r="B3276">
            <v>730069</v>
          </cell>
          <cell r="C3276" t="str">
            <v>C1</v>
          </cell>
          <cell r="D3276" t="str">
            <v>CANARIAS AÉREO 1</v>
          </cell>
          <cell r="E3276" t="str">
            <v>79</v>
          </cell>
          <cell r="F3276" t="str">
            <v>96M 15-25</v>
          </cell>
          <cell r="G3276" t="str">
            <v>B</v>
          </cell>
          <cell r="H3276">
            <v>0</v>
          </cell>
        </row>
        <row r="3277">
          <cell r="A3277" t="str">
            <v>1;79;C1;B;96MED</v>
          </cell>
          <cell r="B3277">
            <v>730069</v>
          </cell>
          <cell r="C3277" t="str">
            <v>C1</v>
          </cell>
          <cell r="D3277" t="str">
            <v>CANARIAS AÉREO 1</v>
          </cell>
          <cell r="E3277" t="str">
            <v>79</v>
          </cell>
          <cell r="F3277" t="str">
            <v>96MED</v>
          </cell>
          <cell r="G3277" t="str">
            <v>B</v>
          </cell>
          <cell r="H3277">
            <v>0</v>
          </cell>
        </row>
        <row r="3278">
          <cell r="A3278" t="str">
            <v>1;79;C1;B;96S 15-25</v>
          </cell>
          <cell r="B3278">
            <v>730069</v>
          </cell>
          <cell r="C3278" t="str">
            <v>C1</v>
          </cell>
          <cell r="D3278" t="str">
            <v>CANARIAS AÉREO 1</v>
          </cell>
          <cell r="E3278" t="str">
            <v>79</v>
          </cell>
          <cell r="F3278" t="str">
            <v>96S 15-25</v>
          </cell>
          <cell r="G3278" t="str">
            <v>B</v>
          </cell>
          <cell r="H3278">
            <v>0</v>
          </cell>
        </row>
        <row r="3279">
          <cell r="A3279" t="str">
            <v>1;79;C1;B;96SMA</v>
          </cell>
          <cell r="B3279">
            <v>730069</v>
          </cell>
          <cell r="C3279" t="str">
            <v>C1</v>
          </cell>
          <cell r="D3279" t="str">
            <v>CANARIAS AÉREO 1</v>
          </cell>
          <cell r="E3279" t="str">
            <v>79</v>
          </cell>
          <cell r="F3279" t="str">
            <v>96SMA</v>
          </cell>
          <cell r="G3279" t="str">
            <v>B</v>
          </cell>
          <cell r="H3279">
            <v>0</v>
          </cell>
        </row>
        <row r="3280">
          <cell r="A3280" t="str">
            <v>1;74;C2;B;96M 15-25</v>
          </cell>
          <cell r="B3280">
            <v>730069</v>
          </cell>
          <cell r="C3280" t="str">
            <v>C2</v>
          </cell>
          <cell r="D3280" t="str">
            <v>CANARIAS AÉREO 2</v>
          </cell>
          <cell r="E3280" t="str">
            <v>74</v>
          </cell>
          <cell r="F3280" t="str">
            <v>96M 15-25</v>
          </cell>
          <cell r="G3280" t="str">
            <v>B</v>
          </cell>
          <cell r="H3280">
            <v>309.64999999999998</v>
          </cell>
        </row>
        <row r="3281">
          <cell r="A3281" t="str">
            <v>1;74;C2;B;96MED</v>
          </cell>
          <cell r="B3281">
            <v>730069</v>
          </cell>
          <cell r="C3281" t="str">
            <v>C2</v>
          </cell>
          <cell r="D3281" t="str">
            <v>CANARIAS AÉREO 2</v>
          </cell>
          <cell r="E3281" t="str">
            <v>74</v>
          </cell>
          <cell r="F3281" t="str">
            <v>96MED</v>
          </cell>
          <cell r="G3281" t="str">
            <v>B</v>
          </cell>
          <cell r="H3281">
            <v>274.2</v>
          </cell>
        </row>
        <row r="3282">
          <cell r="A3282" t="str">
            <v>1;74;C2;B;96S 15-25</v>
          </cell>
          <cell r="B3282">
            <v>730069</v>
          </cell>
          <cell r="C3282" t="str">
            <v>C2</v>
          </cell>
          <cell r="D3282" t="str">
            <v>CANARIAS AÉREO 2</v>
          </cell>
          <cell r="E3282" t="str">
            <v>74</v>
          </cell>
          <cell r="F3282" t="str">
            <v>96S 15-25</v>
          </cell>
          <cell r="G3282" t="str">
            <v>B</v>
          </cell>
          <cell r="H3282">
            <v>218.73</v>
          </cell>
        </row>
        <row r="3283">
          <cell r="A3283" t="str">
            <v>1;74;C2;B;96SMA</v>
          </cell>
          <cell r="B3283">
            <v>730069</v>
          </cell>
          <cell r="C3283" t="str">
            <v>C2</v>
          </cell>
          <cell r="D3283" t="str">
            <v>CANARIAS AÉREO 2</v>
          </cell>
          <cell r="E3283" t="str">
            <v>74</v>
          </cell>
          <cell r="F3283" t="str">
            <v>96SMA</v>
          </cell>
          <cell r="G3283" t="str">
            <v>B</v>
          </cell>
          <cell r="H3283">
            <v>182.97</v>
          </cell>
        </row>
        <row r="3284">
          <cell r="A3284" t="str">
            <v>1;78;C2;B;48L 15-25</v>
          </cell>
          <cell r="B3284">
            <v>730069</v>
          </cell>
          <cell r="C3284" t="str">
            <v>C2</v>
          </cell>
          <cell r="D3284" t="str">
            <v>CANARIAS AÉREO 2</v>
          </cell>
          <cell r="E3284" t="str">
            <v>78</v>
          </cell>
          <cell r="F3284" t="str">
            <v>48L 15-25</v>
          </cell>
          <cell r="G3284" t="str">
            <v>B</v>
          </cell>
          <cell r="H3284">
            <v>5</v>
          </cell>
        </row>
        <row r="3285">
          <cell r="A3285" t="str">
            <v>1;78;C2;B;48LAR</v>
          </cell>
          <cell r="B3285">
            <v>730069</v>
          </cell>
          <cell r="C3285" t="str">
            <v>C2</v>
          </cell>
          <cell r="D3285" t="str">
            <v>CANARIAS AÉREO 2</v>
          </cell>
          <cell r="E3285" t="str">
            <v>78</v>
          </cell>
          <cell r="F3285" t="str">
            <v>48LAR</v>
          </cell>
          <cell r="G3285" t="str">
            <v>B</v>
          </cell>
          <cell r="H3285">
            <v>5</v>
          </cell>
        </row>
        <row r="3286">
          <cell r="A3286" t="str">
            <v>1;78;C2;B;48M 15-25</v>
          </cell>
          <cell r="B3286">
            <v>730069</v>
          </cell>
          <cell r="C3286" t="str">
            <v>C2</v>
          </cell>
          <cell r="D3286" t="str">
            <v>CANARIAS AÉREO 2</v>
          </cell>
          <cell r="E3286" t="str">
            <v>78</v>
          </cell>
          <cell r="F3286" t="str">
            <v>48M 15-25</v>
          </cell>
          <cell r="G3286" t="str">
            <v>B</v>
          </cell>
          <cell r="H3286">
            <v>5</v>
          </cell>
        </row>
        <row r="3287">
          <cell r="A3287" t="str">
            <v>1;78;C2;B;48MED</v>
          </cell>
          <cell r="B3287">
            <v>730069</v>
          </cell>
          <cell r="C3287" t="str">
            <v>C2</v>
          </cell>
          <cell r="D3287" t="str">
            <v>CANARIAS AÉREO 2</v>
          </cell>
          <cell r="E3287" t="str">
            <v>78</v>
          </cell>
          <cell r="F3287" t="str">
            <v>48MED</v>
          </cell>
          <cell r="G3287" t="str">
            <v>B</v>
          </cell>
          <cell r="H3287">
            <v>5</v>
          </cell>
        </row>
        <row r="3288">
          <cell r="A3288" t="str">
            <v>1;78;C2;B;48S 15-25</v>
          </cell>
          <cell r="B3288">
            <v>730069</v>
          </cell>
          <cell r="C3288" t="str">
            <v>C2</v>
          </cell>
          <cell r="D3288" t="str">
            <v>CANARIAS AÉREO 2</v>
          </cell>
          <cell r="E3288" t="str">
            <v>78</v>
          </cell>
          <cell r="F3288" t="str">
            <v>48S 15-25</v>
          </cell>
          <cell r="G3288" t="str">
            <v>B</v>
          </cell>
          <cell r="H3288">
            <v>5</v>
          </cell>
        </row>
        <row r="3289">
          <cell r="A3289" t="str">
            <v>1;78;C2;B;48SMA</v>
          </cell>
          <cell r="B3289">
            <v>730069</v>
          </cell>
          <cell r="C3289" t="str">
            <v>C2</v>
          </cell>
          <cell r="D3289" t="str">
            <v>CANARIAS AÉREO 2</v>
          </cell>
          <cell r="E3289" t="str">
            <v>78</v>
          </cell>
          <cell r="F3289" t="str">
            <v>48SMA</v>
          </cell>
          <cell r="G3289" t="str">
            <v>B</v>
          </cell>
          <cell r="H3289">
            <v>5</v>
          </cell>
        </row>
        <row r="3290">
          <cell r="A3290" t="str">
            <v>1;78;C2;B;96M 15-25</v>
          </cell>
          <cell r="B3290">
            <v>730069</v>
          </cell>
          <cell r="C3290" t="str">
            <v>C2</v>
          </cell>
          <cell r="D3290" t="str">
            <v>CANARIAS AÉREO 2</v>
          </cell>
          <cell r="E3290" t="str">
            <v>78</v>
          </cell>
          <cell r="F3290" t="str">
            <v>96M 15-25</v>
          </cell>
          <cell r="G3290" t="str">
            <v>B</v>
          </cell>
          <cell r="H3290">
            <v>5</v>
          </cell>
        </row>
        <row r="3291">
          <cell r="A3291" t="str">
            <v>1;78;C2;B;96MED</v>
          </cell>
          <cell r="B3291">
            <v>730069</v>
          </cell>
          <cell r="C3291" t="str">
            <v>C2</v>
          </cell>
          <cell r="D3291" t="str">
            <v>CANARIAS AÉREO 2</v>
          </cell>
          <cell r="E3291" t="str">
            <v>78</v>
          </cell>
          <cell r="F3291" t="str">
            <v>96MED</v>
          </cell>
          <cell r="G3291" t="str">
            <v>B</v>
          </cell>
          <cell r="H3291">
            <v>5</v>
          </cell>
        </row>
        <row r="3292">
          <cell r="A3292" t="str">
            <v>1;78;C2;B;96S 15-25</v>
          </cell>
          <cell r="B3292">
            <v>730069</v>
          </cell>
          <cell r="C3292" t="str">
            <v>C2</v>
          </cell>
          <cell r="D3292" t="str">
            <v>CANARIAS AÉREO 2</v>
          </cell>
          <cell r="E3292" t="str">
            <v>78</v>
          </cell>
          <cell r="F3292" t="str">
            <v>96S 15-25</v>
          </cell>
          <cell r="G3292" t="str">
            <v>B</v>
          </cell>
          <cell r="H3292">
            <v>5</v>
          </cell>
        </row>
        <row r="3293">
          <cell r="A3293" t="str">
            <v>1;78;C2;B;96SMA</v>
          </cell>
          <cell r="B3293">
            <v>730069</v>
          </cell>
          <cell r="C3293" t="str">
            <v>C2</v>
          </cell>
          <cell r="D3293" t="str">
            <v>CANARIAS AÉREO 2</v>
          </cell>
          <cell r="E3293" t="str">
            <v>78</v>
          </cell>
          <cell r="F3293" t="str">
            <v>96SMA</v>
          </cell>
          <cell r="G3293" t="str">
            <v>B</v>
          </cell>
          <cell r="H3293">
            <v>5</v>
          </cell>
        </row>
        <row r="3294">
          <cell r="A3294" t="str">
            <v>1;79;C2;B;48L 15-25</v>
          </cell>
          <cell r="B3294">
            <v>730069</v>
          </cell>
          <cell r="C3294" t="str">
            <v>C2</v>
          </cell>
          <cell r="D3294" t="str">
            <v>CANARIAS AÉREO 2</v>
          </cell>
          <cell r="E3294" t="str">
            <v>79</v>
          </cell>
          <cell r="F3294" t="str">
            <v>48L 15-25</v>
          </cell>
          <cell r="G3294" t="str">
            <v>B</v>
          </cell>
          <cell r="H3294">
            <v>0</v>
          </cell>
        </row>
        <row r="3295">
          <cell r="A3295" t="str">
            <v>1;79;C2;B;48LAR</v>
          </cell>
          <cell r="B3295">
            <v>730069</v>
          </cell>
          <cell r="C3295" t="str">
            <v>C2</v>
          </cell>
          <cell r="D3295" t="str">
            <v>CANARIAS AÉREO 2</v>
          </cell>
          <cell r="E3295" t="str">
            <v>79</v>
          </cell>
          <cell r="F3295" t="str">
            <v>48LAR</v>
          </cell>
          <cell r="G3295" t="str">
            <v>B</v>
          </cell>
          <cell r="H3295">
            <v>0</v>
          </cell>
        </row>
        <row r="3296">
          <cell r="A3296" t="str">
            <v>1;79;C2;B;48M 15-25</v>
          </cell>
          <cell r="B3296">
            <v>730069</v>
          </cell>
          <cell r="C3296" t="str">
            <v>C2</v>
          </cell>
          <cell r="D3296" t="str">
            <v>CANARIAS AÉREO 2</v>
          </cell>
          <cell r="E3296" t="str">
            <v>79</v>
          </cell>
          <cell r="F3296" t="str">
            <v>48M 15-25</v>
          </cell>
          <cell r="G3296" t="str">
            <v>B</v>
          </cell>
          <cell r="H3296">
            <v>0</v>
          </cell>
        </row>
        <row r="3297">
          <cell r="A3297" t="str">
            <v>1;79;C2;B;48MED</v>
          </cell>
          <cell r="B3297">
            <v>730069</v>
          </cell>
          <cell r="C3297" t="str">
            <v>C2</v>
          </cell>
          <cell r="D3297" t="str">
            <v>CANARIAS AÉREO 2</v>
          </cell>
          <cell r="E3297" t="str">
            <v>79</v>
          </cell>
          <cell r="F3297" t="str">
            <v>48MED</v>
          </cell>
          <cell r="G3297" t="str">
            <v>B</v>
          </cell>
          <cell r="H3297">
            <v>0</v>
          </cell>
        </row>
        <row r="3298">
          <cell r="A3298" t="str">
            <v>1;79;C2;B;48S 15-25</v>
          </cell>
          <cell r="B3298">
            <v>730069</v>
          </cell>
          <cell r="C3298" t="str">
            <v>C2</v>
          </cell>
          <cell r="D3298" t="str">
            <v>CANARIAS AÉREO 2</v>
          </cell>
          <cell r="E3298" t="str">
            <v>79</v>
          </cell>
          <cell r="F3298" t="str">
            <v>48S 15-25</v>
          </cell>
          <cell r="G3298" t="str">
            <v>B</v>
          </cell>
          <cell r="H3298">
            <v>0</v>
          </cell>
        </row>
        <row r="3299">
          <cell r="A3299" t="str">
            <v>1;79;C2;B;48SMA</v>
          </cell>
          <cell r="B3299">
            <v>730069</v>
          </cell>
          <cell r="C3299" t="str">
            <v>C2</v>
          </cell>
          <cell r="D3299" t="str">
            <v>CANARIAS AÉREO 2</v>
          </cell>
          <cell r="E3299" t="str">
            <v>79</v>
          </cell>
          <cell r="F3299" t="str">
            <v>48SMA</v>
          </cell>
          <cell r="G3299" t="str">
            <v>B</v>
          </cell>
          <cell r="H3299">
            <v>0</v>
          </cell>
        </row>
        <row r="3300">
          <cell r="A3300" t="str">
            <v>1;79;C2;B;96M 15-25</v>
          </cell>
          <cell r="B3300">
            <v>730069</v>
          </cell>
          <cell r="C3300" t="str">
            <v>C2</v>
          </cell>
          <cell r="D3300" t="str">
            <v>CANARIAS AÉREO 2</v>
          </cell>
          <cell r="E3300" t="str">
            <v>79</v>
          </cell>
          <cell r="F3300" t="str">
            <v>96M 15-25</v>
          </cell>
          <cell r="G3300" t="str">
            <v>B</v>
          </cell>
          <cell r="H3300">
            <v>0</v>
          </cell>
        </row>
        <row r="3301">
          <cell r="A3301" t="str">
            <v>1;79;C2;B;96MED</v>
          </cell>
          <cell r="B3301">
            <v>730069</v>
          </cell>
          <cell r="C3301" t="str">
            <v>C2</v>
          </cell>
          <cell r="D3301" t="str">
            <v>CANARIAS AÉREO 2</v>
          </cell>
          <cell r="E3301" t="str">
            <v>79</v>
          </cell>
          <cell r="F3301" t="str">
            <v>96MED</v>
          </cell>
          <cell r="G3301" t="str">
            <v>B</v>
          </cell>
          <cell r="H3301">
            <v>0</v>
          </cell>
        </row>
        <row r="3302">
          <cell r="A3302" t="str">
            <v>1;79;C2;B;96S 15-25</v>
          </cell>
          <cell r="B3302">
            <v>730069</v>
          </cell>
          <cell r="C3302" t="str">
            <v>C2</v>
          </cell>
          <cell r="D3302" t="str">
            <v>CANARIAS AÉREO 2</v>
          </cell>
          <cell r="E3302" t="str">
            <v>79</v>
          </cell>
          <cell r="F3302" t="str">
            <v>96S 15-25</v>
          </cell>
          <cell r="G3302" t="str">
            <v>B</v>
          </cell>
          <cell r="H3302">
            <v>0</v>
          </cell>
        </row>
        <row r="3303">
          <cell r="A3303" t="str">
            <v>1;79;C2;B;96SMA</v>
          </cell>
          <cell r="B3303">
            <v>730069</v>
          </cell>
          <cell r="C3303" t="str">
            <v>C2</v>
          </cell>
          <cell r="D3303" t="str">
            <v>CANARIAS AÉREO 2</v>
          </cell>
          <cell r="E3303" t="str">
            <v>79</v>
          </cell>
          <cell r="F3303" t="str">
            <v>96SMA</v>
          </cell>
          <cell r="G3303" t="str">
            <v>B</v>
          </cell>
          <cell r="H3303">
            <v>0</v>
          </cell>
        </row>
        <row r="3304">
          <cell r="A3304" t="str">
            <v>1;E;D;B;BAG</v>
          </cell>
          <cell r="B3304">
            <v>730069</v>
          </cell>
          <cell r="C3304" t="str">
            <v>D</v>
          </cell>
          <cell r="D3304" t="str">
            <v>DISTRITAL</v>
          </cell>
          <cell r="E3304" t="str">
            <v>E</v>
          </cell>
          <cell r="F3304" t="str">
            <v>BAG</v>
          </cell>
          <cell r="G3304" t="str">
            <v>B</v>
          </cell>
          <cell r="H3304">
            <v>0</v>
          </cell>
        </row>
        <row r="3305">
          <cell r="A3305" t="str">
            <v>1;E;D;B;PAQ00a05</v>
          </cell>
          <cell r="B3305">
            <v>730069</v>
          </cell>
          <cell r="C3305" t="str">
            <v>D</v>
          </cell>
          <cell r="D3305" t="str">
            <v>DISTRITAL</v>
          </cell>
          <cell r="E3305" t="str">
            <v>E</v>
          </cell>
          <cell r="F3305" t="str">
            <v>PAQ00a05</v>
          </cell>
          <cell r="G3305" t="str">
            <v>B</v>
          </cell>
          <cell r="H3305">
            <v>0</v>
          </cell>
        </row>
        <row r="3306">
          <cell r="A3306" t="str">
            <v>1;E;D;B;PAQ05a10</v>
          </cell>
          <cell r="B3306">
            <v>730069</v>
          </cell>
          <cell r="C3306" t="str">
            <v>D</v>
          </cell>
          <cell r="D3306" t="str">
            <v>DISTRITAL</v>
          </cell>
          <cell r="E3306" t="str">
            <v>E</v>
          </cell>
          <cell r="F3306" t="str">
            <v>PAQ05a10</v>
          </cell>
          <cell r="G3306" t="str">
            <v>B</v>
          </cell>
          <cell r="H3306">
            <v>0</v>
          </cell>
        </row>
        <row r="3307">
          <cell r="A3307" t="str">
            <v>1;E;D;B;PAQ10a15</v>
          </cell>
          <cell r="B3307">
            <v>730069</v>
          </cell>
          <cell r="C3307" t="str">
            <v>D</v>
          </cell>
          <cell r="D3307" t="str">
            <v>DISTRITAL</v>
          </cell>
          <cell r="E3307" t="str">
            <v>E</v>
          </cell>
          <cell r="F3307" t="str">
            <v>PAQ10a15</v>
          </cell>
          <cell r="G3307" t="str">
            <v>B</v>
          </cell>
          <cell r="H3307">
            <v>0</v>
          </cell>
        </row>
        <row r="3308">
          <cell r="A3308" t="str">
            <v>1;E;D;B;PAQ15a20</v>
          </cell>
          <cell r="B3308">
            <v>730069</v>
          </cell>
          <cell r="C3308" t="str">
            <v>D</v>
          </cell>
          <cell r="D3308" t="str">
            <v>DISTRITAL</v>
          </cell>
          <cell r="E3308" t="str">
            <v>E</v>
          </cell>
          <cell r="F3308" t="str">
            <v>PAQ15a20</v>
          </cell>
          <cell r="G3308" t="str">
            <v>B</v>
          </cell>
          <cell r="H3308">
            <v>0</v>
          </cell>
        </row>
        <row r="3309">
          <cell r="A3309" t="str">
            <v>1;E;D;B;PAQ20a25</v>
          </cell>
          <cell r="B3309">
            <v>730069</v>
          </cell>
          <cell r="C3309" t="str">
            <v>D</v>
          </cell>
          <cell r="D3309" t="str">
            <v>DISTRITAL</v>
          </cell>
          <cell r="E3309" t="str">
            <v>E</v>
          </cell>
          <cell r="F3309" t="str">
            <v>PAQ20a25</v>
          </cell>
          <cell r="G3309" t="str">
            <v>B</v>
          </cell>
          <cell r="H3309">
            <v>0</v>
          </cell>
        </row>
        <row r="3310">
          <cell r="A3310" t="str">
            <v>1;E;D;B;PAQ25a30</v>
          </cell>
          <cell r="B3310">
            <v>730069</v>
          </cell>
          <cell r="C3310" t="str">
            <v>D</v>
          </cell>
          <cell r="D3310" t="str">
            <v>DISTRITAL</v>
          </cell>
          <cell r="E3310" t="str">
            <v>E</v>
          </cell>
          <cell r="F3310" t="str">
            <v>PAQ25a30</v>
          </cell>
          <cell r="G3310" t="str">
            <v>B</v>
          </cell>
          <cell r="H3310">
            <v>0</v>
          </cell>
        </row>
        <row r="3311">
          <cell r="A3311" t="str">
            <v>1;E;D;B;PAQ30a35</v>
          </cell>
          <cell r="B3311">
            <v>730069</v>
          </cell>
          <cell r="C3311" t="str">
            <v>D</v>
          </cell>
          <cell r="D3311" t="str">
            <v>DISTRITAL</v>
          </cell>
          <cell r="E3311" t="str">
            <v>E</v>
          </cell>
          <cell r="F3311" t="str">
            <v>PAQ30a35</v>
          </cell>
          <cell r="G3311" t="str">
            <v>B</v>
          </cell>
          <cell r="H3311">
            <v>0</v>
          </cell>
        </row>
        <row r="3312">
          <cell r="A3312" t="str">
            <v>1;E;D;B;PAQ35a40</v>
          </cell>
          <cell r="B3312">
            <v>730069</v>
          </cell>
          <cell r="C3312" t="str">
            <v>D</v>
          </cell>
          <cell r="D3312" t="str">
            <v>DISTRITAL</v>
          </cell>
          <cell r="E3312" t="str">
            <v>E</v>
          </cell>
          <cell r="F3312" t="str">
            <v>PAQ35a40</v>
          </cell>
          <cell r="G3312" t="str">
            <v>B</v>
          </cell>
          <cell r="H3312">
            <v>0</v>
          </cell>
        </row>
        <row r="3313">
          <cell r="A3313" t="str">
            <v>1;E;D;F;</v>
          </cell>
          <cell r="B3313">
            <v>730069</v>
          </cell>
          <cell r="C3313" t="str">
            <v>D</v>
          </cell>
          <cell r="D3313" t="str">
            <v>DISTRITAL</v>
          </cell>
          <cell r="E3313" t="str">
            <v>E</v>
          </cell>
          <cell r="F3313" t="str">
            <v/>
          </cell>
          <cell r="G3313" t="str">
            <v>F</v>
          </cell>
          <cell r="H3313">
            <v>0</v>
          </cell>
        </row>
        <row r="3314">
          <cell r="A3314" t="str">
            <v>1;E;D;E;</v>
          </cell>
          <cell r="B3314">
            <v>730069</v>
          </cell>
          <cell r="C3314" t="str">
            <v>D</v>
          </cell>
          <cell r="D3314" t="str">
            <v>DISTRITAL</v>
          </cell>
          <cell r="E3314" t="str">
            <v>E</v>
          </cell>
          <cell r="F3314" t="str">
            <v/>
          </cell>
          <cell r="G3314" t="str">
            <v>E</v>
          </cell>
          <cell r="H3314">
            <v>0</v>
          </cell>
        </row>
        <row r="3315">
          <cell r="A3315" t="str">
            <v>1;E;D;P;</v>
          </cell>
          <cell r="B3315">
            <v>730069</v>
          </cell>
          <cell r="C3315" t="str">
            <v>D</v>
          </cell>
          <cell r="D3315" t="str">
            <v>DISTRITAL</v>
          </cell>
          <cell r="E3315" t="str">
            <v>E</v>
          </cell>
          <cell r="F3315" t="str">
            <v/>
          </cell>
          <cell r="G3315" t="str">
            <v>P</v>
          </cell>
          <cell r="H3315">
            <v>0</v>
          </cell>
        </row>
        <row r="3316">
          <cell r="A3316" t="str">
            <v>1;F;D;B;BAG</v>
          </cell>
          <cell r="B3316">
            <v>730069</v>
          </cell>
          <cell r="C3316" t="str">
            <v>D</v>
          </cell>
          <cell r="D3316" t="str">
            <v>DISTRITAL</v>
          </cell>
          <cell r="E3316" t="str">
            <v>F</v>
          </cell>
          <cell r="F3316" t="str">
            <v>BAG</v>
          </cell>
          <cell r="G3316" t="str">
            <v>B</v>
          </cell>
          <cell r="H3316">
            <v>0</v>
          </cell>
        </row>
        <row r="3317">
          <cell r="A3317" t="str">
            <v>1;F;D;B;PAQ00a05</v>
          </cell>
          <cell r="B3317">
            <v>730069</v>
          </cell>
          <cell r="C3317" t="str">
            <v>D</v>
          </cell>
          <cell r="D3317" t="str">
            <v>DISTRITAL</v>
          </cell>
          <cell r="E3317" t="str">
            <v>F</v>
          </cell>
          <cell r="F3317" t="str">
            <v>PAQ00a05</v>
          </cell>
          <cell r="G3317" t="str">
            <v>B</v>
          </cell>
          <cell r="H3317">
            <v>0</v>
          </cell>
        </row>
        <row r="3318">
          <cell r="A3318" t="str">
            <v>1;F;D;B;PAQ05a10</v>
          </cell>
          <cell r="B3318">
            <v>730069</v>
          </cell>
          <cell r="C3318" t="str">
            <v>D</v>
          </cell>
          <cell r="D3318" t="str">
            <v>DISTRITAL</v>
          </cell>
          <cell r="E3318" t="str">
            <v>F</v>
          </cell>
          <cell r="F3318" t="str">
            <v>PAQ05a10</v>
          </cell>
          <cell r="G3318" t="str">
            <v>B</v>
          </cell>
          <cell r="H3318">
            <v>0</v>
          </cell>
        </row>
        <row r="3319">
          <cell r="A3319" t="str">
            <v>1;F;D;B;PAQ10a15</v>
          </cell>
          <cell r="B3319">
            <v>730069</v>
          </cell>
          <cell r="C3319" t="str">
            <v>D</v>
          </cell>
          <cell r="D3319" t="str">
            <v>DISTRITAL</v>
          </cell>
          <cell r="E3319" t="str">
            <v>F</v>
          </cell>
          <cell r="F3319" t="str">
            <v>PAQ10a15</v>
          </cell>
          <cell r="G3319" t="str">
            <v>B</v>
          </cell>
          <cell r="H3319">
            <v>0</v>
          </cell>
        </row>
        <row r="3320">
          <cell r="A3320" t="str">
            <v>1;F;D;B;PAQ15a20</v>
          </cell>
          <cell r="B3320">
            <v>730069</v>
          </cell>
          <cell r="C3320" t="str">
            <v>D</v>
          </cell>
          <cell r="D3320" t="str">
            <v>DISTRITAL</v>
          </cell>
          <cell r="E3320" t="str">
            <v>F</v>
          </cell>
          <cell r="F3320" t="str">
            <v>PAQ15a20</v>
          </cell>
          <cell r="G3320" t="str">
            <v>B</v>
          </cell>
          <cell r="H3320">
            <v>0</v>
          </cell>
        </row>
        <row r="3321">
          <cell r="A3321" t="str">
            <v>1;F;D;B;PAQ20a25</v>
          </cell>
          <cell r="B3321">
            <v>730069</v>
          </cell>
          <cell r="C3321" t="str">
            <v>D</v>
          </cell>
          <cell r="D3321" t="str">
            <v>DISTRITAL</v>
          </cell>
          <cell r="E3321" t="str">
            <v>F</v>
          </cell>
          <cell r="F3321" t="str">
            <v>PAQ20a25</v>
          </cell>
          <cell r="G3321" t="str">
            <v>B</v>
          </cell>
          <cell r="H3321">
            <v>0</v>
          </cell>
        </row>
        <row r="3322">
          <cell r="A3322" t="str">
            <v>1;F;D;B;PAQ25a30</v>
          </cell>
          <cell r="B3322">
            <v>730069</v>
          </cell>
          <cell r="C3322" t="str">
            <v>D</v>
          </cell>
          <cell r="D3322" t="str">
            <v>DISTRITAL</v>
          </cell>
          <cell r="E3322" t="str">
            <v>F</v>
          </cell>
          <cell r="F3322" t="str">
            <v>PAQ25a30</v>
          </cell>
          <cell r="G3322" t="str">
            <v>B</v>
          </cell>
          <cell r="H3322">
            <v>0</v>
          </cell>
        </row>
        <row r="3323">
          <cell r="A3323" t="str">
            <v>1;F;D;B;PAQ30a35</v>
          </cell>
          <cell r="B3323">
            <v>730069</v>
          </cell>
          <cell r="C3323" t="str">
            <v>D</v>
          </cell>
          <cell r="D3323" t="str">
            <v>DISTRITAL</v>
          </cell>
          <cell r="E3323" t="str">
            <v>F</v>
          </cell>
          <cell r="F3323" t="str">
            <v>PAQ30a35</v>
          </cell>
          <cell r="G3323" t="str">
            <v>B</v>
          </cell>
          <cell r="H3323">
            <v>0</v>
          </cell>
        </row>
        <row r="3324">
          <cell r="A3324" t="str">
            <v>1;F;D;B;PAQ35a40</v>
          </cell>
          <cell r="B3324">
            <v>730069</v>
          </cell>
          <cell r="C3324" t="str">
            <v>D</v>
          </cell>
          <cell r="D3324" t="str">
            <v>DISTRITAL</v>
          </cell>
          <cell r="E3324" t="str">
            <v>F</v>
          </cell>
          <cell r="F3324" t="str">
            <v>PAQ35a40</v>
          </cell>
          <cell r="G3324" t="str">
            <v>B</v>
          </cell>
          <cell r="H3324">
            <v>0</v>
          </cell>
        </row>
        <row r="3325">
          <cell r="A3325" t="str">
            <v>1;F;D;F;</v>
          </cell>
          <cell r="B3325">
            <v>730069</v>
          </cell>
          <cell r="C3325" t="str">
            <v>D</v>
          </cell>
          <cell r="D3325" t="str">
            <v>DISTRITAL</v>
          </cell>
          <cell r="E3325" t="str">
            <v>F</v>
          </cell>
          <cell r="F3325" t="str">
            <v/>
          </cell>
          <cell r="G3325" t="str">
            <v>F</v>
          </cell>
          <cell r="H3325">
            <v>0</v>
          </cell>
        </row>
        <row r="3326">
          <cell r="A3326" t="str">
            <v>1;F;D;E;</v>
          </cell>
          <cell r="B3326">
            <v>730069</v>
          </cell>
          <cell r="C3326" t="str">
            <v>D</v>
          </cell>
          <cell r="D3326" t="str">
            <v>DISTRITAL</v>
          </cell>
          <cell r="E3326" t="str">
            <v>F</v>
          </cell>
          <cell r="F3326" t="str">
            <v/>
          </cell>
          <cell r="G3326" t="str">
            <v>E</v>
          </cell>
          <cell r="H3326">
            <v>0</v>
          </cell>
        </row>
        <row r="3327">
          <cell r="A3327" t="str">
            <v>1;F;D;P;</v>
          </cell>
          <cell r="B3327">
            <v>730069</v>
          </cell>
          <cell r="C3327" t="str">
            <v>D</v>
          </cell>
          <cell r="D3327" t="str">
            <v>DISTRITAL</v>
          </cell>
          <cell r="E3327" t="str">
            <v>F</v>
          </cell>
          <cell r="F3327" t="str">
            <v/>
          </cell>
          <cell r="G3327" t="str">
            <v>P</v>
          </cell>
          <cell r="H3327">
            <v>0</v>
          </cell>
        </row>
        <row r="3328">
          <cell r="A3328" t="str">
            <v>1;G;D;B;BAG</v>
          </cell>
          <cell r="B3328">
            <v>730069</v>
          </cell>
          <cell r="C3328" t="str">
            <v>D</v>
          </cell>
          <cell r="D3328" t="str">
            <v>DISTRITAL</v>
          </cell>
          <cell r="E3328" t="str">
            <v>G</v>
          </cell>
          <cell r="F3328" t="str">
            <v>BAG</v>
          </cell>
          <cell r="G3328" t="str">
            <v>B</v>
          </cell>
          <cell r="H3328">
            <v>0</v>
          </cell>
        </row>
        <row r="3329">
          <cell r="A3329" t="str">
            <v>1;G;D;B;PAQ00a05</v>
          </cell>
          <cell r="B3329">
            <v>730069</v>
          </cell>
          <cell r="C3329" t="str">
            <v>D</v>
          </cell>
          <cell r="D3329" t="str">
            <v>DISTRITAL</v>
          </cell>
          <cell r="E3329" t="str">
            <v>G</v>
          </cell>
          <cell r="F3329" t="str">
            <v>PAQ00a05</v>
          </cell>
          <cell r="G3329" t="str">
            <v>B</v>
          </cell>
          <cell r="H3329">
            <v>0</v>
          </cell>
        </row>
        <row r="3330">
          <cell r="A3330" t="str">
            <v>1;G;D;B;PAQ05a10</v>
          </cell>
          <cell r="B3330">
            <v>730069</v>
          </cell>
          <cell r="C3330" t="str">
            <v>D</v>
          </cell>
          <cell r="D3330" t="str">
            <v>DISTRITAL</v>
          </cell>
          <cell r="E3330" t="str">
            <v>G</v>
          </cell>
          <cell r="F3330" t="str">
            <v>PAQ05a10</v>
          </cell>
          <cell r="G3330" t="str">
            <v>B</v>
          </cell>
          <cell r="H3330">
            <v>0</v>
          </cell>
        </row>
        <row r="3331">
          <cell r="A3331" t="str">
            <v>1;G;D;B;PAQ10a15</v>
          </cell>
          <cell r="B3331">
            <v>730069</v>
          </cell>
          <cell r="C3331" t="str">
            <v>D</v>
          </cell>
          <cell r="D3331" t="str">
            <v>DISTRITAL</v>
          </cell>
          <cell r="E3331" t="str">
            <v>G</v>
          </cell>
          <cell r="F3331" t="str">
            <v>PAQ10a15</v>
          </cell>
          <cell r="G3331" t="str">
            <v>B</v>
          </cell>
          <cell r="H3331">
            <v>0</v>
          </cell>
        </row>
        <row r="3332">
          <cell r="A3332" t="str">
            <v>1;G;D;B;PAQ15a20</v>
          </cell>
          <cell r="B3332">
            <v>730069</v>
          </cell>
          <cell r="C3332" t="str">
            <v>D</v>
          </cell>
          <cell r="D3332" t="str">
            <v>DISTRITAL</v>
          </cell>
          <cell r="E3332" t="str">
            <v>G</v>
          </cell>
          <cell r="F3332" t="str">
            <v>PAQ15a20</v>
          </cell>
          <cell r="G3332" t="str">
            <v>B</v>
          </cell>
          <cell r="H3332">
            <v>0</v>
          </cell>
        </row>
        <row r="3333">
          <cell r="A3333" t="str">
            <v>1;G;D;B;PAQ20a25</v>
          </cell>
          <cell r="B3333">
            <v>730069</v>
          </cell>
          <cell r="C3333" t="str">
            <v>D</v>
          </cell>
          <cell r="D3333" t="str">
            <v>DISTRITAL</v>
          </cell>
          <cell r="E3333" t="str">
            <v>G</v>
          </cell>
          <cell r="F3333" t="str">
            <v>PAQ20a25</v>
          </cell>
          <cell r="G3333" t="str">
            <v>B</v>
          </cell>
          <cell r="H3333">
            <v>0</v>
          </cell>
        </row>
        <row r="3334">
          <cell r="A3334" t="str">
            <v>1;G;D;B;PAQ25a30</v>
          </cell>
          <cell r="B3334">
            <v>730069</v>
          </cell>
          <cell r="C3334" t="str">
            <v>D</v>
          </cell>
          <cell r="D3334" t="str">
            <v>DISTRITAL</v>
          </cell>
          <cell r="E3334" t="str">
            <v>G</v>
          </cell>
          <cell r="F3334" t="str">
            <v>PAQ25a30</v>
          </cell>
          <cell r="G3334" t="str">
            <v>B</v>
          </cell>
          <cell r="H3334">
            <v>0</v>
          </cell>
        </row>
        <row r="3335">
          <cell r="A3335" t="str">
            <v>1;G;D;B;PAQ30a35</v>
          </cell>
          <cell r="B3335">
            <v>730069</v>
          </cell>
          <cell r="C3335" t="str">
            <v>D</v>
          </cell>
          <cell r="D3335" t="str">
            <v>DISTRITAL</v>
          </cell>
          <cell r="E3335" t="str">
            <v>G</v>
          </cell>
          <cell r="F3335" t="str">
            <v>PAQ30a35</v>
          </cell>
          <cell r="G3335" t="str">
            <v>B</v>
          </cell>
          <cell r="H3335">
            <v>0</v>
          </cell>
        </row>
        <row r="3336">
          <cell r="A3336" t="str">
            <v>1;G;D;B;PAQ35a40</v>
          </cell>
          <cell r="B3336">
            <v>730069</v>
          </cell>
          <cell r="C3336" t="str">
            <v>D</v>
          </cell>
          <cell r="D3336" t="str">
            <v>DISTRITAL</v>
          </cell>
          <cell r="E3336" t="str">
            <v>G</v>
          </cell>
          <cell r="F3336" t="str">
            <v>PAQ35a40</v>
          </cell>
          <cell r="G3336" t="str">
            <v>B</v>
          </cell>
          <cell r="H3336">
            <v>0</v>
          </cell>
        </row>
        <row r="3337">
          <cell r="A3337" t="str">
            <v>1;G;D;F;</v>
          </cell>
          <cell r="B3337">
            <v>730069</v>
          </cell>
          <cell r="C3337" t="str">
            <v>D</v>
          </cell>
          <cell r="D3337" t="str">
            <v>DISTRITAL</v>
          </cell>
          <cell r="E3337" t="str">
            <v>G</v>
          </cell>
          <cell r="F3337" t="str">
            <v/>
          </cell>
          <cell r="G3337" t="str">
            <v>F</v>
          </cell>
          <cell r="H3337">
            <v>0</v>
          </cell>
        </row>
        <row r="3338">
          <cell r="A3338" t="str">
            <v>1;G;D;E;</v>
          </cell>
          <cell r="B3338">
            <v>730069</v>
          </cell>
          <cell r="C3338" t="str">
            <v>D</v>
          </cell>
          <cell r="D3338" t="str">
            <v>DISTRITAL</v>
          </cell>
          <cell r="E3338" t="str">
            <v>G</v>
          </cell>
          <cell r="F3338" t="str">
            <v/>
          </cell>
          <cell r="G3338" t="str">
            <v>E</v>
          </cell>
          <cell r="H3338">
            <v>0</v>
          </cell>
        </row>
        <row r="3339">
          <cell r="A3339" t="str">
            <v>1;G;D;P;</v>
          </cell>
          <cell r="B3339">
            <v>730069</v>
          </cell>
          <cell r="C3339" t="str">
            <v>D</v>
          </cell>
          <cell r="D3339" t="str">
            <v>DISTRITAL</v>
          </cell>
          <cell r="E3339" t="str">
            <v>G</v>
          </cell>
          <cell r="F3339" t="str">
            <v/>
          </cell>
          <cell r="G3339" t="str">
            <v>P</v>
          </cell>
          <cell r="H3339">
            <v>0</v>
          </cell>
        </row>
        <row r="3340">
          <cell r="A3340" t="str">
            <v>1;01;D;B;BAG</v>
          </cell>
          <cell r="B3340">
            <v>730069</v>
          </cell>
          <cell r="C3340" t="str">
            <v>D</v>
          </cell>
          <cell r="D3340" t="str">
            <v>DISTRITAL</v>
          </cell>
          <cell r="E3340" t="str">
            <v>01</v>
          </cell>
          <cell r="F3340" t="str">
            <v>BAG</v>
          </cell>
          <cell r="G3340" t="str">
            <v>B</v>
          </cell>
          <cell r="H3340">
            <v>8.3800000000000008</v>
          </cell>
        </row>
        <row r="3341">
          <cell r="A3341" t="str">
            <v>1;01;D;B;DOCS</v>
          </cell>
          <cell r="B3341">
            <v>730069</v>
          </cell>
          <cell r="C3341" t="str">
            <v>D</v>
          </cell>
          <cell r="D3341" t="str">
            <v>DISTRITAL</v>
          </cell>
          <cell r="E3341" t="str">
            <v>01</v>
          </cell>
          <cell r="F3341" t="str">
            <v>DOCS</v>
          </cell>
          <cell r="G3341" t="str">
            <v>B</v>
          </cell>
          <cell r="H3341">
            <v>8.3800000000000008</v>
          </cell>
        </row>
        <row r="3342">
          <cell r="A3342" t="str">
            <v>1;01;D;B;PAQ00a02</v>
          </cell>
          <cell r="B3342">
            <v>730069</v>
          </cell>
          <cell r="C3342" t="str">
            <v>D</v>
          </cell>
          <cell r="D3342" t="str">
            <v>DISTRITAL</v>
          </cell>
          <cell r="E3342" t="str">
            <v>01</v>
          </cell>
          <cell r="F3342" t="str">
            <v>PAQ00a02</v>
          </cell>
          <cell r="G3342" t="str">
            <v>B</v>
          </cell>
          <cell r="H3342">
            <v>9.4600000000000009</v>
          </cell>
        </row>
        <row r="3343">
          <cell r="A3343" t="str">
            <v>1;01;D;B;PAQ02a05</v>
          </cell>
          <cell r="B3343">
            <v>730069</v>
          </cell>
          <cell r="C3343" t="str">
            <v>D</v>
          </cell>
          <cell r="D3343" t="str">
            <v>DISTRITAL</v>
          </cell>
          <cell r="E3343" t="str">
            <v>01</v>
          </cell>
          <cell r="F3343" t="str">
            <v>PAQ02a05</v>
          </cell>
          <cell r="G3343" t="str">
            <v>B</v>
          </cell>
          <cell r="H3343">
            <v>9.4600000000000009</v>
          </cell>
        </row>
        <row r="3344">
          <cell r="A3344" t="str">
            <v>1;01;D;B;PAQ05a10</v>
          </cell>
          <cell r="B3344">
            <v>730069</v>
          </cell>
          <cell r="C3344" t="str">
            <v>D</v>
          </cell>
          <cell r="D3344" t="str">
            <v>DISTRITAL</v>
          </cell>
          <cell r="E3344" t="str">
            <v>01</v>
          </cell>
          <cell r="F3344" t="str">
            <v>PAQ05a10</v>
          </cell>
          <cell r="G3344" t="str">
            <v>B</v>
          </cell>
          <cell r="H3344">
            <v>17.09</v>
          </cell>
        </row>
        <row r="3345">
          <cell r="A3345" t="str">
            <v>1;01;D;B;PAQ10a15</v>
          </cell>
          <cell r="B3345">
            <v>730069</v>
          </cell>
          <cell r="C3345" t="str">
            <v>D</v>
          </cell>
          <cell r="D3345" t="str">
            <v>DISTRITAL</v>
          </cell>
          <cell r="E3345" t="str">
            <v>01</v>
          </cell>
          <cell r="F3345" t="str">
            <v>PAQ10a15</v>
          </cell>
          <cell r="G3345" t="str">
            <v>B</v>
          </cell>
          <cell r="H3345">
            <v>25.36</v>
          </cell>
        </row>
        <row r="3346">
          <cell r="A3346" t="str">
            <v>1;01;D;B;PAQ15a20</v>
          </cell>
          <cell r="B3346">
            <v>730069</v>
          </cell>
          <cell r="C3346" t="str">
            <v>D</v>
          </cell>
          <cell r="D3346" t="str">
            <v>DISTRITAL</v>
          </cell>
          <cell r="E3346" t="str">
            <v>01</v>
          </cell>
          <cell r="F3346" t="str">
            <v>PAQ15a20</v>
          </cell>
          <cell r="G3346" t="str">
            <v>B</v>
          </cell>
          <cell r="H3346">
            <v>33.619999999999997</v>
          </cell>
        </row>
        <row r="3347">
          <cell r="A3347" t="str">
            <v>1;01;D;B;PAQ20a25</v>
          </cell>
          <cell r="B3347">
            <v>730069</v>
          </cell>
          <cell r="C3347" t="str">
            <v>D</v>
          </cell>
          <cell r="D3347" t="str">
            <v>DISTRITAL</v>
          </cell>
          <cell r="E3347" t="str">
            <v>01</v>
          </cell>
          <cell r="F3347" t="str">
            <v>PAQ20a25</v>
          </cell>
          <cell r="G3347" t="str">
            <v>B</v>
          </cell>
          <cell r="H3347">
            <v>41.88</v>
          </cell>
        </row>
        <row r="3348">
          <cell r="A3348" t="str">
            <v>1;01;D;B;PAQ25a30</v>
          </cell>
          <cell r="B3348">
            <v>730069</v>
          </cell>
          <cell r="C3348" t="str">
            <v>D</v>
          </cell>
          <cell r="D3348" t="str">
            <v>DISTRITAL</v>
          </cell>
          <cell r="E3348" t="str">
            <v>01</v>
          </cell>
          <cell r="F3348" t="str">
            <v>PAQ25a30</v>
          </cell>
          <cell r="G3348" t="str">
            <v>B</v>
          </cell>
          <cell r="H3348">
            <v>50.15</v>
          </cell>
        </row>
        <row r="3349">
          <cell r="A3349" t="str">
            <v>1;01;D;B;PAQ30a35</v>
          </cell>
          <cell r="B3349">
            <v>730069</v>
          </cell>
          <cell r="C3349" t="str">
            <v>D</v>
          </cell>
          <cell r="D3349" t="str">
            <v>DISTRITAL</v>
          </cell>
          <cell r="E3349" t="str">
            <v>01</v>
          </cell>
          <cell r="F3349" t="str">
            <v>PAQ30a35</v>
          </cell>
          <cell r="G3349" t="str">
            <v>B</v>
          </cell>
          <cell r="H3349">
            <v>58.41</v>
          </cell>
        </row>
        <row r="3350">
          <cell r="A3350" t="str">
            <v>1;01;D;B;PAQ35a40</v>
          </cell>
          <cell r="B3350">
            <v>730069</v>
          </cell>
          <cell r="C3350" t="str">
            <v>D</v>
          </cell>
          <cell r="D3350" t="str">
            <v>DISTRITAL</v>
          </cell>
          <cell r="E3350" t="str">
            <v>01</v>
          </cell>
          <cell r="F3350" t="str">
            <v>PAQ35a40</v>
          </cell>
          <cell r="G3350" t="str">
            <v>B</v>
          </cell>
          <cell r="H3350">
            <v>66.680000000000007</v>
          </cell>
        </row>
        <row r="3351">
          <cell r="A3351" t="str">
            <v>1;01;D;F;</v>
          </cell>
          <cell r="B3351">
            <v>730069</v>
          </cell>
          <cell r="C3351" t="str">
            <v>D</v>
          </cell>
          <cell r="D3351" t="str">
            <v>DISTRITAL</v>
          </cell>
          <cell r="E3351" t="str">
            <v>01</v>
          </cell>
          <cell r="F3351" t="str">
            <v/>
          </cell>
          <cell r="G3351" t="str">
            <v>F</v>
          </cell>
          <cell r="H3351">
            <v>8.26</v>
          </cell>
        </row>
        <row r="3352">
          <cell r="A3352" t="str">
            <v>1;01;D;E;</v>
          </cell>
          <cell r="B3352">
            <v>730069</v>
          </cell>
          <cell r="C3352" t="str">
            <v>D</v>
          </cell>
          <cell r="D3352" t="str">
            <v>DISTRITAL</v>
          </cell>
          <cell r="E3352" t="str">
            <v>01</v>
          </cell>
          <cell r="F3352" t="str">
            <v/>
          </cell>
          <cell r="G3352" t="str">
            <v>E</v>
          </cell>
          <cell r="H3352">
            <v>9.4600000000000009</v>
          </cell>
        </row>
        <row r="3353">
          <cell r="A3353" t="str">
            <v>1;01;D;P;</v>
          </cell>
          <cell r="B3353">
            <v>730069</v>
          </cell>
          <cell r="C3353" t="str">
            <v>D</v>
          </cell>
          <cell r="D3353" t="str">
            <v>DISTRITAL</v>
          </cell>
          <cell r="E3353" t="str">
            <v>01</v>
          </cell>
          <cell r="F3353" t="str">
            <v/>
          </cell>
          <cell r="G3353" t="str">
            <v>P</v>
          </cell>
          <cell r="H3353">
            <v>9.4600000000000009</v>
          </cell>
        </row>
        <row r="3354">
          <cell r="A3354" t="str">
            <v>1;02;D;B;BAG</v>
          </cell>
          <cell r="B3354">
            <v>730069</v>
          </cell>
          <cell r="C3354" t="str">
            <v>D</v>
          </cell>
          <cell r="D3354" t="str">
            <v>DISTRITAL</v>
          </cell>
          <cell r="E3354" t="str">
            <v>02</v>
          </cell>
          <cell r="F3354" t="str">
            <v>BAG</v>
          </cell>
          <cell r="G3354" t="str">
            <v>B</v>
          </cell>
          <cell r="H3354">
            <v>8.32</v>
          </cell>
        </row>
        <row r="3355">
          <cell r="A3355" t="str">
            <v>1;02;D;B;DOCS</v>
          </cell>
          <cell r="B3355">
            <v>730069</v>
          </cell>
          <cell r="C3355" t="str">
            <v>D</v>
          </cell>
          <cell r="D3355" t="str">
            <v>DISTRITAL</v>
          </cell>
          <cell r="E3355" t="str">
            <v>02</v>
          </cell>
          <cell r="F3355" t="str">
            <v>DOCS</v>
          </cell>
          <cell r="G3355" t="str">
            <v>B</v>
          </cell>
          <cell r="H3355">
            <v>8.32</v>
          </cell>
        </row>
        <row r="3356">
          <cell r="A3356" t="str">
            <v>1;02;D;B;PAQ00a02</v>
          </cell>
          <cell r="B3356">
            <v>730069</v>
          </cell>
          <cell r="C3356" t="str">
            <v>D</v>
          </cell>
          <cell r="D3356" t="str">
            <v>DISTRITAL</v>
          </cell>
          <cell r="E3356" t="str">
            <v>02</v>
          </cell>
          <cell r="F3356" t="str">
            <v>PAQ00a02</v>
          </cell>
          <cell r="G3356" t="str">
            <v>B</v>
          </cell>
          <cell r="H3356">
            <v>9.3000000000000007</v>
          </cell>
        </row>
        <row r="3357">
          <cell r="A3357" t="str">
            <v>1;02;D;B;PAQ02a05</v>
          </cell>
          <cell r="B3357">
            <v>730069</v>
          </cell>
          <cell r="C3357" t="str">
            <v>D</v>
          </cell>
          <cell r="D3357" t="str">
            <v>DISTRITAL</v>
          </cell>
          <cell r="E3357" t="str">
            <v>02</v>
          </cell>
          <cell r="F3357" t="str">
            <v>PAQ02a05</v>
          </cell>
          <cell r="G3357" t="str">
            <v>B</v>
          </cell>
          <cell r="H3357">
            <v>9.3000000000000007</v>
          </cell>
        </row>
        <row r="3358">
          <cell r="A3358" t="str">
            <v>1;02;D;B;PAQ05a10</v>
          </cell>
          <cell r="B3358">
            <v>730069</v>
          </cell>
          <cell r="C3358" t="str">
            <v>D</v>
          </cell>
          <cell r="D3358" t="str">
            <v>DISTRITAL</v>
          </cell>
          <cell r="E3358" t="str">
            <v>02</v>
          </cell>
          <cell r="F3358" t="str">
            <v>PAQ05a10</v>
          </cell>
          <cell r="G3358" t="str">
            <v>B</v>
          </cell>
          <cell r="H3358">
            <v>15.49</v>
          </cell>
        </row>
        <row r="3359">
          <cell r="A3359" t="str">
            <v>1;02;D;B;PAQ10a15</v>
          </cell>
          <cell r="B3359">
            <v>730069</v>
          </cell>
          <cell r="C3359" t="str">
            <v>D</v>
          </cell>
          <cell r="D3359" t="str">
            <v>DISTRITAL</v>
          </cell>
          <cell r="E3359" t="str">
            <v>02</v>
          </cell>
          <cell r="F3359" t="str">
            <v>PAQ10a15</v>
          </cell>
          <cell r="G3359" t="str">
            <v>B</v>
          </cell>
          <cell r="H3359">
            <v>20.399999999999999</v>
          </cell>
        </row>
        <row r="3360">
          <cell r="A3360" t="str">
            <v>1;02;D;B;PAQ15a20</v>
          </cell>
          <cell r="B3360">
            <v>730069</v>
          </cell>
          <cell r="C3360" t="str">
            <v>D</v>
          </cell>
          <cell r="D3360" t="str">
            <v>DISTRITAL</v>
          </cell>
          <cell r="E3360" t="str">
            <v>02</v>
          </cell>
          <cell r="F3360" t="str">
            <v>PAQ15a20</v>
          </cell>
          <cell r="G3360" t="str">
            <v>B</v>
          </cell>
          <cell r="H3360">
            <v>25.31</v>
          </cell>
        </row>
        <row r="3361">
          <cell r="A3361" t="str">
            <v>1;02;D;B;PAQ20a25</v>
          </cell>
          <cell r="B3361">
            <v>730069</v>
          </cell>
          <cell r="C3361" t="str">
            <v>D</v>
          </cell>
          <cell r="D3361" t="str">
            <v>DISTRITAL</v>
          </cell>
          <cell r="E3361" t="str">
            <v>02</v>
          </cell>
          <cell r="F3361" t="str">
            <v>PAQ20a25</v>
          </cell>
          <cell r="G3361" t="str">
            <v>B</v>
          </cell>
          <cell r="H3361">
            <v>30.22</v>
          </cell>
        </row>
        <row r="3362">
          <cell r="A3362" t="str">
            <v>1;02;D;B;PAQ25a30</v>
          </cell>
          <cell r="B3362">
            <v>730069</v>
          </cell>
          <cell r="C3362" t="str">
            <v>D</v>
          </cell>
          <cell r="D3362" t="str">
            <v>DISTRITAL</v>
          </cell>
          <cell r="E3362" t="str">
            <v>02</v>
          </cell>
          <cell r="F3362" t="str">
            <v>PAQ25a30</v>
          </cell>
          <cell r="G3362" t="str">
            <v>B</v>
          </cell>
          <cell r="H3362">
            <v>35.119999999999997</v>
          </cell>
        </row>
        <row r="3363">
          <cell r="A3363" t="str">
            <v>1;02;D;B;PAQ30a35</v>
          </cell>
          <cell r="B3363">
            <v>730069</v>
          </cell>
          <cell r="C3363" t="str">
            <v>D</v>
          </cell>
          <cell r="D3363" t="str">
            <v>DISTRITAL</v>
          </cell>
          <cell r="E3363" t="str">
            <v>02</v>
          </cell>
          <cell r="F3363" t="str">
            <v>PAQ30a35</v>
          </cell>
          <cell r="G3363" t="str">
            <v>B</v>
          </cell>
          <cell r="H3363">
            <v>40.04</v>
          </cell>
        </row>
        <row r="3364">
          <cell r="A3364" t="str">
            <v>1;02;D;B;PAQ35a40</v>
          </cell>
          <cell r="B3364">
            <v>730069</v>
          </cell>
          <cell r="C3364" t="str">
            <v>D</v>
          </cell>
          <cell r="D3364" t="str">
            <v>DISTRITAL</v>
          </cell>
          <cell r="E3364" t="str">
            <v>02</v>
          </cell>
          <cell r="F3364" t="str">
            <v>PAQ35a40</v>
          </cell>
          <cell r="G3364" t="str">
            <v>B</v>
          </cell>
          <cell r="H3364">
            <v>44.95</v>
          </cell>
        </row>
        <row r="3365">
          <cell r="A3365" t="str">
            <v>1;02;D;F;</v>
          </cell>
          <cell r="B3365">
            <v>730069</v>
          </cell>
          <cell r="C3365" t="str">
            <v>D</v>
          </cell>
          <cell r="D3365" t="str">
            <v>DISTRITAL</v>
          </cell>
          <cell r="E3365" t="str">
            <v>02</v>
          </cell>
          <cell r="F3365" t="str">
            <v/>
          </cell>
          <cell r="G3365" t="str">
            <v>F</v>
          </cell>
          <cell r="H3365">
            <v>4.91</v>
          </cell>
        </row>
        <row r="3366">
          <cell r="A3366" t="str">
            <v>1;02;D;P;</v>
          </cell>
          <cell r="B3366">
            <v>730069</v>
          </cell>
          <cell r="C3366" t="str">
            <v>D</v>
          </cell>
          <cell r="D3366" t="str">
            <v>DISTRITAL</v>
          </cell>
          <cell r="E3366" t="str">
            <v>02</v>
          </cell>
          <cell r="F3366" t="str">
            <v/>
          </cell>
          <cell r="G3366" t="str">
            <v>P</v>
          </cell>
          <cell r="H3366">
            <v>9.3000000000000007</v>
          </cell>
        </row>
        <row r="3367">
          <cell r="A3367" t="str">
            <v>1;02;D;E;</v>
          </cell>
          <cell r="B3367">
            <v>730069</v>
          </cell>
          <cell r="C3367" t="str">
            <v>D</v>
          </cell>
          <cell r="D3367" t="str">
            <v>DISTRITAL</v>
          </cell>
          <cell r="E3367" t="str">
            <v>02</v>
          </cell>
          <cell r="F3367" t="str">
            <v/>
          </cell>
          <cell r="G3367" t="str">
            <v>E</v>
          </cell>
          <cell r="H3367">
            <v>9.3000000000000007</v>
          </cell>
        </row>
        <row r="3368">
          <cell r="A3368" t="str">
            <v>1;04;D;B;BAG</v>
          </cell>
          <cell r="B3368">
            <v>730069</v>
          </cell>
          <cell r="C3368" t="str">
            <v>D</v>
          </cell>
          <cell r="D3368" t="str">
            <v>DISTRITAL</v>
          </cell>
          <cell r="E3368" t="str">
            <v>04</v>
          </cell>
          <cell r="F3368" t="str">
            <v>BAG</v>
          </cell>
          <cell r="G3368" t="str">
            <v>B</v>
          </cell>
          <cell r="H3368">
            <v>5.66</v>
          </cell>
        </row>
        <row r="3369">
          <cell r="A3369" t="str">
            <v>1;05;D;B;BAG</v>
          </cell>
          <cell r="B3369">
            <v>730069</v>
          </cell>
          <cell r="C3369" t="str">
            <v>D</v>
          </cell>
          <cell r="D3369" t="str">
            <v>DISTRITAL</v>
          </cell>
          <cell r="E3369" t="str">
            <v>05</v>
          </cell>
          <cell r="F3369" t="str">
            <v>BAG</v>
          </cell>
          <cell r="G3369" t="str">
            <v>B</v>
          </cell>
          <cell r="H3369">
            <v>5.66</v>
          </cell>
        </row>
        <row r="3370">
          <cell r="A3370" t="str">
            <v>1;06;D;B;BAG</v>
          </cell>
          <cell r="B3370">
            <v>730069</v>
          </cell>
          <cell r="C3370" t="str">
            <v>D</v>
          </cell>
          <cell r="D3370" t="str">
            <v>DISTRITAL</v>
          </cell>
          <cell r="E3370" t="str">
            <v>06</v>
          </cell>
          <cell r="F3370" t="str">
            <v>BAG</v>
          </cell>
          <cell r="G3370" t="str">
            <v>B</v>
          </cell>
          <cell r="H3370">
            <v>0</v>
          </cell>
        </row>
        <row r="3371">
          <cell r="A3371" t="str">
            <v>1;06;D;B;DOCS</v>
          </cell>
          <cell r="B3371">
            <v>730069</v>
          </cell>
          <cell r="C3371" t="str">
            <v>D</v>
          </cell>
          <cell r="D3371" t="str">
            <v>DISTRITAL</v>
          </cell>
          <cell r="E3371" t="str">
            <v>06</v>
          </cell>
          <cell r="F3371" t="str">
            <v>DOCS</v>
          </cell>
          <cell r="G3371" t="str">
            <v>B</v>
          </cell>
          <cell r="H3371">
            <v>0</v>
          </cell>
        </row>
        <row r="3372">
          <cell r="A3372" t="str">
            <v>1;06;D;B;PAQ00a05</v>
          </cell>
          <cell r="B3372">
            <v>730069</v>
          </cell>
          <cell r="C3372" t="str">
            <v>D</v>
          </cell>
          <cell r="D3372" t="str">
            <v>DISTRITAL</v>
          </cell>
          <cell r="E3372" t="str">
            <v>06</v>
          </cell>
          <cell r="F3372" t="str">
            <v>PAQ00a05</v>
          </cell>
          <cell r="G3372" t="str">
            <v>B</v>
          </cell>
          <cell r="H3372">
            <v>0</v>
          </cell>
        </row>
        <row r="3373">
          <cell r="A3373" t="str">
            <v>1;06;D;B;PAQ05a10</v>
          </cell>
          <cell r="B3373">
            <v>730069</v>
          </cell>
          <cell r="C3373" t="str">
            <v>D</v>
          </cell>
          <cell r="D3373" t="str">
            <v>DISTRITAL</v>
          </cell>
          <cell r="E3373" t="str">
            <v>06</v>
          </cell>
          <cell r="F3373" t="str">
            <v>PAQ05a10</v>
          </cell>
          <cell r="G3373" t="str">
            <v>B</v>
          </cell>
          <cell r="H3373">
            <v>0</v>
          </cell>
        </row>
        <row r="3374">
          <cell r="A3374" t="str">
            <v>1;06;D;B;PAQ10a15</v>
          </cell>
          <cell r="B3374">
            <v>730069</v>
          </cell>
          <cell r="C3374" t="str">
            <v>D</v>
          </cell>
          <cell r="D3374" t="str">
            <v>DISTRITAL</v>
          </cell>
          <cell r="E3374" t="str">
            <v>06</v>
          </cell>
          <cell r="F3374" t="str">
            <v>PAQ10a15</v>
          </cell>
          <cell r="G3374" t="str">
            <v>B</v>
          </cell>
          <cell r="H3374">
            <v>0</v>
          </cell>
        </row>
        <row r="3375">
          <cell r="A3375" t="str">
            <v>1;06;D;B;PAQ15a20</v>
          </cell>
          <cell r="B3375">
            <v>730069</v>
          </cell>
          <cell r="C3375" t="str">
            <v>D</v>
          </cell>
          <cell r="D3375" t="str">
            <v>DISTRITAL</v>
          </cell>
          <cell r="E3375" t="str">
            <v>06</v>
          </cell>
          <cell r="F3375" t="str">
            <v>PAQ15a20</v>
          </cell>
          <cell r="G3375" t="str">
            <v>B</v>
          </cell>
          <cell r="H3375">
            <v>0</v>
          </cell>
        </row>
        <row r="3376">
          <cell r="A3376" t="str">
            <v>1;06;D;B;PAQ20a25</v>
          </cell>
          <cell r="B3376">
            <v>730069</v>
          </cell>
          <cell r="C3376" t="str">
            <v>D</v>
          </cell>
          <cell r="D3376" t="str">
            <v>DISTRITAL</v>
          </cell>
          <cell r="E3376" t="str">
            <v>06</v>
          </cell>
          <cell r="F3376" t="str">
            <v>PAQ20a25</v>
          </cell>
          <cell r="G3376" t="str">
            <v>B</v>
          </cell>
          <cell r="H3376">
            <v>0</v>
          </cell>
        </row>
        <row r="3377">
          <cell r="A3377" t="str">
            <v>1;06;D;B;PAQ25a30</v>
          </cell>
          <cell r="B3377">
            <v>730069</v>
          </cell>
          <cell r="C3377" t="str">
            <v>D</v>
          </cell>
          <cell r="D3377" t="str">
            <v>DISTRITAL</v>
          </cell>
          <cell r="E3377" t="str">
            <v>06</v>
          </cell>
          <cell r="F3377" t="str">
            <v>PAQ25a30</v>
          </cell>
          <cell r="G3377" t="str">
            <v>B</v>
          </cell>
          <cell r="H3377">
            <v>0</v>
          </cell>
        </row>
        <row r="3378">
          <cell r="A3378" t="str">
            <v>1;06;D;B;PAQ30a35</v>
          </cell>
          <cell r="B3378">
            <v>730069</v>
          </cell>
          <cell r="C3378" t="str">
            <v>D</v>
          </cell>
          <cell r="D3378" t="str">
            <v>DISTRITAL</v>
          </cell>
          <cell r="E3378" t="str">
            <v>06</v>
          </cell>
          <cell r="F3378" t="str">
            <v>PAQ30a35</v>
          </cell>
          <cell r="G3378" t="str">
            <v>B</v>
          </cell>
          <cell r="H3378">
            <v>0</v>
          </cell>
        </row>
        <row r="3379">
          <cell r="A3379" t="str">
            <v>1;06;D;B;PAQ35a40</v>
          </cell>
          <cell r="B3379">
            <v>730069</v>
          </cell>
          <cell r="C3379" t="str">
            <v>D</v>
          </cell>
          <cell r="D3379" t="str">
            <v>DISTRITAL</v>
          </cell>
          <cell r="E3379" t="str">
            <v>06</v>
          </cell>
          <cell r="F3379" t="str">
            <v>PAQ35a40</v>
          </cell>
          <cell r="G3379" t="str">
            <v>B</v>
          </cell>
          <cell r="H3379">
            <v>0</v>
          </cell>
        </row>
        <row r="3380">
          <cell r="A3380" t="str">
            <v>1;06;D;F;</v>
          </cell>
          <cell r="B3380">
            <v>730069</v>
          </cell>
          <cell r="C3380" t="str">
            <v>D</v>
          </cell>
          <cell r="D3380" t="str">
            <v>DISTRITAL</v>
          </cell>
          <cell r="E3380" t="str">
            <v>06</v>
          </cell>
          <cell r="F3380" t="str">
            <v/>
          </cell>
          <cell r="G3380" t="str">
            <v>F</v>
          </cell>
          <cell r="H3380">
            <v>0</v>
          </cell>
        </row>
        <row r="3381">
          <cell r="A3381" t="str">
            <v>1;06;D;E;</v>
          </cell>
          <cell r="B3381">
            <v>730069</v>
          </cell>
          <cell r="C3381" t="str">
            <v>D</v>
          </cell>
          <cell r="D3381" t="str">
            <v>DISTRITAL</v>
          </cell>
          <cell r="E3381" t="str">
            <v>06</v>
          </cell>
          <cell r="F3381" t="str">
            <v/>
          </cell>
          <cell r="G3381" t="str">
            <v>E</v>
          </cell>
          <cell r="H3381">
            <v>9.3000000000000007</v>
          </cell>
        </row>
        <row r="3382">
          <cell r="A3382" t="str">
            <v>1;06;D;P;</v>
          </cell>
          <cell r="B3382">
            <v>730069</v>
          </cell>
          <cell r="C3382" t="str">
            <v>D</v>
          </cell>
          <cell r="D3382" t="str">
            <v>DISTRITAL</v>
          </cell>
          <cell r="E3382" t="str">
            <v>06</v>
          </cell>
          <cell r="F3382" t="str">
            <v/>
          </cell>
          <cell r="G3382" t="str">
            <v>P</v>
          </cell>
          <cell r="H3382">
            <v>9.3000000000000007</v>
          </cell>
        </row>
        <row r="3383">
          <cell r="A3383" t="str">
            <v>1;07;D;B;BAG</v>
          </cell>
          <cell r="B3383">
            <v>730069</v>
          </cell>
          <cell r="C3383" t="str">
            <v>D</v>
          </cell>
          <cell r="D3383" t="str">
            <v>DISTRITAL</v>
          </cell>
          <cell r="E3383" t="str">
            <v>07</v>
          </cell>
          <cell r="F3383" t="str">
            <v>BAG</v>
          </cell>
          <cell r="G3383" t="str">
            <v>B</v>
          </cell>
          <cell r="H3383">
            <v>0</v>
          </cell>
        </row>
        <row r="3384">
          <cell r="A3384" t="str">
            <v>1;07;D;B;DOCS</v>
          </cell>
          <cell r="B3384">
            <v>730069</v>
          </cell>
          <cell r="C3384" t="str">
            <v>D</v>
          </cell>
          <cell r="D3384" t="str">
            <v>DISTRITAL</v>
          </cell>
          <cell r="E3384" t="str">
            <v>07</v>
          </cell>
          <cell r="F3384" t="str">
            <v>DOCS</v>
          </cell>
          <cell r="G3384" t="str">
            <v>B</v>
          </cell>
          <cell r="H3384">
            <v>0</v>
          </cell>
        </row>
        <row r="3385">
          <cell r="A3385" t="str">
            <v>1;07;D;B;PAQ00a05</v>
          </cell>
          <cell r="B3385">
            <v>730069</v>
          </cell>
          <cell r="C3385" t="str">
            <v>D</v>
          </cell>
          <cell r="D3385" t="str">
            <v>DISTRITAL</v>
          </cell>
          <cell r="E3385" t="str">
            <v>07</v>
          </cell>
          <cell r="F3385" t="str">
            <v>PAQ00a05</v>
          </cell>
          <cell r="G3385" t="str">
            <v>B</v>
          </cell>
          <cell r="H3385">
            <v>0</v>
          </cell>
        </row>
        <row r="3386">
          <cell r="A3386" t="str">
            <v>1;07;D;B;PAQ05a10</v>
          </cell>
          <cell r="B3386">
            <v>730069</v>
          </cell>
          <cell r="C3386" t="str">
            <v>D</v>
          </cell>
          <cell r="D3386" t="str">
            <v>DISTRITAL</v>
          </cell>
          <cell r="E3386" t="str">
            <v>07</v>
          </cell>
          <cell r="F3386" t="str">
            <v>PAQ05a10</v>
          </cell>
          <cell r="G3386" t="str">
            <v>B</v>
          </cell>
          <cell r="H3386">
            <v>0</v>
          </cell>
        </row>
        <row r="3387">
          <cell r="A3387" t="str">
            <v>1;07;D;B;PAQ10a15</v>
          </cell>
          <cell r="B3387">
            <v>730069</v>
          </cell>
          <cell r="C3387" t="str">
            <v>D</v>
          </cell>
          <cell r="D3387" t="str">
            <v>DISTRITAL</v>
          </cell>
          <cell r="E3387" t="str">
            <v>07</v>
          </cell>
          <cell r="F3387" t="str">
            <v>PAQ10a15</v>
          </cell>
          <cell r="G3387" t="str">
            <v>B</v>
          </cell>
          <cell r="H3387">
            <v>0</v>
          </cell>
        </row>
        <row r="3388">
          <cell r="A3388" t="str">
            <v>1;07;D;B;PAQ15a20</v>
          </cell>
          <cell r="B3388">
            <v>730069</v>
          </cell>
          <cell r="C3388" t="str">
            <v>D</v>
          </cell>
          <cell r="D3388" t="str">
            <v>DISTRITAL</v>
          </cell>
          <cell r="E3388" t="str">
            <v>07</v>
          </cell>
          <cell r="F3388" t="str">
            <v>PAQ15a20</v>
          </cell>
          <cell r="G3388" t="str">
            <v>B</v>
          </cell>
          <cell r="H3388">
            <v>0</v>
          </cell>
        </row>
        <row r="3389">
          <cell r="A3389" t="str">
            <v>1;07;D;B;PAQ20a25</v>
          </cell>
          <cell r="B3389">
            <v>730069</v>
          </cell>
          <cell r="C3389" t="str">
            <v>D</v>
          </cell>
          <cell r="D3389" t="str">
            <v>DISTRITAL</v>
          </cell>
          <cell r="E3389" t="str">
            <v>07</v>
          </cell>
          <cell r="F3389" t="str">
            <v>PAQ20a25</v>
          </cell>
          <cell r="G3389" t="str">
            <v>B</v>
          </cell>
          <cell r="H3389">
            <v>0</v>
          </cell>
        </row>
        <row r="3390">
          <cell r="A3390" t="str">
            <v>1;07;D;B;PAQ25a30</v>
          </cell>
          <cell r="B3390">
            <v>730069</v>
          </cell>
          <cell r="C3390" t="str">
            <v>D</v>
          </cell>
          <cell r="D3390" t="str">
            <v>DISTRITAL</v>
          </cell>
          <cell r="E3390" t="str">
            <v>07</v>
          </cell>
          <cell r="F3390" t="str">
            <v>PAQ25a30</v>
          </cell>
          <cell r="G3390" t="str">
            <v>B</v>
          </cell>
          <cell r="H3390">
            <v>0</v>
          </cell>
        </row>
        <row r="3391">
          <cell r="A3391" t="str">
            <v>1;07;D;B;PAQ30a35</v>
          </cell>
          <cell r="B3391">
            <v>730069</v>
          </cell>
          <cell r="C3391" t="str">
            <v>D</v>
          </cell>
          <cell r="D3391" t="str">
            <v>DISTRITAL</v>
          </cell>
          <cell r="E3391" t="str">
            <v>07</v>
          </cell>
          <cell r="F3391" t="str">
            <v>PAQ30a35</v>
          </cell>
          <cell r="G3391" t="str">
            <v>B</v>
          </cell>
          <cell r="H3391">
            <v>0</v>
          </cell>
        </row>
        <row r="3392">
          <cell r="A3392" t="str">
            <v>1;07;D;F;</v>
          </cell>
          <cell r="B3392">
            <v>730069</v>
          </cell>
          <cell r="C3392" t="str">
            <v>D</v>
          </cell>
          <cell r="D3392" t="str">
            <v>DISTRITAL</v>
          </cell>
          <cell r="E3392" t="str">
            <v>07</v>
          </cell>
          <cell r="F3392" t="str">
            <v/>
          </cell>
          <cell r="G3392" t="str">
            <v>F</v>
          </cell>
          <cell r="H3392">
            <v>0</v>
          </cell>
        </row>
        <row r="3393">
          <cell r="A3393" t="str">
            <v>1;07;D;B;PAQ35a40</v>
          </cell>
          <cell r="B3393">
            <v>730069</v>
          </cell>
          <cell r="C3393" t="str">
            <v>D</v>
          </cell>
          <cell r="D3393" t="str">
            <v>DISTRITAL</v>
          </cell>
          <cell r="E3393" t="str">
            <v>07</v>
          </cell>
          <cell r="F3393" t="str">
            <v>PAQ35a40</v>
          </cell>
          <cell r="G3393" t="str">
            <v>B</v>
          </cell>
          <cell r="H3393">
            <v>0</v>
          </cell>
        </row>
        <row r="3394">
          <cell r="A3394" t="str">
            <v>1;07;D;P;</v>
          </cell>
          <cell r="B3394">
            <v>730069</v>
          </cell>
          <cell r="C3394" t="str">
            <v>D</v>
          </cell>
          <cell r="D3394" t="str">
            <v>DISTRITAL</v>
          </cell>
          <cell r="E3394" t="str">
            <v>07</v>
          </cell>
          <cell r="F3394" t="str">
            <v/>
          </cell>
          <cell r="G3394" t="str">
            <v>P</v>
          </cell>
          <cell r="H3394">
            <v>9.3000000000000007</v>
          </cell>
        </row>
        <row r="3395">
          <cell r="A3395" t="str">
            <v>1;07;D;E;</v>
          </cell>
          <cell r="B3395">
            <v>730069</v>
          </cell>
          <cell r="C3395" t="str">
            <v>D</v>
          </cell>
          <cell r="D3395" t="str">
            <v>DISTRITAL</v>
          </cell>
          <cell r="E3395" t="str">
            <v>07</v>
          </cell>
          <cell r="F3395" t="str">
            <v/>
          </cell>
          <cell r="G3395" t="str">
            <v>E</v>
          </cell>
          <cell r="H3395">
            <v>9.3000000000000007</v>
          </cell>
        </row>
        <row r="3396">
          <cell r="A3396" t="str">
            <v>1;08;D;B;BAG</v>
          </cell>
          <cell r="B3396">
            <v>730069</v>
          </cell>
          <cell r="C3396" t="str">
            <v>D</v>
          </cell>
          <cell r="D3396" t="str">
            <v>DISTRITAL</v>
          </cell>
          <cell r="E3396" t="str">
            <v>08</v>
          </cell>
          <cell r="F3396" t="str">
            <v>BAG</v>
          </cell>
          <cell r="G3396" t="str">
            <v>B</v>
          </cell>
          <cell r="H3396">
            <v>7.18</v>
          </cell>
        </row>
        <row r="3397">
          <cell r="A3397" t="str">
            <v>1;08;D;B;DOCS</v>
          </cell>
          <cell r="B3397">
            <v>730069</v>
          </cell>
          <cell r="C3397" t="str">
            <v>D</v>
          </cell>
          <cell r="D3397" t="str">
            <v>DISTRITAL</v>
          </cell>
          <cell r="E3397" t="str">
            <v>08</v>
          </cell>
          <cell r="F3397" t="str">
            <v>DOCS</v>
          </cell>
          <cell r="G3397" t="str">
            <v>B</v>
          </cell>
          <cell r="H3397">
            <v>7.18</v>
          </cell>
        </row>
        <row r="3398">
          <cell r="A3398" t="str">
            <v>1;08;D;B;PAQ00a02</v>
          </cell>
          <cell r="B3398">
            <v>730069</v>
          </cell>
          <cell r="C3398" t="str">
            <v>D</v>
          </cell>
          <cell r="D3398" t="str">
            <v>DISTRITAL</v>
          </cell>
          <cell r="E3398" t="str">
            <v>08</v>
          </cell>
          <cell r="F3398" t="str">
            <v>PAQ00a02</v>
          </cell>
          <cell r="G3398" t="str">
            <v>B</v>
          </cell>
          <cell r="H3398">
            <v>7.18</v>
          </cell>
        </row>
        <row r="3399">
          <cell r="A3399" t="str">
            <v>1;08;D;B;PAQ02a05</v>
          </cell>
          <cell r="B3399">
            <v>730069</v>
          </cell>
          <cell r="C3399" t="str">
            <v>D</v>
          </cell>
          <cell r="D3399" t="str">
            <v>DISTRITAL</v>
          </cell>
          <cell r="E3399" t="str">
            <v>08</v>
          </cell>
          <cell r="F3399" t="str">
            <v>PAQ02a05</v>
          </cell>
          <cell r="G3399" t="str">
            <v>B</v>
          </cell>
          <cell r="H3399">
            <v>8.01</v>
          </cell>
        </row>
        <row r="3400">
          <cell r="A3400" t="str">
            <v>1;08;D;B;PAQ05a10</v>
          </cell>
          <cell r="B3400">
            <v>730069</v>
          </cell>
          <cell r="C3400" t="str">
            <v>D</v>
          </cell>
          <cell r="D3400" t="str">
            <v>DISTRITAL</v>
          </cell>
          <cell r="E3400" t="str">
            <v>08</v>
          </cell>
          <cell r="F3400" t="str">
            <v>PAQ05a10</v>
          </cell>
          <cell r="G3400" t="str">
            <v>B</v>
          </cell>
          <cell r="H3400">
            <v>10.199999999999999</v>
          </cell>
        </row>
        <row r="3401">
          <cell r="A3401" t="str">
            <v>1;08;D;B;PAQ10a15</v>
          </cell>
          <cell r="B3401">
            <v>730069</v>
          </cell>
          <cell r="C3401" t="str">
            <v>D</v>
          </cell>
          <cell r="D3401" t="str">
            <v>DISTRITAL</v>
          </cell>
          <cell r="E3401" t="str">
            <v>08</v>
          </cell>
          <cell r="F3401" t="str">
            <v>PAQ10a15</v>
          </cell>
          <cell r="G3401" t="str">
            <v>B</v>
          </cell>
          <cell r="H3401">
            <v>14.44</v>
          </cell>
        </row>
        <row r="3402">
          <cell r="A3402" t="str">
            <v>1;08;D;B;PAQ15a20</v>
          </cell>
          <cell r="B3402">
            <v>730069</v>
          </cell>
          <cell r="C3402" t="str">
            <v>D</v>
          </cell>
          <cell r="D3402" t="str">
            <v>DISTRITAL</v>
          </cell>
          <cell r="E3402" t="str">
            <v>08</v>
          </cell>
          <cell r="F3402" t="str">
            <v>PAQ15a20</v>
          </cell>
          <cell r="G3402" t="str">
            <v>B</v>
          </cell>
          <cell r="H3402">
            <v>18.670000000000002</v>
          </cell>
        </row>
        <row r="3403">
          <cell r="A3403" t="str">
            <v>1;08;D;B;PAQ20a25</v>
          </cell>
          <cell r="B3403">
            <v>730069</v>
          </cell>
          <cell r="C3403" t="str">
            <v>D</v>
          </cell>
          <cell r="D3403" t="str">
            <v>DISTRITAL</v>
          </cell>
          <cell r="E3403" t="str">
            <v>08</v>
          </cell>
          <cell r="F3403" t="str">
            <v>PAQ20a25</v>
          </cell>
          <cell r="G3403" t="str">
            <v>B</v>
          </cell>
          <cell r="H3403">
            <v>22.91</v>
          </cell>
        </row>
        <row r="3404">
          <cell r="A3404" t="str">
            <v>1;08;D;B;PAQ25a30</v>
          </cell>
          <cell r="B3404">
            <v>730069</v>
          </cell>
          <cell r="C3404" t="str">
            <v>D</v>
          </cell>
          <cell r="D3404" t="str">
            <v>DISTRITAL</v>
          </cell>
          <cell r="E3404" t="str">
            <v>08</v>
          </cell>
          <cell r="F3404" t="str">
            <v>PAQ25a30</v>
          </cell>
          <cell r="G3404" t="str">
            <v>B</v>
          </cell>
          <cell r="H3404">
            <v>27.14</v>
          </cell>
        </row>
        <row r="3405">
          <cell r="A3405" t="str">
            <v>1;08;D;B;PAQ30a35</v>
          </cell>
          <cell r="B3405">
            <v>730069</v>
          </cell>
          <cell r="C3405" t="str">
            <v>D</v>
          </cell>
          <cell r="D3405" t="str">
            <v>DISTRITAL</v>
          </cell>
          <cell r="E3405" t="str">
            <v>08</v>
          </cell>
          <cell r="F3405" t="str">
            <v>PAQ30a35</v>
          </cell>
          <cell r="G3405" t="str">
            <v>B</v>
          </cell>
          <cell r="H3405">
            <v>31.37</v>
          </cell>
        </row>
        <row r="3406">
          <cell r="A3406" t="str">
            <v>1;08;D;F;</v>
          </cell>
          <cell r="B3406">
            <v>730069</v>
          </cell>
          <cell r="C3406" t="str">
            <v>D</v>
          </cell>
          <cell r="D3406" t="str">
            <v>DISTRITAL</v>
          </cell>
          <cell r="E3406" t="str">
            <v>08</v>
          </cell>
          <cell r="F3406" t="str">
            <v/>
          </cell>
          <cell r="G3406" t="str">
            <v>F</v>
          </cell>
          <cell r="H3406">
            <v>4.84</v>
          </cell>
        </row>
        <row r="3407">
          <cell r="A3407" t="str">
            <v>1;08;D;B;PAQ35a40</v>
          </cell>
          <cell r="B3407">
            <v>730069</v>
          </cell>
          <cell r="C3407" t="str">
            <v>D</v>
          </cell>
          <cell r="D3407" t="str">
            <v>DISTRITAL</v>
          </cell>
          <cell r="E3407" t="str">
            <v>08</v>
          </cell>
          <cell r="F3407" t="str">
            <v>PAQ35a40</v>
          </cell>
          <cell r="G3407" t="str">
            <v>B</v>
          </cell>
          <cell r="H3407">
            <v>35.619999999999997</v>
          </cell>
        </row>
        <row r="3408">
          <cell r="A3408" t="str">
            <v>1;08;D;E;</v>
          </cell>
          <cell r="B3408">
            <v>730069</v>
          </cell>
          <cell r="C3408" t="str">
            <v>D</v>
          </cell>
          <cell r="D3408" t="str">
            <v>DISTRITAL</v>
          </cell>
          <cell r="E3408" t="str">
            <v>08</v>
          </cell>
          <cell r="F3408" t="str">
            <v/>
          </cell>
          <cell r="G3408" t="str">
            <v>E</v>
          </cell>
          <cell r="H3408">
            <v>4.84</v>
          </cell>
        </row>
        <row r="3409">
          <cell r="A3409" t="str">
            <v>1;08;D;P;</v>
          </cell>
          <cell r="B3409">
            <v>730069</v>
          </cell>
          <cell r="C3409" t="str">
            <v>D</v>
          </cell>
          <cell r="D3409" t="str">
            <v>DISTRITAL</v>
          </cell>
          <cell r="E3409" t="str">
            <v>08</v>
          </cell>
          <cell r="F3409" t="str">
            <v/>
          </cell>
          <cell r="G3409" t="str">
            <v>P</v>
          </cell>
          <cell r="H3409">
            <v>4.84</v>
          </cell>
        </row>
        <row r="3410">
          <cell r="A3410" t="str">
            <v>1;10;D;B;BAG</v>
          </cell>
          <cell r="B3410">
            <v>730069</v>
          </cell>
          <cell r="C3410" t="str">
            <v>D</v>
          </cell>
          <cell r="D3410" t="str">
            <v>DISTRITAL</v>
          </cell>
          <cell r="E3410" t="str">
            <v>10</v>
          </cell>
          <cell r="F3410" t="str">
            <v>BAG</v>
          </cell>
          <cell r="G3410" t="str">
            <v>B</v>
          </cell>
          <cell r="H3410">
            <v>1.67</v>
          </cell>
        </row>
        <row r="3411">
          <cell r="A3411" t="str">
            <v>1;10;D;B;DOCS</v>
          </cell>
          <cell r="B3411">
            <v>730069</v>
          </cell>
          <cell r="C3411" t="str">
            <v>D</v>
          </cell>
          <cell r="D3411" t="str">
            <v>DISTRITAL</v>
          </cell>
          <cell r="E3411" t="str">
            <v>10</v>
          </cell>
          <cell r="F3411" t="str">
            <v>DOCS</v>
          </cell>
          <cell r="G3411" t="str">
            <v>B</v>
          </cell>
          <cell r="H3411">
            <v>1.67</v>
          </cell>
        </row>
        <row r="3412">
          <cell r="A3412" t="str">
            <v>1;11;D;B;BAG</v>
          </cell>
          <cell r="B3412">
            <v>730069</v>
          </cell>
          <cell r="C3412" t="str">
            <v>D</v>
          </cell>
          <cell r="D3412" t="str">
            <v>DISTRITAL</v>
          </cell>
          <cell r="E3412" t="str">
            <v>11</v>
          </cell>
          <cell r="F3412" t="str">
            <v>BAG</v>
          </cell>
          <cell r="G3412" t="str">
            <v>B</v>
          </cell>
          <cell r="H3412">
            <v>21.38</v>
          </cell>
        </row>
        <row r="3413">
          <cell r="A3413" t="str">
            <v>1;11;D;B;PAQ00a02</v>
          </cell>
          <cell r="B3413">
            <v>730069</v>
          </cell>
          <cell r="C3413" t="str">
            <v>D</v>
          </cell>
          <cell r="D3413" t="str">
            <v>DISTRITAL</v>
          </cell>
          <cell r="E3413" t="str">
            <v>11</v>
          </cell>
          <cell r="F3413" t="str">
            <v>PAQ00a02</v>
          </cell>
          <cell r="G3413" t="str">
            <v>B</v>
          </cell>
          <cell r="H3413">
            <v>24.78</v>
          </cell>
        </row>
        <row r="3414">
          <cell r="A3414" t="str">
            <v>1;11;D;B;PAQ02a05</v>
          </cell>
          <cell r="B3414">
            <v>730069</v>
          </cell>
          <cell r="C3414" t="str">
            <v>D</v>
          </cell>
          <cell r="D3414" t="str">
            <v>DISTRITAL</v>
          </cell>
          <cell r="E3414" t="str">
            <v>11</v>
          </cell>
          <cell r="F3414" t="str">
            <v>PAQ02a05</v>
          </cell>
          <cell r="G3414" t="str">
            <v>B</v>
          </cell>
          <cell r="H3414">
            <v>24.78</v>
          </cell>
        </row>
        <row r="3415">
          <cell r="A3415" t="str">
            <v>1;11;D;B;PAQ05a10</v>
          </cell>
          <cell r="B3415">
            <v>730069</v>
          </cell>
          <cell r="C3415" t="str">
            <v>D</v>
          </cell>
          <cell r="D3415" t="str">
            <v>DISTRITAL</v>
          </cell>
          <cell r="E3415" t="str">
            <v>11</v>
          </cell>
          <cell r="F3415" t="str">
            <v>PAQ05a10</v>
          </cell>
          <cell r="G3415" t="str">
            <v>B</v>
          </cell>
          <cell r="H3415">
            <v>38.89</v>
          </cell>
        </row>
        <row r="3416">
          <cell r="A3416" t="str">
            <v>1;11;D;B;PAQ10a15</v>
          </cell>
          <cell r="B3416">
            <v>730069</v>
          </cell>
          <cell r="C3416" t="str">
            <v>D</v>
          </cell>
          <cell r="D3416" t="str">
            <v>DISTRITAL</v>
          </cell>
          <cell r="E3416" t="str">
            <v>11</v>
          </cell>
          <cell r="F3416" t="str">
            <v>PAQ10a15</v>
          </cell>
          <cell r="G3416" t="str">
            <v>B</v>
          </cell>
          <cell r="H3416">
            <v>53.25</v>
          </cell>
        </row>
        <row r="3417">
          <cell r="A3417" t="str">
            <v>1;11;D;B;PAQ15a20</v>
          </cell>
          <cell r="B3417">
            <v>730069</v>
          </cell>
          <cell r="C3417" t="str">
            <v>D</v>
          </cell>
          <cell r="D3417" t="str">
            <v>DISTRITAL</v>
          </cell>
          <cell r="E3417" t="str">
            <v>11</v>
          </cell>
          <cell r="F3417" t="str">
            <v>PAQ15a20</v>
          </cell>
          <cell r="G3417" t="str">
            <v>B</v>
          </cell>
          <cell r="H3417">
            <v>67.599999999999994</v>
          </cell>
        </row>
        <row r="3418">
          <cell r="A3418" t="str">
            <v>1;11;D;B;PAQ20a25</v>
          </cell>
          <cell r="B3418">
            <v>730069</v>
          </cell>
          <cell r="C3418" t="str">
            <v>D</v>
          </cell>
          <cell r="D3418" t="str">
            <v>DISTRITAL</v>
          </cell>
          <cell r="E3418" t="str">
            <v>11</v>
          </cell>
          <cell r="F3418" t="str">
            <v>PAQ20a25</v>
          </cell>
          <cell r="G3418" t="str">
            <v>B</v>
          </cell>
          <cell r="H3418">
            <v>81.94</v>
          </cell>
        </row>
        <row r="3419">
          <cell r="A3419" t="str">
            <v>1;11;D;B;PAQ25a30</v>
          </cell>
          <cell r="B3419">
            <v>730069</v>
          </cell>
          <cell r="C3419" t="str">
            <v>D</v>
          </cell>
          <cell r="D3419" t="str">
            <v>DISTRITAL</v>
          </cell>
          <cell r="E3419" t="str">
            <v>11</v>
          </cell>
          <cell r="F3419" t="str">
            <v>PAQ25a30</v>
          </cell>
          <cell r="G3419" t="str">
            <v>B</v>
          </cell>
          <cell r="H3419">
            <v>96.3</v>
          </cell>
        </row>
        <row r="3420">
          <cell r="A3420" t="str">
            <v>1;11;D;B;PAQ30a35</v>
          </cell>
          <cell r="B3420">
            <v>730069</v>
          </cell>
          <cell r="C3420" t="str">
            <v>D</v>
          </cell>
          <cell r="D3420" t="str">
            <v>DISTRITAL</v>
          </cell>
          <cell r="E3420" t="str">
            <v>11</v>
          </cell>
          <cell r="F3420" t="str">
            <v>PAQ30a35</v>
          </cell>
          <cell r="G3420" t="str">
            <v>B</v>
          </cell>
          <cell r="H3420">
            <v>110.65</v>
          </cell>
        </row>
        <row r="3421">
          <cell r="A3421" t="str">
            <v>1;11;D;B;PAQ35a40</v>
          </cell>
          <cell r="B3421">
            <v>730069</v>
          </cell>
          <cell r="C3421" t="str">
            <v>D</v>
          </cell>
          <cell r="D3421" t="str">
            <v>DISTRITAL</v>
          </cell>
          <cell r="E3421" t="str">
            <v>11</v>
          </cell>
          <cell r="F3421" t="str">
            <v>PAQ35a40</v>
          </cell>
          <cell r="G3421" t="str">
            <v>B</v>
          </cell>
          <cell r="H3421">
            <v>125</v>
          </cell>
        </row>
        <row r="3422">
          <cell r="A3422" t="str">
            <v>1;11;D;F;</v>
          </cell>
          <cell r="B3422">
            <v>730069</v>
          </cell>
          <cell r="C3422" t="str">
            <v>D</v>
          </cell>
          <cell r="D3422" t="str">
            <v>DISTRITAL</v>
          </cell>
          <cell r="E3422" t="str">
            <v>11</v>
          </cell>
          <cell r="F3422" t="str">
            <v/>
          </cell>
          <cell r="G3422" t="str">
            <v>F</v>
          </cell>
          <cell r="H3422">
            <v>14.35</v>
          </cell>
        </row>
        <row r="3423">
          <cell r="A3423" t="str">
            <v>1;11;D;P;</v>
          </cell>
          <cell r="B3423">
            <v>730069</v>
          </cell>
          <cell r="C3423" t="str">
            <v>D</v>
          </cell>
          <cell r="D3423" t="str">
            <v>DISTRITAL</v>
          </cell>
          <cell r="E3423" t="str">
            <v>11</v>
          </cell>
          <cell r="F3423" t="str">
            <v/>
          </cell>
          <cell r="G3423" t="str">
            <v>P</v>
          </cell>
          <cell r="H3423">
            <v>14.51</v>
          </cell>
        </row>
        <row r="3424">
          <cell r="A3424" t="str">
            <v>1;11;D;E;</v>
          </cell>
          <cell r="B3424">
            <v>730069</v>
          </cell>
          <cell r="C3424" t="str">
            <v>D</v>
          </cell>
          <cell r="D3424" t="str">
            <v>DISTRITAL</v>
          </cell>
          <cell r="E3424" t="str">
            <v>11</v>
          </cell>
          <cell r="F3424" t="str">
            <v/>
          </cell>
          <cell r="G3424" t="str">
            <v>E</v>
          </cell>
          <cell r="H3424">
            <v>14.51</v>
          </cell>
        </row>
        <row r="3425">
          <cell r="A3425" t="str">
            <v>1;12;D;B;BAG</v>
          </cell>
          <cell r="B3425">
            <v>730069</v>
          </cell>
          <cell r="C3425" t="str">
            <v>D</v>
          </cell>
          <cell r="D3425" t="str">
            <v>DISTRITAL</v>
          </cell>
          <cell r="E3425" t="str">
            <v>12</v>
          </cell>
          <cell r="F3425" t="str">
            <v>BAG</v>
          </cell>
          <cell r="G3425" t="str">
            <v>B</v>
          </cell>
          <cell r="H3425">
            <v>3.58</v>
          </cell>
        </row>
        <row r="3426">
          <cell r="A3426" t="str">
            <v>1;12;D;B;DOCS</v>
          </cell>
          <cell r="B3426">
            <v>730069</v>
          </cell>
          <cell r="C3426" t="str">
            <v>D</v>
          </cell>
          <cell r="D3426" t="str">
            <v>DISTRITAL</v>
          </cell>
          <cell r="E3426" t="str">
            <v>12</v>
          </cell>
          <cell r="F3426" t="str">
            <v>DOCS</v>
          </cell>
          <cell r="G3426" t="str">
            <v>B</v>
          </cell>
          <cell r="H3426">
            <v>3.58</v>
          </cell>
        </row>
        <row r="3427">
          <cell r="A3427" t="str">
            <v>1;14;D;B;BAG</v>
          </cell>
          <cell r="B3427">
            <v>730069</v>
          </cell>
          <cell r="C3427" t="str">
            <v>D</v>
          </cell>
          <cell r="D3427" t="str">
            <v>DISTRITAL</v>
          </cell>
          <cell r="E3427" t="str">
            <v>14</v>
          </cell>
          <cell r="F3427" t="str">
            <v>BAG</v>
          </cell>
          <cell r="G3427" t="str">
            <v>B</v>
          </cell>
          <cell r="H3427">
            <v>1.75</v>
          </cell>
        </row>
        <row r="3428">
          <cell r="A3428" t="str">
            <v>1;15;D;B;BAG</v>
          </cell>
          <cell r="B3428">
            <v>730069</v>
          </cell>
          <cell r="C3428" t="str">
            <v>D</v>
          </cell>
          <cell r="D3428" t="str">
            <v>DISTRITAL</v>
          </cell>
          <cell r="E3428" t="str">
            <v>15</v>
          </cell>
          <cell r="F3428" t="str">
            <v>BAG</v>
          </cell>
          <cell r="G3428" t="str">
            <v>B</v>
          </cell>
          <cell r="H3428">
            <v>1.75</v>
          </cell>
        </row>
        <row r="3429">
          <cell r="A3429" t="str">
            <v>1;17;D;B;PAQ00a02</v>
          </cell>
          <cell r="B3429">
            <v>730069</v>
          </cell>
          <cell r="C3429" t="str">
            <v>D</v>
          </cell>
          <cell r="D3429" t="str">
            <v>DISTRITAL</v>
          </cell>
          <cell r="E3429" t="str">
            <v>17</v>
          </cell>
          <cell r="F3429" t="str">
            <v>PAQ00a02</v>
          </cell>
          <cell r="G3429" t="str">
            <v>B</v>
          </cell>
          <cell r="H3429">
            <v>2.63</v>
          </cell>
        </row>
        <row r="3430">
          <cell r="A3430" t="str">
            <v>1;17;D;B;PAQ02a05</v>
          </cell>
          <cell r="B3430">
            <v>730069</v>
          </cell>
          <cell r="C3430" t="str">
            <v>D</v>
          </cell>
          <cell r="D3430" t="str">
            <v>DISTRITAL</v>
          </cell>
          <cell r="E3430" t="str">
            <v>17</v>
          </cell>
          <cell r="F3430" t="str">
            <v>PAQ02a05</v>
          </cell>
          <cell r="G3430" t="str">
            <v>B</v>
          </cell>
          <cell r="H3430">
            <v>5.0599999999999996</v>
          </cell>
        </row>
        <row r="3431">
          <cell r="A3431" t="str">
            <v>1;17;D;B;PAQ05a10</v>
          </cell>
          <cell r="B3431">
            <v>730069</v>
          </cell>
          <cell r="C3431" t="str">
            <v>D</v>
          </cell>
          <cell r="D3431" t="str">
            <v>DISTRITAL</v>
          </cell>
          <cell r="E3431" t="str">
            <v>17</v>
          </cell>
          <cell r="F3431" t="str">
            <v>PAQ05a10</v>
          </cell>
          <cell r="G3431" t="str">
            <v>B</v>
          </cell>
          <cell r="H3431">
            <v>7.5</v>
          </cell>
        </row>
        <row r="3432">
          <cell r="A3432" t="str">
            <v>1;17;D;B;PAQ10a15</v>
          </cell>
          <cell r="B3432">
            <v>730069</v>
          </cell>
          <cell r="C3432" t="str">
            <v>D</v>
          </cell>
          <cell r="D3432" t="str">
            <v>DISTRITAL</v>
          </cell>
          <cell r="E3432" t="str">
            <v>17</v>
          </cell>
          <cell r="F3432" t="str">
            <v>PAQ10a15</v>
          </cell>
          <cell r="G3432" t="str">
            <v>B</v>
          </cell>
          <cell r="H3432">
            <v>8.7200000000000006</v>
          </cell>
        </row>
        <row r="3433">
          <cell r="A3433" t="str">
            <v>1;17;D;B;PAQ15a20</v>
          </cell>
          <cell r="B3433">
            <v>730069</v>
          </cell>
          <cell r="C3433" t="str">
            <v>D</v>
          </cell>
          <cell r="D3433" t="str">
            <v>DISTRITAL</v>
          </cell>
          <cell r="E3433" t="str">
            <v>17</v>
          </cell>
          <cell r="F3433" t="str">
            <v>PAQ15a20</v>
          </cell>
          <cell r="G3433" t="str">
            <v>B</v>
          </cell>
          <cell r="H3433">
            <v>9.94</v>
          </cell>
        </row>
        <row r="3434">
          <cell r="A3434" t="str">
            <v>1;17;D;B;PAQ20a25</v>
          </cell>
          <cell r="B3434">
            <v>730069</v>
          </cell>
          <cell r="C3434" t="str">
            <v>D</v>
          </cell>
          <cell r="D3434" t="str">
            <v>DISTRITAL</v>
          </cell>
          <cell r="E3434" t="str">
            <v>17</v>
          </cell>
          <cell r="F3434" t="str">
            <v>PAQ20a25</v>
          </cell>
          <cell r="G3434" t="str">
            <v>B</v>
          </cell>
          <cell r="H3434">
            <v>15.44</v>
          </cell>
        </row>
        <row r="3435">
          <cell r="A3435" t="str">
            <v>1;17;D;B;PAQ25a30</v>
          </cell>
          <cell r="B3435">
            <v>730069</v>
          </cell>
          <cell r="C3435" t="str">
            <v>D</v>
          </cell>
          <cell r="D3435" t="str">
            <v>DISTRITAL</v>
          </cell>
          <cell r="E3435" t="str">
            <v>17</v>
          </cell>
          <cell r="F3435" t="str">
            <v>PAQ25a30</v>
          </cell>
          <cell r="G3435" t="str">
            <v>B</v>
          </cell>
          <cell r="H3435">
            <v>20.93</v>
          </cell>
        </row>
        <row r="3436">
          <cell r="A3436" t="str">
            <v>1;17;D;B;PAQ30a35</v>
          </cell>
          <cell r="B3436">
            <v>730069</v>
          </cell>
          <cell r="C3436" t="str">
            <v>D</v>
          </cell>
          <cell r="D3436" t="str">
            <v>DISTRITAL</v>
          </cell>
          <cell r="E3436" t="str">
            <v>17</v>
          </cell>
          <cell r="F3436" t="str">
            <v>PAQ30a35</v>
          </cell>
          <cell r="G3436" t="str">
            <v>B</v>
          </cell>
          <cell r="H3436">
            <v>26.42</v>
          </cell>
        </row>
        <row r="3437">
          <cell r="A3437" t="str">
            <v>1;17;D;F;</v>
          </cell>
          <cell r="B3437">
            <v>730069</v>
          </cell>
          <cell r="C3437" t="str">
            <v>D</v>
          </cell>
          <cell r="D3437" t="str">
            <v>DISTRITAL</v>
          </cell>
          <cell r="E3437" t="str">
            <v>17</v>
          </cell>
          <cell r="F3437" t="str">
            <v/>
          </cell>
          <cell r="G3437" t="str">
            <v>F</v>
          </cell>
          <cell r="H3437">
            <v>5.49</v>
          </cell>
        </row>
        <row r="3438">
          <cell r="A3438" t="str">
            <v>1;17;D;B;PAQ35a40</v>
          </cell>
          <cell r="B3438">
            <v>730069</v>
          </cell>
          <cell r="C3438" t="str">
            <v>D</v>
          </cell>
          <cell r="D3438" t="str">
            <v>DISTRITAL</v>
          </cell>
          <cell r="E3438" t="str">
            <v>17</v>
          </cell>
          <cell r="F3438" t="str">
            <v>PAQ35a40</v>
          </cell>
          <cell r="G3438" t="str">
            <v>B</v>
          </cell>
          <cell r="H3438">
            <v>31.92</v>
          </cell>
        </row>
        <row r="3439">
          <cell r="A3439" t="str">
            <v>1;17;D;P;</v>
          </cell>
          <cell r="B3439">
            <v>730069</v>
          </cell>
          <cell r="C3439" t="str">
            <v>D</v>
          </cell>
          <cell r="D3439" t="str">
            <v>DISTRITAL</v>
          </cell>
          <cell r="E3439" t="str">
            <v>17</v>
          </cell>
          <cell r="F3439" t="str">
            <v/>
          </cell>
          <cell r="G3439" t="str">
            <v>P</v>
          </cell>
          <cell r="H3439">
            <v>0</v>
          </cell>
        </row>
        <row r="3440">
          <cell r="A3440" t="str">
            <v>1;17;D;E;</v>
          </cell>
          <cell r="B3440">
            <v>730069</v>
          </cell>
          <cell r="C3440" t="str">
            <v>D</v>
          </cell>
          <cell r="D3440" t="str">
            <v>DISTRITAL</v>
          </cell>
          <cell r="E3440" t="str">
            <v>17</v>
          </cell>
          <cell r="F3440" t="str">
            <v/>
          </cell>
          <cell r="G3440" t="str">
            <v>E</v>
          </cell>
          <cell r="H3440">
            <v>5.49</v>
          </cell>
        </row>
        <row r="3441">
          <cell r="A3441" t="str">
            <v>1;18;D;B;BAG</v>
          </cell>
          <cell r="B3441">
            <v>730069</v>
          </cell>
          <cell r="C3441" t="str">
            <v>D</v>
          </cell>
          <cell r="D3441" t="str">
            <v>DISTRITAL</v>
          </cell>
          <cell r="E3441" t="str">
            <v>18</v>
          </cell>
          <cell r="F3441" t="str">
            <v>BAG</v>
          </cell>
          <cell r="G3441" t="str">
            <v>B</v>
          </cell>
          <cell r="H3441">
            <v>2.42</v>
          </cell>
        </row>
        <row r="3442">
          <cell r="A3442" t="str">
            <v>1;18;D;B;PAQ00a02</v>
          </cell>
          <cell r="B3442">
            <v>730069</v>
          </cell>
          <cell r="C3442" t="str">
            <v>D</v>
          </cell>
          <cell r="D3442" t="str">
            <v>DISTRITAL</v>
          </cell>
          <cell r="E3442" t="str">
            <v>18</v>
          </cell>
          <cell r="F3442" t="str">
            <v>PAQ00a02</v>
          </cell>
          <cell r="G3442" t="str">
            <v>B</v>
          </cell>
          <cell r="H3442">
            <v>2.42</v>
          </cell>
        </row>
        <row r="3443">
          <cell r="A3443" t="str">
            <v>1;18;D;B;PAQ02a05</v>
          </cell>
          <cell r="B3443">
            <v>730069</v>
          </cell>
          <cell r="C3443" t="str">
            <v>D</v>
          </cell>
          <cell r="D3443" t="str">
            <v>DISTRITAL</v>
          </cell>
          <cell r="E3443" t="str">
            <v>18</v>
          </cell>
          <cell r="F3443" t="str">
            <v>PAQ02a05</v>
          </cell>
          <cell r="G3443" t="str">
            <v>B</v>
          </cell>
          <cell r="H3443">
            <v>3.74</v>
          </cell>
        </row>
        <row r="3444">
          <cell r="A3444" t="str">
            <v>1;18;D;B;PAQ05a10</v>
          </cell>
          <cell r="B3444">
            <v>730069</v>
          </cell>
          <cell r="C3444" t="str">
            <v>D</v>
          </cell>
          <cell r="D3444" t="str">
            <v>DISTRITAL</v>
          </cell>
          <cell r="E3444" t="str">
            <v>18</v>
          </cell>
          <cell r="F3444" t="str">
            <v>PAQ05a10</v>
          </cell>
          <cell r="G3444" t="str">
            <v>B</v>
          </cell>
          <cell r="H3444">
            <v>4.55</v>
          </cell>
        </row>
        <row r="3445">
          <cell r="A3445" t="str">
            <v>1;18;D;B;PAQ10a15</v>
          </cell>
          <cell r="B3445">
            <v>730069</v>
          </cell>
          <cell r="C3445" t="str">
            <v>D</v>
          </cell>
          <cell r="D3445" t="str">
            <v>DISTRITAL</v>
          </cell>
          <cell r="E3445" t="str">
            <v>18</v>
          </cell>
          <cell r="F3445" t="str">
            <v>PAQ10a15</v>
          </cell>
          <cell r="G3445" t="str">
            <v>B</v>
          </cell>
          <cell r="H3445">
            <v>5.38</v>
          </cell>
        </row>
        <row r="3446">
          <cell r="A3446" t="str">
            <v>1;18;D;B;PAQ15a20</v>
          </cell>
          <cell r="B3446">
            <v>730069</v>
          </cell>
          <cell r="C3446" t="str">
            <v>D</v>
          </cell>
          <cell r="D3446" t="str">
            <v>DISTRITAL</v>
          </cell>
          <cell r="E3446" t="str">
            <v>18</v>
          </cell>
          <cell r="F3446" t="str">
            <v>PAQ15a20</v>
          </cell>
          <cell r="G3446" t="str">
            <v>B</v>
          </cell>
          <cell r="H3446">
            <v>6.18</v>
          </cell>
        </row>
        <row r="3447">
          <cell r="A3447" t="str">
            <v>1;21;D;B;BAG</v>
          </cell>
          <cell r="B3447">
            <v>730069</v>
          </cell>
          <cell r="C3447" t="str">
            <v>D</v>
          </cell>
          <cell r="D3447" t="str">
            <v>DISTRITAL</v>
          </cell>
          <cell r="E3447" t="str">
            <v>21</v>
          </cell>
          <cell r="F3447" t="str">
            <v>BAG</v>
          </cell>
          <cell r="G3447" t="str">
            <v>B</v>
          </cell>
          <cell r="H3447">
            <v>15.83</v>
          </cell>
        </row>
        <row r="3448">
          <cell r="A3448" t="str">
            <v>1;21;D;B;DOCS</v>
          </cell>
          <cell r="B3448">
            <v>730069</v>
          </cell>
          <cell r="C3448" t="str">
            <v>D</v>
          </cell>
          <cell r="D3448" t="str">
            <v>DISTRITAL</v>
          </cell>
          <cell r="E3448" t="str">
            <v>21</v>
          </cell>
          <cell r="F3448" t="str">
            <v>DOCS</v>
          </cell>
          <cell r="G3448" t="str">
            <v>B</v>
          </cell>
          <cell r="H3448">
            <v>15.83</v>
          </cell>
        </row>
        <row r="3449">
          <cell r="A3449" t="str">
            <v>1;21;D;B;PAQ00a02</v>
          </cell>
          <cell r="B3449">
            <v>730069</v>
          </cell>
          <cell r="C3449" t="str">
            <v>D</v>
          </cell>
          <cell r="D3449" t="str">
            <v>DISTRITAL</v>
          </cell>
          <cell r="E3449" t="str">
            <v>21</v>
          </cell>
          <cell r="F3449" t="str">
            <v>PAQ00a02</v>
          </cell>
          <cell r="G3449" t="str">
            <v>B</v>
          </cell>
          <cell r="H3449">
            <v>16.82</v>
          </cell>
        </row>
        <row r="3450">
          <cell r="A3450" t="str">
            <v>1;21;D;B;PAQ02a05</v>
          </cell>
          <cell r="B3450">
            <v>730069</v>
          </cell>
          <cell r="C3450" t="str">
            <v>D</v>
          </cell>
          <cell r="D3450" t="str">
            <v>DISTRITAL</v>
          </cell>
          <cell r="E3450" t="str">
            <v>21</v>
          </cell>
          <cell r="F3450" t="str">
            <v>PAQ02a05</v>
          </cell>
          <cell r="G3450" t="str">
            <v>B</v>
          </cell>
          <cell r="H3450">
            <v>16.82</v>
          </cell>
        </row>
        <row r="3451">
          <cell r="A3451" t="str">
            <v>1;21;D;B;PAQ05a10</v>
          </cell>
          <cell r="B3451">
            <v>730069</v>
          </cell>
          <cell r="C3451" t="str">
            <v>D</v>
          </cell>
          <cell r="D3451" t="str">
            <v>DISTRITAL</v>
          </cell>
          <cell r="E3451" t="str">
            <v>21</v>
          </cell>
          <cell r="F3451" t="str">
            <v>PAQ05a10</v>
          </cell>
          <cell r="G3451" t="str">
            <v>B</v>
          </cell>
          <cell r="H3451">
            <v>23</v>
          </cell>
        </row>
        <row r="3452">
          <cell r="A3452" t="str">
            <v>1;21;D;B;PAQ10a15</v>
          </cell>
          <cell r="B3452">
            <v>730069</v>
          </cell>
          <cell r="C3452" t="str">
            <v>D</v>
          </cell>
          <cell r="D3452" t="str">
            <v>DISTRITAL</v>
          </cell>
          <cell r="E3452" t="str">
            <v>21</v>
          </cell>
          <cell r="F3452" t="str">
            <v>PAQ10a15</v>
          </cell>
          <cell r="G3452" t="str">
            <v>B</v>
          </cell>
          <cell r="H3452">
            <v>27.9</v>
          </cell>
        </row>
        <row r="3453">
          <cell r="A3453" t="str">
            <v>1;21;D;B;PAQ15a20</v>
          </cell>
          <cell r="B3453">
            <v>730069</v>
          </cell>
          <cell r="C3453" t="str">
            <v>D</v>
          </cell>
          <cell r="D3453" t="str">
            <v>DISTRITAL</v>
          </cell>
          <cell r="E3453" t="str">
            <v>21</v>
          </cell>
          <cell r="F3453" t="str">
            <v>PAQ15a20</v>
          </cell>
          <cell r="G3453" t="str">
            <v>B</v>
          </cell>
          <cell r="H3453">
            <v>32.81</v>
          </cell>
        </row>
        <row r="3454">
          <cell r="A3454" t="str">
            <v>1;21;D;B;PAQ20a25</v>
          </cell>
          <cell r="B3454">
            <v>730069</v>
          </cell>
          <cell r="C3454" t="str">
            <v>D</v>
          </cell>
          <cell r="D3454" t="str">
            <v>DISTRITAL</v>
          </cell>
          <cell r="E3454" t="str">
            <v>21</v>
          </cell>
          <cell r="F3454" t="str">
            <v>PAQ20a25</v>
          </cell>
          <cell r="G3454" t="str">
            <v>B</v>
          </cell>
          <cell r="H3454">
            <v>37.729999999999997</v>
          </cell>
        </row>
        <row r="3455">
          <cell r="A3455" t="str">
            <v>1;21;D;B;PAQ25a30</v>
          </cell>
          <cell r="B3455">
            <v>730069</v>
          </cell>
          <cell r="C3455" t="str">
            <v>D</v>
          </cell>
          <cell r="D3455" t="str">
            <v>DISTRITAL</v>
          </cell>
          <cell r="E3455" t="str">
            <v>21</v>
          </cell>
          <cell r="F3455" t="str">
            <v>PAQ25a30</v>
          </cell>
          <cell r="G3455" t="str">
            <v>B</v>
          </cell>
          <cell r="H3455">
            <v>42.63</v>
          </cell>
        </row>
        <row r="3456">
          <cell r="A3456" t="str">
            <v>1;21;D;B;PAQ30a35</v>
          </cell>
          <cell r="B3456">
            <v>730069</v>
          </cell>
          <cell r="C3456" t="str">
            <v>D</v>
          </cell>
          <cell r="D3456" t="str">
            <v>DISTRITAL</v>
          </cell>
          <cell r="E3456" t="str">
            <v>21</v>
          </cell>
          <cell r="F3456" t="str">
            <v>PAQ30a35</v>
          </cell>
          <cell r="G3456" t="str">
            <v>B</v>
          </cell>
          <cell r="H3456">
            <v>47.54</v>
          </cell>
        </row>
        <row r="3457">
          <cell r="A3457" t="str">
            <v>1;21;D;F;</v>
          </cell>
          <cell r="B3457">
            <v>730069</v>
          </cell>
          <cell r="C3457" t="str">
            <v>D</v>
          </cell>
          <cell r="D3457" t="str">
            <v>DISTRITAL</v>
          </cell>
          <cell r="E3457" t="str">
            <v>21</v>
          </cell>
          <cell r="F3457" t="str">
            <v/>
          </cell>
          <cell r="G3457" t="str">
            <v>F</v>
          </cell>
          <cell r="H3457">
            <v>4.91</v>
          </cell>
        </row>
        <row r="3458">
          <cell r="A3458" t="str">
            <v>1;21;D;B;PAQ35a40</v>
          </cell>
          <cell r="B3458">
            <v>730069</v>
          </cell>
          <cell r="C3458" t="str">
            <v>D</v>
          </cell>
          <cell r="D3458" t="str">
            <v>DISTRITAL</v>
          </cell>
          <cell r="E3458" t="str">
            <v>21</v>
          </cell>
          <cell r="F3458" t="str">
            <v>PAQ35a40</v>
          </cell>
          <cell r="G3458" t="str">
            <v>B</v>
          </cell>
          <cell r="H3458">
            <v>52.46</v>
          </cell>
        </row>
        <row r="3459">
          <cell r="A3459" t="str">
            <v>1;21;D;E;</v>
          </cell>
          <cell r="B3459">
            <v>730069</v>
          </cell>
          <cell r="C3459" t="str">
            <v>D</v>
          </cell>
          <cell r="D3459" t="str">
            <v>DISTRITAL</v>
          </cell>
          <cell r="E3459" t="str">
            <v>21</v>
          </cell>
          <cell r="F3459" t="str">
            <v/>
          </cell>
          <cell r="G3459" t="str">
            <v>E</v>
          </cell>
          <cell r="H3459">
            <v>9.3000000000000007</v>
          </cell>
        </row>
        <row r="3460">
          <cell r="A3460" t="str">
            <v>1;21;D;P;</v>
          </cell>
          <cell r="B3460">
            <v>730069</v>
          </cell>
          <cell r="C3460" t="str">
            <v>D</v>
          </cell>
          <cell r="D3460" t="str">
            <v>DISTRITAL</v>
          </cell>
          <cell r="E3460" t="str">
            <v>21</v>
          </cell>
          <cell r="F3460" t="str">
            <v/>
          </cell>
          <cell r="G3460" t="str">
            <v>P</v>
          </cell>
          <cell r="H3460">
            <v>9.3000000000000007</v>
          </cell>
        </row>
        <row r="3461">
          <cell r="A3461" t="str">
            <v>1;25;D;B;BICI</v>
          </cell>
          <cell r="B3461">
            <v>730069</v>
          </cell>
          <cell r="C3461" t="str">
            <v>D</v>
          </cell>
          <cell r="D3461" t="str">
            <v>DISTRITAL</v>
          </cell>
          <cell r="E3461" t="str">
            <v>25</v>
          </cell>
          <cell r="F3461" t="str">
            <v>BICI</v>
          </cell>
          <cell r="G3461" t="str">
            <v>B</v>
          </cell>
          <cell r="H3461">
            <v>20.66</v>
          </cell>
        </row>
        <row r="3462">
          <cell r="A3462" t="str">
            <v>1;25;D;B;BIIV</v>
          </cell>
          <cell r="B3462">
            <v>730069</v>
          </cell>
          <cell r="C3462" t="str">
            <v>D</v>
          </cell>
          <cell r="D3462" t="str">
            <v>DISTRITAL</v>
          </cell>
          <cell r="E3462" t="str">
            <v>25</v>
          </cell>
          <cell r="F3462" t="str">
            <v>BIIV</v>
          </cell>
          <cell r="G3462" t="str">
            <v>B</v>
          </cell>
          <cell r="H3462">
            <v>35.54</v>
          </cell>
        </row>
        <row r="3463">
          <cell r="A3463" t="str">
            <v>1;25;D;B;EQIV</v>
          </cell>
          <cell r="B3463">
            <v>730069</v>
          </cell>
          <cell r="C3463" t="str">
            <v>D</v>
          </cell>
          <cell r="D3463" t="str">
            <v>DISTRITAL</v>
          </cell>
          <cell r="E3463" t="str">
            <v>25</v>
          </cell>
          <cell r="F3463" t="str">
            <v>EQIV</v>
          </cell>
          <cell r="G3463" t="str">
            <v>B</v>
          </cell>
          <cell r="H3463">
            <v>23.97</v>
          </cell>
        </row>
        <row r="3464">
          <cell r="A3464" t="str">
            <v>1;25;D;B;EQUI</v>
          </cell>
          <cell r="B3464">
            <v>730069</v>
          </cell>
          <cell r="C3464" t="str">
            <v>D</v>
          </cell>
          <cell r="D3464" t="str">
            <v>DISTRITAL</v>
          </cell>
          <cell r="E3464" t="str">
            <v>25</v>
          </cell>
          <cell r="F3464" t="str">
            <v>EQUI</v>
          </cell>
          <cell r="G3464" t="str">
            <v>B</v>
          </cell>
          <cell r="H3464">
            <v>13.22</v>
          </cell>
        </row>
        <row r="3465">
          <cell r="A3465" t="str">
            <v>1;26;D;B;BAG</v>
          </cell>
          <cell r="B3465">
            <v>730069</v>
          </cell>
          <cell r="C3465" t="str">
            <v>D</v>
          </cell>
          <cell r="D3465" t="str">
            <v>DISTRITAL</v>
          </cell>
          <cell r="E3465" t="str">
            <v>26</v>
          </cell>
          <cell r="F3465" t="str">
            <v>BAG</v>
          </cell>
          <cell r="G3465" t="str">
            <v>B</v>
          </cell>
          <cell r="H3465">
            <v>5.96</v>
          </cell>
        </row>
        <row r="3466">
          <cell r="A3466" t="str">
            <v>1;26;D;B;PAQ00a02</v>
          </cell>
          <cell r="B3466">
            <v>730069</v>
          </cell>
          <cell r="C3466" t="str">
            <v>D</v>
          </cell>
          <cell r="D3466" t="str">
            <v>DISTRITAL</v>
          </cell>
          <cell r="E3466" t="str">
            <v>26</v>
          </cell>
          <cell r="F3466" t="str">
            <v>PAQ00a02</v>
          </cell>
          <cell r="G3466" t="str">
            <v>B</v>
          </cell>
          <cell r="H3466">
            <v>5.96</v>
          </cell>
        </row>
        <row r="3467">
          <cell r="A3467" t="str">
            <v>1;26;D;B;PAQ02a05</v>
          </cell>
          <cell r="B3467">
            <v>730069</v>
          </cell>
          <cell r="C3467" t="str">
            <v>D</v>
          </cell>
          <cell r="D3467" t="str">
            <v>DISTRITAL</v>
          </cell>
          <cell r="E3467" t="str">
            <v>26</v>
          </cell>
          <cell r="F3467" t="str">
            <v>PAQ02a05</v>
          </cell>
          <cell r="G3467" t="str">
            <v>B</v>
          </cell>
          <cell r="H3467">
            <v>7.05</v>
          </cell>
        </row>
        <row r="3468">
          <cell r="A3468" t="str">
            <v>1;26;D;B;PAQ05a10</v>
          </cell>
          <cell r="B3468">
            <v>730069</v>
          </cell>
          <cell r="C3468" t="str">
            <v>D</v>
          </cell>
          <cell r="D3468" t="str">
            <v>DISTRITAL</v>
          </cell>
          <cell r="E3468" t="str">
            <v>26</v>
          </cell>
          <cell r="F3468" t="str">
            <v>PAQ05a10</v>
          </cell>
          <cell r="G3468" t="str">
            <v>B</v>
          </cell>
          <cell r="H3468">
            <v>7.52</v>
          </cell>
        </row>
        <row r="3469">
          <cell r="A3469" t="str">
            <v>1;26;D;B;PAQ10a15</v>
          </cell>
          <cell r="B3469">
            <v>730069</v>
          </cell>
          <cell r="C3469" t="str">
            <v>D</v>
          </cell>
          <cell r="D3469" t="str">
            <v>DISTRITAL</v>
          </cell>
          <cell r="E3469" t="str">
            <v>26</v>
          </cell>
          <cell r="F3469" t="str">
            <v>PAQ10a15</v>
          </cell>
          <cell r="G3469" t="str">
            <v>B</v>
          </cell>
          <cell r="H3469">
            <v>8.1300000000000008</v>
          </cell>
        </row>
        <row r="3470">
          <cell r="A3470" t="str">
            <v>1;26;D;B;PAQ15a20</v>
          </cell>
          <cell r="B3470">
            <v>730069</v>
          </cell>
          <cell r="C3470" t="str">
            <v>D</v>
          </cell>
          <cell r="D3470" t="str">
            <v>DISTRITAL</v>
          </cell>
          <cell r="E3470" t="str">
            <v>26</v>
          </cell>
          <cell r="F3470" t="str">
            <v>PAQ15a20</v>
          </cell>
          <cell r="G3470" t="str">
            <v>B</v>
          </cell>
          <cell r="H3470">
            <v>8.6999999999999993</v>
          </cell>
        </row>
        <row r="3471">
          <cell r="A3471" t="str">
            <v>1;27;D;B;PAQ00a02</v>
          </cell>
          <cell r="B3471">
            <v>730069</v>
          </cell>
          <cell r="C3471" t="str">
            <v>D</v>
          </cell>
          <cell r="D3471" t="str">
            <v>DISTRITAL</v>
          </cell>
          <cell r="E3471" t="str">
            <v>27</v>
          </cell>
          <cell r="F3471" t="str">
            <v>PAQ00a02</v>
          </cell>
          <cell r="G3471" t="str">
            <v>B</v>
          </cell>
          <cell r="H3471">
            <v>6.06</v>
          </cell>
        </row>
        <row r="3472">
          <cell r="A3472" t="str">
            <v>1;27;D;B;PAQ02a05</v>
          </cell>
          <cell r="B3472">
            <v>730069</v>
          </cell>
          <cell r="C3472" t="str">
            <v>D</v>
          </cell>
          <cell r="D3472" t="str">
            <v>DISTRITAL</v>
          </cell>
          <cell r="E3472" t="str">
            <v>27</v>
          </cell>
          <cell r="F3472" t="str">
            <v>PAQ02a05</v>
          </cell>
          <cell r="G3472" t="str">
            <v>B</v>
          </cell>
          <cell r="H3472">
            <v>6.75</v>
          </cell>
        </row>
        <row r="3473">
          <cell r="A3473" t="str">
            <v>1;27;D;B;PAQ05a10</v>
          </cell>
          <cell r="B3473">
            <v>730069</v>
          </cell>
          <cell r="C3473" t="str">
            <v>D</v>
          </cell>
          <cell r="D3473" t="str">
            <v>DISTRITAL</v>
          </cell>
          <cell r="E3473" t="str">
            <v>27</v>
          </cell>
          <cell r="F3473" t="str">
            <v>PAQ05a10</v>
          </cell>
          <cell r="G3473" t="str">
            <v>B</v>
          </cell>
          <cell r="H3473">
            <v>7.53</v>
          </cell>
        </row>
        <row r="3474">
          <cell r="A3474" t="str">
            <v>1;27;D;B;PAQ10a15</v>
          </cell>
          <cell r="B3474">
            <v>730069</v>
          </cell>
          <cell r="C3474" t="str">
            <v>D</v>
          </cell>
          <cell r="D3474" t="str">
            <v>DISTRITAL</v>
          </cell>
          <cell r="E3474" t="str">
            <v>27</v>
          </cell>
          <cell r="F3474" t="str">
            <v>PAQ10a15</v>
          </cell>
          <cell r="G3474" t="str">
            <v>B</v>
          </cell>
          <cell r="H3474">
            <v>11.1</v>
          </cell>
        </row>
        <row r="3475">
          <cell r="A3475" t="str">
            <v>1;27;D;B;PAQ15a20</v>
          </cell>
          <cell r="B3475">
            <v>730069</v>
          </cell>
          <cell r="C3475" t="str">
            <v>D</v>
          </cell>
          <cell r="D3475" t="str">
            <v>DISTRITAL</v>
          </cell>
          <cell r="E3475" t="str">
            <v>27</v>
          </cell>
          <cell r="F3475" t="str">
            <v>PAQ15a20</v>
          </cell>
          <cell r="G3475" t="str">
            <v>B</v>
          </cell>
          <cell r="H3475">
            <v>14.66</v>
          </cell>
        </row>
        <row r="3476">
          <cell r="A3476" t="str">
            <v>1;27;D;B;PAQ20a25</v>
          </cell>
          <cell r="B3476">
            <v>730069</v>
          </cell>
          <cell r="C3476" t="str">
            <v>D</v>
          </cell>
          <cell r="D3476" t="str">
            <v>DISTRITAL</v>
          </cell>
          <cell r="E3476" t="str">
            <v>27</v>
          </cell>
          <cell r="F3476" t="str">
            <v>PAQ20a25</v>
          </cell>
          <cell r="G3476" t="str">
            <v>B</v>
          </cell>
          <cell r="H3476">
            <v>19.399999999999999</v>
          </cell>
        </row>
        <row r="3477">
          <cell r="A3477" t="str">
            <v>1;27;D;B;PAQ25a30</v>
          </cell>
          <cell r="B3477">
            <v>730069</v>
          </cell>
          <cell r="C3477" t="str">
            <v>D</v>
          </cell>
          <cell r="D3477" t="str">
            <v>DISTRITAL</v>
          </cell>
          <cell r="E3477" t="str">
            <v>27</v>
          </cell>
          <cell r="F3477" t="str">
            <v>PAQ25a30</v>
          </cell>
          <cell r="G3477" t="str">
            <v>B</v>
          </cell>
          <cell r="H3477">
            <v>24.16</v>
          </cell>
        </row>
        <row r="3478">
          <cell r="A3478" t="str">
            <v>1;27;D;B;PAQ30a35</v>
          </cell>
          <cell r="B3478">
            <v>730069</v>
          </cell>
          <cell r="C3478" t="str">
            <v>D</v>
          </cell>
          <cell r="D3478" t="str">
            <v>DISTRITAL</v>
          </cell>
          <cell r="E3478" t="str">
            <v>27</v>
          </cell>
          <cell r="F3478" t="str">
            <v>PAQ30a35</v>
          </cell>
          <cell r="G3478" t="str">
            <v>B</v>
          </cell>
          <cell r="H3478">
            <v>28.92</v>
          </cell>
        </row>
        <row r="3479">
          <cell r="A3479" t="str">
            <v>1;27;D;F;</v>
          </cell>
          <cell r="B3479">
            <v>730069</v>
          </cell>
          <cell r="C3479" t="str">
            <v>D</v>
          </cell>
          <cell r="D3479" t="str">
            <v>DISTRITAL</v>
          </cell>
          <cell r="E3479" t="str">
            <v>27</v>
          </cell>
          <cell r="F3479" t="str">
            <v/>
          </cell>
          <cell r="G3479" t="str">
            <v>F</v>
          </cell>
          <cell r="H3479">
            <v>5.44</v>
          </cell>
        </row>
        <row r="3480">
          <cell r="A3480" t="str">
            <v>1;27;D;B;PAQ35a40</v>
          </cell>
          <cell r="B3480">
            <v>730069</v>
          </cell>
          <cell r="C3480" t="str">
            <v>D</v>
          </cell>
          <cell r="D3480" t="str">
            <v>DISTRITAL</v>
          </cell>
          <cell r="E3480" t="str">
            <v>27</v>
          </cell>
          <cell r="F3480" t="str">
            <v>PAQ35a40</v>
          </cell>
          <cell r="G3480" t="str">
            <v>B</v>
          </cell>
          <cell r="H3480">
            <v>33.67</v>
          </cell>
        </row>
        <row r="3481">
          <cell r="A3481" t="str">
            <v>1;27;D;E;</v>
          </cell>
          <cell r="B3481">
            <v>730069</v>
          </cell>
          <cell r="C3481" t="str">
            <v>D</v>
          </cell>
          <cell r="D3481" t="str">
            <v>DISTRITAL</v>
          </cell>
          <cell r="E3481" t="str">
            <v>27</v>
          </cell>
          <cell r="F3481" t="str">
            <v/>
          </cell>
          <cell r="G3481" t="str">
            <v>E</v>
          </cell>
          <cell r="H3481">
            <v>5.44</v>
          </cell>
        </row>
        <row r="3482">
          <cell r="A3482" t="str">
            <v>1;27;D;P;</v>
          </cell>
          <cell r="B3482">
            <v>730069</v>
          </cell>
          <cell r="C3482" t="str">
            <v>D</v>
          </cell>
          <cell r="D3482" t="str">
            <v>DISTRITAL</v>
          </cell>
          <cell r="E3482" t="str">
            <v>27</v>
          </cell>
          <cell r="F3482" t="str">
            <v/>
          </cell>
          <cell r="G3482" t="str">
            <v>P</v>
          </cell>
          <cell r="H3482">
            <v>0</v>
          </cell>
        </row>
        <row r="3483">
          <cell r="A3483" t="str">
            <v>1;31;D;B;PAQ00a02</v>
          </cell>
          <cell r="B3483">
            <v>730069</v>
          </cell>
          <cell r="C3483" t="str">
            <v>D</v>
          </cell>
          <cell r="D3483" t="str">
            <v>DISTRITAL</v>
          </cell>
          <cell r="E3483" t="str">
            <v>31</v>
          </cell>
          <cell r="F3483" t="str">
            <v>PAQ00a02</v>
          </cell>
          <cell r="G3483" t="str">
            <v>B</v>
          </cell>
          <cell r="H3483">
            <v>4.84</v>
          </cell>
        </row>
        <row r="3484">
          <cell r="A3484" t="str">
            <v>1;31;D;B;PAQ02a05</v>
          </cell>
          <cell r="B3484">
            <v>730069</v>
          </cell>
          <cell r="C3484" t="str">
            <v>D</v>
          </cell>
          <cell r="D3484" t="str">
            <v>DISTRITAL</v>
          </cell>
          <cell r="E3484" t="str">
            <v>31</v>
          </cell>
          <cell r="F3484" t="str">
            <v>PAQ02a05</v>
          </cell>
          <cell r="G3484" t="str">
            <v>B</v>
          </cell>
          <cell r="H3484">
            <v>6.05</v>
          </cell>
        </row>
        <row r="3485">
          <cell r="A3485" t="str">
            <v>1;31;D;B;PAQ05a10</v>
          </cell>
          <cell r="B3485">
            <v>730069</v>
          </cell>
          <cell r="C3485" t="str">
            <v>D</v>
          </cell>
          <cell r="D3485" t="str">
            <v>DISTRITAL</v>
          </cell>
          <cell r="E3485" t="str">
            <v>31</v>
          </cell>
          <cell r="F3485" t="str">
            <v>PAQ05a10</v>
          </cell>
          <cell r="G3485" t="str">
            <v>B</v>
          </cell>
          <cell r="H3485">
            <v>6.62</v>
          </cell>
        </row>
        <row r="3486">
          <cell r="A3486" t="str">
            <v>1;31;D;B;PAQ10a15</v>
          </cell>
          <cell r="B3486">
            <v>730069</v>
          </cell>
          <cell r="C3486" t="str">
            <v>D</v>
          </cell>
          <cell r="D3486" t="str">
            <v>DISTRITAL</v>
          </cell>
          <cell r="E3486" t="str">
            <v>31</v>
          </cell>
          <cell r="F3486" t="str">
            <v>PAQ10a15</v>
          </cell>
          <cell r="G3486" t="str">
            <v>B</v>
          </cell>
          <cell r="H3486">
            <v>7.63</v>
          </cell>
        </row>
        <row r="3487">
          <cell r="A3487" t="str">
            <v>1;31;D;B;PAQ15a20</v>
          </cell>
          <cell r="B3487">
            <v>730069</v>
          </cell>
          <cell r="C3487" t="str">
            <v>D</v>
          </cell>
          <cell r="D3487" t="str">
            <v>DISTRITAL</v>
          </cell>
          <cell r="E3487" t="str">
            <v>31</v>
          </cell>
          <cell r="F3487" t="str">
            <v>PAQ15a20</v>
          </cell>
          <cell r="G3487" t="str">
            <v>B</v>
          </cell>
          <cell r="H3487">
            <v>8.74</v>
          </cell>
        </row>
        <row r="3488">
          <cell r="A3488" t="str">
            <v>1;35;D;B;BAG</v>
          </cell>
          <cell r="B3488">
            <v>730069</v>
          </cell>
          <cell r="C3488" t="str">
            <v>D</v>
          </cell>
          <cell r="D3488" t="str">
            <v>DISTRITAL</v>
          </cell>
          <cell r="E3488" t="str">
            <v>35</v>
          </cell>
          <cell r="F3488" t="str">
            <v>BAG</v>
          </cell>
          <cell r="G3488" t="str">
            <v>B</v>
          </cell>
          <cell r="H3488">
            <v>1.1000000000000001</v>
          </cell>
        </row>
        <row r="3489">
          <cell r="A3489" t="str">
            <v>1;35;D;B;DOCS</v>
          </cell>
          <cell r="B3489">
            <v>730069</v>
          </cell>
          <cell r="C3489" t="str">
            <v>D</v>
          </cell>
          <cell r="D3489" t="str">
            <v>DISTRITAL</v>
          </cell>
          <cell r="E3489" t="str">
            <v>35</v>
          </cell>
          <cell r="F3489" t="str">
            <v>DOCS</v>
          </cell>
          <cell r="G3489" t="str">
            <v>B</v>
          </cell>
          <cell r="H3489">
            <v>1.1000000000000001</v>
          </cell>
        </row>
        <row r="3490">
          <cell r="A3490" t="str">
            <v>1;35;D;B;PAQ00a05</v>
          </cell>
          <cell r="B3490">
            <v>730069</v>
          </cell>
          <cell r="C3490" t="str">
            <v>D</v>
          </cell>
          <cell r="D3490" t="str">
            <v>DISTRITAL</v>
          </cell>
          <cell r="E3490" t="str">
            <v>35</v>
          </cell>
          <cell r="F3490" t="str">
            <v>PAQ00a05</v>
          </cell>
          <cell r="G3490" t="str">
            <v>B</v>
          </cell>
          <cell r="H3490">
            <v>1.1000000000000001</v>
          </cell>
        </row>
        <row r="3491">
          <cell r="A3491" t="str">
            <v>1;35;D;B;PAQ05a10</v>
          </cell>
          <cell r="B3491">
            <v>730069</v>
          </cell>
          <cell r="C3491" t="str">
            <v>D</v>
          </cell>
          <cell r="D3491" t="str">
            <v>DISTRITAL</v>
          </cell>
          <cell r="E3491" t="str">
            <v>35</v>
          </cell>
          <cell r="F3491" t="str">
            <v>PAQ05a10</v>
          </cell>
          <cell r="G3491" t="str">
            <v>B</v>
          </cell>
          <cell r="H3491">
            <v>1.46</v>
          </cell>
        </row>
        <row r="3492">
          <cell r="A3492" t="str">
            <v>1;35;D;B;PAQ10a15</v>
          </cell>
          <cell r="B3492">
            <v>730069</v>
          </cell>
          <cell r="C3492" t="str">
            <v>D</v>
          </cell>
          <cell r="D3492" t="str">
            <v>DISTRITAL</v>
          </cell>
          <cell r="E3492" t="str">
            <v>35</v>
          </cell>
          <cell r="F3492" t="str">
            <v>PAQ10a15</v>
          </cell>
          <cell r="G3492" t="str">
            <v>B</v>
          </cell>
          <cell r="H3492">
            <v>1.46</v>
          </cell>
        </row>
        <row r="3493">
          <cell r="A3493" t="str">
            <v>1;35;D;B;PAQ15a20</v>
          </cell>
          <cell r="B3493">
            <v>730069</v>
          </cell>
          <cell r="C3493" t="str">
            <v>D</v>
          </cell>
          <cell r="D3493" t="str">
            <v>DISTRITAL</v>
          </cell>
          <cell r="E3493" t="str">
            <v>35</v>
          </cell>
          <cell r="F3493" t="str">
            <v>PAQ15a20</v>
          </cell>
          <cell r="G3493" t="str">
            <v>B</v>
          </cell>
          <cell r="H3493">
            <v>1.46</v>
          </cell>
        </row>
        <row r="3494">
          <cell r="A3494" t="str">
            <v>1;35;D;B;PAQ20a25</v>
          </cell>
          <cell r="B3494">
            <v>730069</v>
          </cell>
          <cell r="C3494" t="str">
            <v>D</v>
          </cell>
          <cell r="D3494" t="str">
            <v>DISTRITAL</v>
          </cell>
          <cell r="E3494" t="str">
            <v>35</v>
          </cell>
          <cell r="F3494" t="str">
            <v>PAQ20a25</v>
          </cell>
          <cell r="G3494" t="str">
            <v>B</v>
          </cell>
          <cell r="H3494">
            <v>2.57</v>
          </cell>
        </row>
        <row r="3495">
          <cell r="A3495" t="str">
            <v>1;35;D;B;PAQ25a30</v>
          </cell>
          <cell r="B3495">
            <v>730069</v>
          </cell>
          <cell r="C3495" t="str">
            <v>D</v>
          </cell>
          <cell r="D3495" t="str">
            <v>DISTRITAL</v>
          </cell>
          <cell r="E3495" t="str">
            <v>35</v>
          </cell>
          <cell r="F3495" t="str">
            <v>PAQ25a30</v>
          </cell>
          <cell r="G3495" t="str">
            <v>B</v>
          </cell>
          <cell r="H3495">
            <v>2.57</v>
          </cell>
        </row>
        <row r="3496">
          <cell r="A3496" t="str">
            <v>1;35;D;B;PAQ30a35</v>
          </cell>
          <cell r="B3496">
            <v>730069</v>
          </cell>
          <cell r="C3496" t="str">
            <v>D</v>
          </cell>
          <cell r="D3496" t="str">
            <v>DISTRITAL</v>
          </cell>
          <cell r="E3496" t="str">
            <v>35</v>
          </cell>
          <cell r="F3496" t="str">
            <v>PAQ30a35</v>
          </cell>
          <cell r="G3496" t="str">
            <v>B</v>
          </cell>
          <cell r="H3496">
            <v>2.57</v>
          </cell>
        </row>
        <row r="3497">
          <cell r="A3497" t="str">
            <v>1;35;D;B;PAQ35a40</v>
          </cell>
          <cell r="B3497">
            <v>730069</v>
          </cell>
          <cell r="C3497" t="str">
            <v>D</v>
          </cell>
          <cell r="D3497" t="str">
            <v>DISTRITAL</v>
          </cell>
          <cell r="E3497" t="str">
            <v>35</v>
          </cell>
          <cell r="F3497" t="str">
            <v>PAQ35a40</v>
          </cell>
          <cell r="G3497" t="str">
            <v>B</v>
          </cell>
          <cell r="H3497">
            <v>2.57</v>
          </cell>
        </row>
        <row r="3498">
          <cell r="A3498" t="str">
            <v>1;35;D;F;</v>
          </cell>
          <cell r="B3498">
            <v>730069</v>
          </cell>
          <cell r="C3498" t="str">
            <v>D</v>
          </cell>
          <cell r="D3498" t="str">
            <v>DISTRITAL</v>
          </cell>
          <cell r="E3498" t="str">
            <v>35</v>
          </cell>
          <cell r="F3498" t="str">
            <v/>
          </cell>
          <cell r="G3498" t="str">
            <v>F</v>
          </cell>
          <cell r="H3498">
            <v>0.72</v>
          </cell>
        </row>
        <row r="3499">
          <cell r="A3499" t="str">
            <v>1;35;D;E;</v>
          </cell>
          <cell r="B3499">
            <v>730069</v>
          </cell>
          <cell r="C3499" t="str">
            <v>D</v>
          </cell>
          <cell r="D3499" t="str">
            <v>DISTRITAL</v>
          </cell>
          <cell r="E3499" t="str">
            <v>35</v>
          </cell>
          <cell r="F3499" t="str">
            <v/>
          </cell>
          <cell r="G3499" t="str">
            <v>E</v>
          </cell>
          <cell r="H3499">
            <v>0.72</v>
          </cell>
        </row>
        <row r="3500">
          <cell r="A3500" t="str">
            <v>1;35;D;P;</v>
          </cell>
          <cell r="B3500">
            <v>730069</v>
          </cell>
          <cell r="C3500" t="str">
            <v>D</v>
          </cell>
          <cell r="D3500" t="str">
            <v>DISTRITAL</v>
          </cell>
          <cell r="E3500" t="str">
            <v>35</v>
          </cell>
          <cell r="F3500" t="str">
            <v/>
          </cell>
          <cell r="G3500" t="str">
            <v>P</v>
          </cell>
          <cell r="H3500">
            <v>0.72</v>
          </cell>
        </row>
        <row r="3501">
          <cell r="A3501" t="str">
            <v>1;44;D;B;PAQ00a02</v>
          </cell>
          <cell r="B3501">
            <v>730069</v>
          </cell>
          <cell r="C3501" t="str">
            <v>D</v>
          </cell>
          <cell r="D3501" t="str">
            <v>DISTRITAL</v>
          </cell>
          <cell r="E3501" t="str">
            <v>44</v>
          </cell>
          <cell r="F3501" t="str">
            <v>PAQ00a02</v>
          </cell>
          <cell r="G3501" t="str">
            <v>B</v>
          </cell>
          <cell r="H3501">
            <v>3.31</v>
          </cell>
        </row>
        <row r="3502">
          <cell r="A3502" t="str">
            <v>1;44;D;B;PAQ02a05</v>
          </cell>
          <cell r="B3502">
            <v>730069</v>
          </cell>
          <cell r="C3502" t="str">
            <v>D</v>
          </cell>
          <cell r="D3502" t="str">
            <v>DISTRITAL</v>
          </cell>
          <cell r="E3502" t="str">
            <v>44</v>
          </cell>
          <cell r="F3502" t="str">
            <v>PAQ02a05</v>
          </cell>
          <cell r="G3502" t="str">
            <v>B</v>
          </cell>
          <cell r="H3502">
            <v>4.0999999999999996</v>
          </cell>
        </row>
        <row r="3503">
          <cell r="A3503" t="str">
            <v>1;44;D;B;PAQ05a10</v>
          </cell>
          <cell r="B3503">
            <v>730069</v>
          </cell>
          <cell r="C3503" t="str">
            <v>D</v>
          </cell>
          <cell r="D3503" t="str">
            <v>DISTRITAL</v>
          </cell>
          <cell r="E3503" t="str">
            <v>44</v>
          </cell>
          <cell r="F3503" t="str">
            <v>PAQ05a10</v>
          </cell>
          <cell r="G3503" t="str">
            <v>B</v>
          </cell>
          <cell r="H3503">
            <v>5.23</v>
          </cell>
        </row>
        <row r="3504">
          <cell r="A3504" t="str">
            <v>1;44;D;B;PAQ10a15</v>
          </cell>
          <cell r="B3504">
            <v>730069</v>
          </cell>
          <cell r="C3504" t="str">
            <v>D</v>
          </cell>
          <cell r="D3504" t="str">
            <v>DISTRITAL</v>
          </cell>
          <cell r="E3504" t="str">
            <v>44</v>
          </cell>
          <cell r="F3504" t="str">
            <v>PAQ10a15</v>
          </cell>
          <cell r="G3504" t="str">
            <v>B</v>
          </cell>
          <cell r="H3504">
            <v>6.39</v>
          </cell>
        </row>
        <row r="3505">
          <cell r="A3505" t="str">
            <v>1;44;D;B;PAQ15a20</v>
          </cell>
          <cell r="B3505">
            <v>730069</v>
          </cell>
          <cell r="C3505" t="str">
            <v>D</v>
          </cell>
          <cell r="D3505" t="str">
            <v>DISTRITAL</v>
          </cell>
          <cell r="E3505" t="str">
            <v>44</v>
          </cell>
          <cell r="F3505" t="str">
            <v>PAQ15a20</v>
          </cell>
          <cell r="G3505" t="str">
            <v>B</v>
          </cell>
          <cell r="H3505">
            <v>7.47</v>
          </cell>
        </row>
        <row r="3506">
          <cell r="A3506" t="str">
            <v>1;60;D;B;BAG</v>
          </cell>
          <cell r="B3506">
            <v>730069</v>
          </cell>
          <cell r="C3506" t="str">
            <v>D</v>
          </cell>
          <cell r="D3506" t="str">
            <v>DISTRITAL</v>
          </cell>
          <cell r="E3506" t="str">
            <v>60</v>
          </cell>
          <cell r="F3506" t="str">
            <v>BAG</v>
          </cell>
          <cell r="G3506" t="str">
            <v>B</v>
          </cell>
          <cell r="H3506">
            <v>20.87</v>
          </cell>
        </row>
        <row r="3507">
          <cell r="A3507" t="str">
            <v>1;60;D;B;PAQ00a05</v>
          </cell>
          <cell r="B3507">
            <v>730069</v>
          </cell>
          <cell r="C3507" t="str">
            <v>D</v>
          </cell>
          <cell r="D3507" t="str">
            <v>DISTRITAL</v>
          </cell>
          <cell r="E3507" t="str">
            <v>60</v>
          </cell>
          <cell r="F3507" t="str">
            <v>PAQ00a05</v>
          </cell>
          <cell r="G3507" t="str">
            <v>B</v>
          </cell>
          <cell r="H3507">
            <v>24.19</v>
          </cell>
        </row>
        <row r="3508">
          <cell r="A3508" t="str">
            <v>1;60;D;B;PAQ05a10</v>
          </cell>
          <cell r="B3508">
            <v>730069</v>
          </cell>
          <cell r="C3508" t="str">
            <v>D</v>
          </cell>
          <cell r="D3508" t="str">
            <v>DISTRITAL</v>
          </cell>
          <cell r="E3508" t="str">
            <v>60</v>
          </cell>
          <cell r="F3508" t="str">
            <v>PAQ05a10</v>
          </cell>
          <cell r="G3508" t="str">
            <v>B</v>
          </cell>
          <cell r="H3508">
            <v>37.97</v>
          </cell>
        </row>
        <row r="3509">
          <cell r="A3509" t="str">
            <v>1;60;D;B;PAQ10a15</v>
          </cell>
          <cell r="B3509">
            <v>730069</v>
          </cell>
          <cell r="C3509" t="str">
            <v>D</v>
          </cell>
          <cell r="D3509" t="str">
            <v>DISTRITAL</v>
          </cell>
          <cell r="E3509" t="str">
            <v>60</v>
          </cell>
          <cell r="F3509" t="str">
            <v>PAQ10a15</v>
          </cell>
          <cell r="G3509" t="str">
            <v>B</v>
          </cell>
          <cell r="H3509">
            <v>51.99</v>
          </cell>
        </row>
        <row r="3510">
          <cell r="A3510" t="str">
            <v>1;60;D;B;PAQ15a20</v>
          </cell>
          <cell r="B3510">
            <v>730069</v>
          </cell>
          <cell r="C3510" t="str">
            <v>D</v>
          </cell>
          <cell r="D3510" t="str">
            <v>DISTRITAL</v>
          </cell>
          <cell r="E3510" t="str">
            <v>60</v>
          </cell>
          <cell r="F3510" t="str">
            <v>PAQ15a20</v>
          </cell>
          <cell r="G3510" t="str">
            <v>B</v>
          </cell>
          <cell r="H3510">
            <v>66</v>
          </cell>
        </row>
        <row r="3511">
          <cell r="A3511" t="str">
            <v>1;60;D;B;PAQ20a25</v>
          </cell>
          <cell r="B3511">
            <v>730069</v>
          </cell>
          <cell r="C3511" t="str">
            <v>D</v>
          </cell>
          <cell r="D3511" t="str">
            <v>DISTRITAL</v>
          </cell>
          <cell r="E3511" t="str">
            <v>60</v>
          </cell>
          <cell r="F3511" t="str">
            <v>PAQ20a25</v>
          </cell>
          <cell r="G3511" t="str">
            <v>B</v>
          </cell>
          <cell r="H3511">
            <v>80.02</v>
          </cell>
        </row>
        <row r="3512">
          <cell r="A3512" t="str">
            <v>1;60;D;B;PAQ25a30</v>
          </cell>
          <cell r="B3512">
            <v>730069</v>
          </cell>
          <cell r="C3512" t="str">
            <v>D</v>
          </cell>
          <cell r="D3512" t="str">
            <v>DISTRITAL</v>
          </cell>
          <cell r="E3512" t="str">
            <v>60</v>
          </cell>
          <cell r="F3512" t="str">
            <v>PAQ25a30</v>
          </cell>
          <cell r="G3512" t="str">
            <v>B</v>
          </cell>
          <cell r="H3512">
            <v>94.04</v>
          </cell>
        </row>
        <row r="3513">
          <cell r="A3513" t="str">
            <v>1;60;D;B;PAQ30a35</v>
          </cell>
          <cell r="B3513">
            <v>730069</v>
          </cell>
          <cell r="C3513" t="str">
            <v>D</v>
          </cell>
          <cell r="D3513" t="str">
            <v>DISTRITAL</v>
          </cell>
          <cell r="E3513" t="str">
            <v>60</v>
          </cell>
          <cell r="F3513" t="str">
            <v>PAQ30a35</v>
          </cell>
          <cell r="G3513" t="str">
            <v>B</v>
          </cell>
          <cell r="H3513">
            <v>108.06</v>
          </cell>
        </row>
        <row r="3514">
          <cell r="A3514" t="str">
            <v>1;60;D;F;</v>
          </cell>
          <cell r="B3514">
            <v>730069</v>
          </cell>
          <cell r="C3514" t="str">
            <v>D</v>
          </cell>
          <cell r="D3514" t="str">
            <v>DISTRITAL</v>
          </cell>
          <cell r="E3514" t="str">
            <v>60</v>
          </cell>
          <cell r="F3514" t="str">
            <v/>
          </cell>
          <cell r="G3514" t="str">
            <v>F</v>
          </cell>
          <cell r="H3514">
            <v>14.02</v>
          </cell>
        </row>
        <row r="3515">
          <cell r="A3515" t="str">
            <v>1;60;D;B;PAQ35a40</v>
          </cell>
          <cell r="B3515">
            <v>730069</v>
          </cell>
          <cell r="C3515" t="str">
            <v>D</v>
          </cell>
          <cell r="D3515" t="str">
            <v>DISTRITAL</v>
          </cell>
          <cell r="E3515" t="str">
            <v>60</v>
          </cell>
          <cell r="F3515" t="str">
            <v>PAQ35a40</v>
          </cell>
          <cell r="G3515" t="str">
            <v>B</v>
          </cell>
          <cell r="H3515">
            <v>122.07</v>
          </cell>
        </row>
        <row r="3516">
          <cell r="A3516" t="str">
            <v>1;60;D;E;</v>
          </cell>
          <cell r="B3516">
            <v>730069</v>
          </cell>
          <cell r="C3516" t="str">
            <v>D</v>
          </cell>
          <cell r="D3516" t="str">
            <v>DISTRITAL</v>
          </cell>
          <cell r="E3516" t="str">
            <v>60</v>
          </cell>
          <cell r="F3516" t="str">
            <v/>
          </cell>
          <cell r="G3516" t="str">
            <v>E</v>
          </cell>
          <cell r="H3516">
            <v>14.15</v>
          </cell>
        </row>
        <row r="3517">
          <cell r="A3517" t="str">
            <v>1;60;D;P;</v>
          </cell>
          <cell r="B3517">
            <v>730069</v>
          </cell>
          <cell r="C3517" t="str">
            <v>D</v>
          </cell>
          <cell r="D3517" t="str">
            <v>DISTRITAL</v>
          </cell>
          <cell r="E3517" t="str">
            <v>60</v>
          </cell>
          <cell r="F3517" t="str">
            <v/>
          </cell>
          <cell r="G3517" t="str">
            <v>P</v>
          </cell>
          <cell r="H3517">
            <v>14.15</v>
          </cell>
        </row>
        <row r="3518">
          <cell r="A3518" t="str">
            <v>1;61;D;B;BAG</v>
          </cell>
          <cell r="B3518">
            <v>730069</v>
          </cell>
          <cell r="C3518" t="str">
            <v>D</v>
          </cell>
          <cell r="D3518" t="str">
            <v>DISTRITAL</v>
          </cell>
          <cell r="E3518" t="str">
            <v>61</v>
          </cell>
          <cell r="F3518" t="str">
            <v>BAG</v>
          </cell>
          <cell r="G3518" t="str">
            <v>B</v>
          </cell>
          <cell r="H3518">
            <v>8.27</v>
          </cell>
        </row>
        <row r="3519">
          <cell r="A3519" t="str">
            <v>1;61;D;B;PAQ00a05</v>
          </cell>
          <cell r="B3519">
            <v>730069</v>
          </cell>
          <cell r="C3519" t="str">
            <v>D</v>
          </cell>
          <cell r="D3519" t="str">
            <v>DISTRITAL</v>
          </cell>
          <cell r="E3519" t="str">
            <v>61</v>
          </cell>
          <cell r="F3519" t="str">
            <v>PAQ00a05</v>
          </cell>
          <cell r="G3519" t="str">
            <v>B</v>
          </cell>
          <cell r="H3519">
            <v>9.32</v>
          </cell>
        </row>
        <row r="3520">
          <cell r="A3520" t="str">
            <v>1;61;D;B;PAQ05a10</v>
          </cell>
          <cell r="B3520">
            <v>730069</v>
          </cell>
          <cell r="C3520" t="str">
            <v>D</v>
          </cell>
          <cell r="D3520" t="str">
            <v>DISTRITAL</v>
          </cell>
          <cell r="E3520" t="str">
            <v>61</v>
          </cell>
          <cell r="F3520" t="str">
            <v>PAQ05a10</v>
          </cell>
          <cell r="G3520" t="str">
            <v>B</v>
          </cell>
          <cell r="H3520">
            <v>16.850000000000001</v>
          </cell>
        </row>
        <row r="3521">
          <cell r="A3521" t="str">
            <v>1;61;D;B;PAQ10a15</v>
          </cell>
          <cell r="B3521">
            <v>730069</v>
          </cell>
          <cell r="C3521" t="str">
            <v>D</v>
          </cell>
          <cell r="D3521" t="str">
            <v>DISTRITAL</v>
          </cell>
          <cell r="E3521" t="str">
            <v>61</v>
          </cell>
          <cell r="F3521" t="str">
            <v>PAQ10a15</v>
          </cell>
          <cell r="G3521" t="str">
            <v>B</v>
          </cell>
          <cell r="H3521">
            <v>25</v>
          </cell>
        </row>
        <row r="3522">
          <cell r="A3522" t="str">
            <v>1;61;D;B;PAQ15a20</v>
          </cell>
          <cell r="B3522">
            <v>730069</v>
          </cell>
          <cell r="C3522" t="str">
            <v>D</v>
          </cell>
          <cell r="D3522" t="str">
            <v>DISTRITAL</v>
          </cell>
          <cell r="E3522" t="str">
            <v>61</v>
          </cell>
          <cell r="F3522" t="str">
            <v>PAQ15a20</v>
          </cell>
          <cell r="G3522" t="str">
            <v>B</v>
          </cell>
          <cell r="H3522">
            <v>33.159999999999997</v>
          </cell>
        </row>
        <row r="3523">
          <cell r="A3523" t="str">
            <v>1;61;D;B;PAQ20a25</v>
          </cell>
          <cell r="B3523">
            <v>730069</v>
          </cell>
          <cell r="C3523" t="str">
            <v>D</v>
          </cell>
          <cell r="D3523" t="str">
            <v>DISTRITAL</v>
          </cell>
          <cell r="E3523" t="str">
            <v>61</v>
          </cell>
          <cell r="F3523" t="str">
            <v>PAQ20a25</v>
          </cell>
          <cell r="G3523" t="str">
            <v>B</v>
          </cell>
          <cell r="H3523">
            <v>41.32</v>
          </cell>
        </row>
        <row r="3524">
          <cell r="A3524" t="str">
            <v>1;61;D;B;PAQ25a30</v>
          </cell>
          <cell r="B3524">
            <v>730069</v>
          </cell>
          <cell r="C3524" t="str">
            <v>D</v>
          </cell>
          <cell r="D3524" t="str">
            <v>DISTRITAL</v>
          </cell>
          <cell r="E3524" t="str">
            <v>61</v>
          </cell>
          <cell r="F3524" t="str">
            <v>PAQ25a30</v>
          </cell>
          <cell r="G3524" t="str">
            <v>B</v>
          </cell>
          <cell r="H3524">
            <v>49.47</v>
          </cell>
        </row>
        <row r="3525">
          <cell r="A3525" t="str">
            <v>1;61;D;B;PAQ30a35</v>
          </cell>
          <cell r="B3525">
            <v>730069</v>
          </cell>
          <cell r="C3525" t="str">
            <v>D</v>
          </cell>
          <cell r="D3525" t="str">
            <v>DISTRITAL</v>
          </cell>
          <cell r="E3525" t="str">
            <v>61</v>
          </cell>
          <cell r="F3525" t="str">
            <v>PAQ30a35</v>
          </cell>
          <cell r="G3525" t="str">
            <v>B</v>
          </cell>
          <cell r="H3525">
            <v>57.62</v>
          </cell>
        </row>
        <row r="3526">
          <cell r="A3526" t="str">
            <v>1;61;D;F;</v>
          </cell>
          <cell r="B3526">
            <v>730069</v>
          </cell>
          <cell r="C3526" t="str">
            <v>D</v>
          </cell>
          <cell r="D3526" t="str">
            <v>DISTRITAL</v>
          </cell>
          <cell r="E3526" t="str">
            <v>61</v>
          </cell>
          <cell r="F3526" t="str">
            <v/>
          </cell>
          <cell r="G3526" t="str">
            <v>F</v>
          </cell>
          <cell r="H3526">
            <v>8.16</v>
          </cell>
        </row>
        <row r="3527">
          <cell r="A3527" t="str">
            <v>1;61;D;B;PAQ35a40</v>
          </cell>
          <cell r="B3527">
            <v>730069</v>
          </cell>
          <cell r="C3527" t="str">
            <v>D</v>
          </cell>
          <cell r="D3527" t="str">
            <v>DISTRITAL</v>
          </cell>
          <cell r="E3527" t="str">
            <v>61</v>
          </cell>
          <cell r="F3527" t="str">
            <v>PAQ35a40</v>
          </cell>
          <cell r="G3527" t="str">
            <v>B</v>
          </cell>
          <cell r="H3527">
            <v>65.77</v>
          </cell>
        </row>
        <row r="3528">
          <cell r="A3528" t="str">
            <v>1;61;D;E;</v>
          </cell>
          <cell r="B3528">
            <v>730069</v>
          </cell>
          <cell r="C3528" t="str">
            <v>D</v>
          </cell>
          <cell r="D3528" t="str">
            <v>DISTRITAL</v>
          </cell>
          <cell r="E3528" t="str">
            <v>61</v>
          </cell>
          <cell r="F3528" t="str">
            <v/>
          </cell>
          <cell r="G3528" t="str">
            <v>E</v>
          </cell>
          <cell r="H3528">
            <v>9.32</v>
          </cell>
        </row>
        <row r="3529">
          <cell r="A3529" t="str">
            <v>1;61;D;P;</v>
          </cell>
          <cell r="B3529">
            <v>730069</v>
          </cell>
          <cell r="C3529" t="str">
            <v>D</v>
          </cell>
          <cell r="D3529" t="str">
            <v>DISTRITAL</v>
          </cell>
          <cell r="E3529" t="str">
            <v>61</v>
          </cell>
          <cell r="F3529" t="str">
            <v/>
          </cell>
          <cell r="G3529" t="str">
            <v>P</v>
          </cell>
          <cell r="H3529">
            <v>9.32</v>
          </cell>
        </row>
        <row r="3530">
          <cell r="A3530" t="str">
            <v>1;62;D;B;BAG</v>
          </cell>
          <cell r="B3530">
            <v>730069</v>
          </cell>
          <cell r="C3530" t="str">
            <v>D</v>
          </cell>
          <cell r="D3530" t="str">
            <v>DISTRITAL</v>
          </cell>
          <cell r="E3530" t="str">
            <v>62</v>
          </cell>
          <cell r="F3530" t="str">
            <v>BAG</v>
          </cell>
          <cell r="G3530" t="str">
            <v>B</v>
          </cell>
          <cell r="H3530">
            <v>8.2100000000000009</v>
          </cell>
        </row>
        <row r="3531">
          <cell r="A3531" t="str">
            <v>1;62;D;B;PAQ00a05</v>
          </cell>
          <cell r="B3531">
            <v>730069</v>
          </cell>
          <cell r="C3531" t="str">
            <v>D</v>
          </cell>
          <cell r="D3531" t="str">
            <v>DISTRITAL</v>
          </cell>
          <cell r="E3531" t="str">
            <v>62</v>
          </cell>
          <cell r="F3531" t="str">
            <v>PAQ00a05</v>
          </cell>
          <cell r="G3531" t="str">
            <v>B</v>
          </cell>
          <cell r="H3531">
            <v>9.16</v>
          </cell>
        </row>
        <row r="3532">
          <cell r="A3532" t="str">
            <v>1;62;D;B;PAQ05a10</v>
          </cell>
          <cell r="B3532">
            <v>730069</v>
          </cell>
          <cell r="C3532" t="str">
            <v>D</v>
          </cell>
          <cell r="D3532" t="str">
            <v>DISTRITAL</v>
          </cell>
          <cell r="E3532" t="str">
            <v>62</v>
          </cell>
          <cell r="F3532" t="str">
            <v>PAQ05a10</v>
          </cell>
          <cell r="G3532" t="str">
            <v>B</v>
          </cell>
          <cell r="H3532">
            <v>15.26</v>
          </cell>
        </row>
        <row r="3533">
          <cell r="A3533" t="str">
            <v>1;62;D;B;PAQ10a15</v>
          </cell>
          <cell r="B3533">
            <v>730069</v>
          </cell>
          <cell r="C3533" t="str">
            <v>D</v>
          </cell>
          <cell r="D3533" t="str">
            <v>DISTRITAL</v>
          </cell>
          <cell r="E3533" t="str">
            <v>62</v>
          </cell>
          <cell r="F3533" t="str">
            <v>PAQ10a15</v>
          </cell>
          <cell r="G3533" t="str">
            <v>B</v>
          </cell>
          <cell r="H3533">
            <v>20.09</v>
          </cell>
        </row>
        <row r="3534">
          <cell r="A3534" t="str">
            <v>1;62;D;B;PAQ15a20</v>
          </cell>
          <cell r="B3534">
            <v>730069</v>
          </cell>
          <cell r="C3534" t="str">
            <v>D</v>
          </cell>
          <cell r="D3534" t="str">
            <v>DISTRITAL</v>
          </cell>
          <cell r="E3534" t="str">
            <v>62</v>
          </cell>
          <cell r="F3534" t="str">
            <v>PAQ15a20</v>
          </cell>
          <cell r="G3534" t="str">
            <v>B</v>
          </cell>
          <cell r="H3534">
            <v>24.91</v>
          </cell>
        </row>
        <row r="3535">
          <cell r="A3535" t="str">
            <v>1;62;D;B;PAQ20a25</v>
          </cell>
          <cell r="B3535">
            <v>730069</v>
          </cell>
          <cell r="C3535" t="str">
            <v>D</v>
          </cell>
          <cell r="D3535" t="str">
            <v>DISTRITAL</v>
          </cell>
          <cell r="E3535" t="str">
            <v>62</v>
          </cell>
          <cell r="F3535" t="str">
            <v>PAQ20a25</v>
          </cell>
          <cell r="G3535" t="str">
            <v>B</v>
          </cell>
          <cell r="H3535">
            <v>29.73</v>
          </cell>
        </row>
        <row r="3536">
          <cell r="A3536" t="str">
            <v>1;62;D;B;PAQ25a30</v>
          </cell>
          <cell r="B3536">
            <v>730069</v>
          </cell>
          <cell r="C3536" t="str">
            <v>D</v>
          </cell>
          <cell r="D3536" t="str">
            <v>DISTRITAL</v>
          </cell>
          <cell r="E3536" t="str">
            <v>62</v>
          </cell>
          <cell r="F3536" t="str">
            <v>PAQ25a30</v>
          </cell>
          <cell r="G3536" t="str">
            <v>B</v>
          </cell>
          <cell r="H3536">
            <v>34.56</v>
          </cell>
        </row>
        <row r="3537">
          <cell r="A3537" t="str">
            <v>1;62;D;B;PAQ30a35</v>
          </cell>
          <cell r="B3537">
            <v>730069</v>
          </cell>
          <cell r="C3537" t="str">
            <v>D</v>
          </cell>
          <cell r="D3537" t="str">
            <v>DISTRITAL</v>
          </cell>
          <cell r="E3537" t="str">
            <v>62</v>
          </cell>
          <cell r="F3537" t="str">
            <v>PAQ30a35</v>
          </cell>
          <cell r="G3537" t="str">
            <v>B</v>
          </cell>
          <cell r="H3537">
            <v>39.380000000000003</v>
          </cell>
        </row>
        <row r="3538">
          <cell r="A3538" t="str">
            <v>1;62;D;B;PAQ35a40</v>
          </cell>
          <cell r="B3538">
            <v>730069</v>
          </cell>
          <cell r="C3538" t="str">
            <v>D</v>
          </cell>
          <cell r="D3538" t="str">
            <v>DISTRITAL</v>
          </cell>
          <cell r="E3538" t="str">
            <v>62</v>
          </cell>
          <cell r="F3538" t="str">
            <v>PAQ35a40</v>
          </cell>
          <cell r="G3538" t="str">
            <v>B</v>
          </cell>
          <cell r="H3538">
            <v>44.21</v>
          </cell>
        </row>
        <row r="3539">
          <cell r="A3539" t="str">
            <v>1;62;D;F;</v>
          </cell>
          <cell r="B3539">
            <v>730069</v>
          </cell>
          <cell r="C3539" t="str">
            <v>D</v>
          </cell>
          <cell r="D3539" t="str">
            <v>DISTRITAL</v>
          </cell>
          <cell r="E3539" t="str">
            <v>62</v>
          </cell>
          <cell r="F3539" t="str">
            <v/>
          </cell>
          <cell r="G3539" t="str">
            <v>F</v>
          </cell>
          <cell r="H3539">
            <v>4.82</v>
          </cell>
        </row>
        <row r="3540">
          <cell r="A3540" t="str">
            <v>1;62;D;E;</v>
          </cell>
          <cell r="B3540">
            <v>730069</v>
          </cell>
          <cell r="C3540" t="str">
            <v>D</v>
          </cell>
          <cell r="D3540" t="str">
            <v>DISTRITAL</v>
          </cell>
          <cell r="E3540" t="str">
            <v>62</v>
          </cell>
          <cell r="F3540" t="str">
            <v/>
          </cell>
          <cell r="G3540" t="str">
            <v>E</v>
          </cell>
          <cell r="H3540">
            <v>9.16</v>
          </cell>
        </row>
        <row r="3541">
          <cell r="A3541" t="str">
            <v>1;62;D;P;</v>
          </cell>
          <cell r="B3541">
            <v>730069</v>
          </cell>
          <cell r="C3541" t="str">
            <v>D</v>
          </cell>
          <cell r="D3541" t="str">
            <v>DISTRITAL</v>
          </cell>
          <cell r="E3541" t="str">
            <v>62</v>
          </cell>
          <cell r="F3541" t="str">
            <v/>
          </cell>
          <cell r="G3541" t="str">
            <v>P</v>
          </cell>
          <cell r="H3541">
            <v>9.16</v>
          </cell>
        </row>
        <row r="3542">
          <cell r="A3542" t="str">
            <v>1;63;D;B;BAG</v>
          </cell>
          <cell r="B3542">
            <v>730069</v>
          </cell>
          <cell r="C3542" t="str">
            <v>D</v>
          </cell>
          <cell r="D3542" t="str">
            <v>DISTRITAL</v>
          </cell>
          <cell r="E3542" t="str">
            <v>63</v>
          </cell>
          <cell r="F3542" t="str">
            <v>BAG</v>
          </cell>
          <cell r="G3542" t="str">
            <v>B</v>
          </cell>
          <cell r="H3542">
            <v>15.4</v>
          </cell>
        </row>
        <row r="3543">
          <cell r="A3543" t="str">
            <v>1;63;D;B;PAQ00a05</v>
          </cell>
          <cell r="B3543">
            <v>730069</v>
          </cell>
          <cell r="C3543" t="str">
            <v>D</v>
          </cell>
          <cell r="D3543" t="str">
            <v>DISTRITAL</v>
          </cell>
          <cell r="E3543" t="str">
            <v>63</v>
          </cell>
          <cell r="F3543" t="str">
            <v>PAQ00a05</v>
          </cell>
          <cell r="G3543" t="str">
            <v>B</v>
          </cell>
          <cell r="H3543">
            <v>16.350000000000001</v>
          </cell>
        </row>
        <row r="3544">
          <cell r="A3544" t="str">
            <v>1;63;D;B;PAQ05a10</v>
          </cell>
          <cell r="B3544">
            <v>730069</v>
          </cell>
          <cell r="C3544" t="str">
            <v>D</v>
          </cell>
          <cell r="D3544" t="str">
            <v>DISTRITAL</v>
          </cell>
          <cell r="E3544" t="str">
            <v>63</v>
          </cell>
          <cell r="F3544" t="str">
            <v>PAQ05a10</v>
          </cell>
          <cell r="G3544" t="str">
            <v>B</v>
          </cell>
          <cell r="H3544">
            <v>22.45</v>
          </cell>
        </row>
        <row r="3545">
          <cell r="A3545" t="str">
            <v>1;63;D;B;PAQ10a15</v>
          </cell>
          <cell r="B3545">
            <v>730069</v>
          </cell>
          <cell r="C3545" t="str">
            <v>D</v>
          </cell>
          <cell r="D3545" t="str">
            <v>DISTRITAL</v>
          </cell>
          <cell r="E3545" t="str">
            <v>63</v>
          </cell>
          <cell r="F3545" t="str">
            <v>PAQ10a15</v>
          </cell>
          <cell r="G3545" t="str">
            <v>B</v>
          </cell>
          <cell r="H3545">
            <v>27.28</v>
          </cell>
        </row>
        <row r="3546">
          <cell r="A3546" t="str">
            <v>1;63;D;B;PAQ15a20</v>
          </cell>
          <cell r="B3546">
            <v>730069</v>
          </cell>
          <cell r="C3546" t="str">
            <v>D</v>
          </cell>
          <cell r="D3546" t="str">
            <v>DISTRITAL</v>
          </cell>
          <cell r="E3546" t="str">
            <v>63</v>
          </cell>
          <cell r="F3546" t="str">
            <v>PAQ15a20</v>
          </cell>
          <cell r="G3546" t="str">
            <v>B</v>
          </cell>
          <cell r="H3546">
            <v>32.1</v>
          </cell>
        </row>
        <row r="3547">
          <cell r="A3547" t="str">
            <v>1;63;D;B;PAQ20a25</v>
          </cell>
          <cell r="B3547">
            <v>730069</v>
          </cell>
          <cell r="C3547" t="str">
            <v>D</v>
          </cell>
          <cell r="D3547" t="str">
            <v>DISTRITAL</v>
          </cell>
          <cell r="E3547" t="str">
            <v>63</v>
          </cell>
          <cell r="F3547" t="str">
            <v>PAQ20a25</v>
          </cell>
          <cell r="G3547" t="str">
            <v>B</v>
          </cell>
          <cell r="H3547">
            <v>36.92</v>
          </cell>
        </row>
        <row r="3548">
          <cell r="A3548" t="str">
            <v>1;63;D;B;PAQ25a30</v>
          </cell>
          <cell r="B3548">
            <v>730069</v>
          </cell>
          <cell r="C3548" t="str">
            <v>D</v>
          </cell>
          <cell r="D3548" t="str">
            <v>DISTRITAL</v>
          </cell>
          <cell r="E3548" t="str">
            <v>63</v>
          </cell>
          <cell r="F3548" t="str">
            <v>PAQ25a30</v>
          </cell>
          <cell r="G3548" t="str">
            <v>B</v>
          </cell>
          <cell r="H3548">
            <v>41.75</v>
          </cell>
        </row>
        <row r="3549">
          <cell r="A3549" t="str">
            <v>1;63;D;B;PAQ30a35</v>
          </cell>
          <cell r="B3549">
            <v>730069</v>
          </cell>
          <cell r="C3549" t="str">
            <v>D</v>
          </cell>
          <cell r="D3549" t="str">
            <v>DISTRITAL</v>
          </cell>
          <cell r="E3549" t="str">
            <v>63</v>
          </cell>
          <cell r="F3549" t="str">
            <v>PAQ30a35</v>
          </cell>
          <cell r="G3549" t="str">
            <v>B</v>
          </cell>
          <cell r="H3549">
            <v>46.57</v>
          </cell>
        </row>
        <row r="3550">
          <cell r="A3550" t="str">
            <v>1;63;D;B;PAQ35a40</v>
          </cell>
          <cell r="B3550">
            <v>730069</v>
          </cell>
          <cell r="C3550" t="str">
            <v>D</v>
          </cell>
          <cell r="D3550" t="str">
            <v>DISTRITAL</v>
          </cell>
          <cell r="E3550" t="str">
            <v>63</v>
          </cell>
          <cell r="F3550" t="str">
            <v>PAQ35a40</v>
          </cell>
          <cell r="G3550" t="str">
            <v>B</v>
          </cell>
          <cell r="H3550">
            <v>51.4</v>
          </cell>
        </row>
        <row r="3551">
          <cell r="A3551" t="str">
            <v>1;63;D;F;</v>
          </cell>
          <cell r="B3551">
            <v>730069</v>
          </cell>
          <cell r="C3551" t="str">
            <v>D</v>
          </cell>
          <cell r="D3551" t="str">
            <v>DISTRITAL</v>
          </cell>
          <cell r="E3551" t="str">
            <v>63</v>
          </cell>
          <cell r="F3551" t="str">
            <v/>
          </cell>
          <cell r="G3551" t="str">
            <v>F</v>
          </cell>
          <cell r="H3551">
            <v>4.82</v>
          </cell>
        </row>
        <row r="3552">
          <cell r="A3552" t="str">
            <v>1;63;D;E;</v>
          </cell>
          <cell r="B3552">
            <v>730069</v>
          </cell>
          <cell r="C3552" t="str">
            <v>D</v>
          </cell>
          <cell r="D3552" t="str">
            <v>DISTRITAL</v>
          </cell>
          <cell r="E3552" t="str">
            <v>63</v>
          </cell>
          <cell r="F3552" t="str">
            <v/>
          </cell>
          <cell r="G3552" t="str">
            <v>E</v>
          </cell>
          <cell r="H3552">
            <v>9.16</v>
          </cell>
        </row>
        <row r="3553">
          <cell r="A3553" t="str">
            <v>1;63;D;P;</v>
          </cell>
          <cell r="B3553">
            <v>730069</v>
          </cell>
          <cell r="C3553" t="str">
            <v>D</v>
          </cell>
          <cell r="D3553" t="str">
            <v>DISTRITAL</v>
          </cell>
          <cell r="E3553" t="str">
            <v>63</v>
          </cell>
          <cell r="F3553" t="str">
            <v/>
          </cell>
          <cell r="G3553" t="str">
            <v>P</v>
          </cell>
          <cell r="H3553">
            <v>9.16</v>
          </cell>
        </row>
        <row r="3554">
          <cell r="A3554" t="str">
            <v>1;E;E1;B;DOC00a05</v>
          </cell>
          <cell r="B3554">
            <v>730069</v>
          </cell>
          <cell r="C3554" t="str">
            <v>E1</v>
          </cell>
          <cell r="D3554" t="str">
            <v>ZONA 1</v>
          </cell>
          <cell r="E3554" t="str">
            <v>E</v>
          </cell>
          <cell r="F3554" t="str">
            <v>DOC00a05</v>
          </cell>
          <cell r="G3554" t="str">
            <v>B</v>
          </cell>
          <cell r="H3554">
            <v>66.650000000000006</v>
          </cell>
        </row>
        <row r="3555">
          <cell r="A3555" t="str">
            <v>1;E;E1;B;DOC05a10</v>
          </cell>
          <cell r="B3555">
            <v>730069</v>
          </cell>
          <cell r="C3555" t="str">
            <v>E1</v>
          </cell>
          <cell r="D3555" t="str">
            <v>ZONA 1</v>
          </cell>
          <cell r="E3555" t="str">
            <v>E</v>
          </cell>
          <cell r="F3555" t="str">
            <v>DOC05a10</v>
          </cell>
          <cell r="G3555" t="str">
            <v>B</v>
          </cell>
          <cell r="H3555">
            <v>79.989999999999995</v>
          </cell>
        </row>
        <row r="3556">
          <cell r="A3556" t="str">
            <v>1;E;E1;B;DOC10a15</v>
          </cell>
          <cell r="B3556">
            <v>730069</v>
          </cell>
          <cell r="C3556" t="str">
            <v>E1</v>
          </cell>
          <cell r="D3556" t="str">
            <v>ZONA 1</v>
          </cell>
          <cell r="E3556" t="str">
            <v>E</v>
          </cell>
          <cell r="F3556" t="str">
            <v>DOC10a15</v>
          </cell>
          <cell r="G3556" t="str">
            <v>B</v>
          </cell>
          <cell r="H3556">
            <v>91.83</v>
          </cell>
        </row>
        <row r="3557">
          <cell r="A3557" t="str">
            <v>1;E;E1;B;DOC15a20</v>
          </cell>
          <cell r="B3557">
            <v>730069</v>
          </cell>
          <cell r="C3557" t="str">
            <v>E1</v>
          </cell>
          <cell r="D3557" t="str">
            <v>ZONA 1</v>
          </cell>
          <cell r="E3557" t="str">
            <v>E</v>
          </cell>
          <cell r="F3557" t="str">
            <v>DOC15a20</v>
          </cell>
          <cell r="G3557" t="str">
            <v>B</v>
          </cell>
          <cell r="H3557">
            <v>103.68</v>
          </cell>
        </row>
        <row r="3558">
          <cell r="A3558" t="str">
            <v>1;E;E1;B;DOC20a25</v>
          </cell>
          <cell r="B3558">
            <v>730069</v>
          </cell>
          <cell r="C3558" t="str">
            <v>E1</v>
          </cell>
          <cell r="D3558" t="str">
            <v>ZONA 1</v>
          </cell>
          <cell r="E3558" t="str">
            <v>E</v>
          </cell>
          <cell r="F3558" t="str">
            <v>DOC20a25</v>
          </cell>
          <cell r="G3558" t="str">
            <v>B</v>
          </cell>
          <cell r="H3558">
            <v>115.52</v>
          </cell>
        </row>
        <row r="3559">
          <cell r="A3559" t="str">
            <v>1;E;E1;B;DOC25a30</v>
          </cell>
          <cell r="B3559">
            <v>730069</v>
          </cell>
          <cell r="C3559" t="str">
            <v>E1</v>
          </cell>
          <cell r="D3559" t="str">
            <v>ZONA 1</v>
          </cell>
          <cell r="E3559" t="str">
            <v>E</v>
          </cell>
          <cell r="F3559" t="str">
            <v>DOC25a30</v>
          </cell>
          <cell r="G3559" t="str">
            <v>B</v>
          </cell>
          <cell r="H3559">
            <v>127.37</v>
          </cell>
        </row>
        <row r="3560">
          <cell r="A3560" t="str">
            <v>1;E;E1;B;DOC30a35</v>
          </cell>
          <cell r="B3560">
            <v>730069</v>
          </cell>
          <cell r="C3560" t="str">
            <v>E1</v>
          </cell>
          <cell r="D3560" t="str">
            <v>ZONA 1</v>
          </cell>
          <cell r="E3560" t="str">
            <v>E</v>
          </cell>
          <cell r="F3560" t="str">
            <v>DOC30a35</v>
          </cell>
          <cell r="G3560" t="str">
            <v>B</v>
          </cell>
          <cell r="H3560">
            <v>139.21</v>
          </cell>
        </row>
        <row r="3561">
          <cell r="A3561" t="str">
            <v>1;E;E1;B;DOC35a40</v>
          </cell>
          <cell r="B3561">
            <v>730069</v>
          </cell>
          <cell r="C3561" t="str">
            <v>E1</v>
          </cell>
          <cell r="D3561" t="str">
            <v>ZONA 1</v>
          </cell>
          <cell r="E3561" t="str">
            <v>E</v>
          </cell>
          <cell r="F3561" t="str">
            <v>DOC35a40</v>
          </cell>
          <cell r="G3561" t="str">
            <v>B</v>
          </cell>
          <cell r="H3561">
            <v>151.06</v>
          </cell>
        </row>
        <row r="3562">
          <cell r="A3562" t="str">
            <v>1;E;E1;F;</v>
          </cell>
          <cell r="B3562">
            <v>730069</v>
          </cell>
          <cell r="C3562" t="str">
            <v>E1</v>
          </cell>
          <cell r="D3562" t="str">
            <v>ZONA 1</v>
          </cell>
          <cell r="E3562" t="str">
            <v>E</v>
          </cell>
          <cell r="F3562" t="str">
            <v/>
          </cell>
          <cell r="G3562" t="str">
            <v>F</v>
          </cell>
          <cell r="H3562">
            <v>11.85</v>
          </cell>
        </row>
        <row r="3563">
          <cell r="A3563" t="str">
            <v>1;E;E1;B;MUE00a05</v>
          </cell>
          <cell r="B3563">
            <v>730069</v>
          </cell>
          <cell r="C3563" t="str">
            <v>E1</v>
          </cell>
          <cell r="D3563" t="str">
            <v>ZONA 1</v>
          </cell>
          <cell r="E3563" t="str">
            <v>E</v>
          </cell>
          <cell r="F3563" t="str">
            <v>MUE00a05</v>
          </cell>
          <cell r="G3563" t="str">
            <v>B</v>
          </cell>
          <cell r="H3563">
            <v>66.650000000000006</v>
          </cell>
        </row>
        <row r="3564">
          <cell r="A3564" t="str">
            <v>1;E;E1;B;MUE05a10</v>
          </cell>
          <cell r="B3564">
            <v>730069</v>
          </cell>
          <cell r="C3564" t="str">
            <v>E1</v>
          </cell>
          <cell r="D3564" t="str">
            <v>ZONA 1</v>
          </cell>
          <cell r="E3564" t="str">
            <v>E</v>
          </cell>
          <cell r="F3564" t="str">
            <v>MUE05a10</v>
          </cell>
          <cell r="G3564" t="str">
            <v>B</v>
          </cell>
          <cell r="H3564">
            <v>79.989999999999995</v>
          </cell>
        </row>
        <row r="3565">
          <cell r="A3565" t="str">
            <v>1;E;E1;B;MUE10a15</v>
          </cell>
          <cell r="B3565">
            <v>730069</v>
          </cell>
          <cell r="C3565" t="str">
            <v>E1</v>
          </cell>
          <cell r="D3565" t="str">
            <v>ZONA 1</v>
          </cell>
          <cell r="E3565" t="str">
            <v>E</v>
          </cell>
          <cell r="F3565" t="str">
            <v>MUE10a15</v>
          </cell>
          <cell r="G3565" t="str">
            <v>B</v>
          </cell>
          <cell r="H3565">
            <v>91.83</v>
          </cell>
        </row>
        <row r="3566">
          <cell r="A3566" t="str">
            <v>1;E;E1;B;MUE15a20</v>
          </cell>
          <cell r="B3566">
            <v>730069</v>
          </cell>
          <cell r="C3566" t="str">
            <v>E1</v>
          </cell>
          <cell r="D3566" t="str">
            <v>ZONA 1</v>
          </cell>
          <cell r="E3566" t="str">
            <v>E</v>
          </cell>
          <cell r="F3566" t="str">
            <v>MUE15a20</v>
          </cell>
          <cell r="G3566" t="str">
            <v>B</v>
          </cell>
          <cell r="H3566">
            <v>103.68</v>
          </cell>
        </row>
        <row r="3567">
          <cell r="A3567" t="str">
            <v>1;E;E1;B;MUE20a25</v>
          </cell>
          <cell r="B3567">
            <v>730069</v>
          </cell>
          <cell r="C3567" t="str">
            <v>E1</v>
          </cell>
          <cell r="D3567" t="str">
            <v>ZONA 1</v>
          </cell>
          <cell r="E3567" t="str">
            <v>E</v>
          </cell>
          <cell r="F3567" t="str">
            <v>MUE20a25</v>
          </cell>
          <cell r="G3567" t="str">
            <v>B</v>
          </cell>
          <cell r="H3567">
            <v>115.52</v>
          </cell>
        </row>
        <row r="3568">
          <cell r="A3568" t="str">
            <v>1;E;E1;B;MUE25a30</v>
          </cell>
          <cell r="B3568">
            <v>730069</v>
          </cell>
          <cell r="C3568" t="str">
            <v>E1</v>
          </cell>
          <cell r="D3568" t="str">
            <v>ZONA 1</v>
          </cell>
          <cell r="E3568" t="str">
            <v>E</v>
          </cell>
          <cell r="F3568" t="str">
            <v>MUE25a30</v>
          </cell>
          <cell r="G3568" t="str">
            <v>B</v>
          </cell>
          <cell r="H3568">
            <v>127.37</v>
          </cell>
        </row>
        <row r="3569">
          <cell r="A3569" t="str">
            <v>1;E;E1;B;MUE30a35</v>
          </cell>
          <cell r="B3569">
            <v>730069</v>
          </cell>
          <cell r="C3569" t="str">
            <v>E1</v>
          </cell>
          <cell r="D3569" t="str">
            <v>ZONA 1</v>
          </cell>
          <cell r="E3569" t="str">
            <v>E</v>
          </cell>
          <cell r="F3569" t="str">
            <v>MUE30a35</v>
          </cell>
          <cell r="G3569" t="str">
            <v>B</v>
          </cell>
          <cell r="H3569">
            <v>139.21</v>
          </cell>
        </row>
        <row r="3570">
          <cell r="A3570" t="str">
            <v>1;E;E1;B;MUE35a40</v>
          </cell>
          <cell r="B3570">
            <v>730069</v>
          </cell>
          <cell r="C3570" t="str">
            <v>E1</v>
          </cell>
          <cell r="D3570" t="str">
            <v>ZONA 1</v>
          </cell>
          <cell r="E3570" t="str">
            <v>E</v>
          </cell>
          <cell r="F3570" t="str">
            <v>MUE35a40</v>
          </cell>
          <cell r="G3570" t="str">
            <v>B</v>
          </cell>
          <cell r="H3570">
            <v>151.06</v>
          </cell>
        </row>
        <row r="3571">
          <cell r="A3571" t="str">
            <v>1;E;E1;F;</v>
          </cell>
          <cell r="B3571">
            <v>730069</v>
          </cell>
          <cell r="C3571" t="str">
            <v>E1</v>
          </cell>
          <cell r="D3571" t="str">
            <v>ZONA 1</v>
          </cell>
          <cell r="E3571" t="str">
            <v>E</v>
          </cell>
          <cell r="F3571" t="str">
            <v/>
          </cell>
          <cell r="G3571" t="str">
            <v>F</v>
          </cell>
          <cell r="H3571">
            <v>11.85</v>
          </cell>
        </row>
        <row r="3572">
          <cell r="A3572" t="str">
            <v>1;E;E2;B;DOC00a05</v>
          </cell>
          <cell r="B3572">
            <v>730069</v>
          </cell>
          <cell r="C3572" t="str">
            <v>E2</v>
          </cell>
          <cell r="D3572" t="str">
            <v>ZONA 2</v>
          </cell>
          <cell r="E3572" t="str">
            <v>E</v>
          </cell>
          <cell r="F3572" t="str">
            <v>DOC00a05</v>
          </cell>
          <cell r="G3572" t="str">
            <v>B</v>
          </cell>
          <cell r="H3572">
            <v>78.2</v>
          </cell>
        </row>
        <row r="3573">
          <cell r="A3573" t="str">
            <v>1;E;E2;B;DOC05a10</v>
          </cell>
          <cell r="B3573">
            <v>730069</v>
          </cell>
          <cell r="C3573" t="str">
            <v>E2</v>
          </cell>
          <cell r="D3573" t="str">
            <v>ZONA 2</v>
          </cell>
          <cell r="E3573" t="str">
            <v>E</v>
          </cell>
          <cell r="F3573" t="str">
            <v>DOC05a10</v>
          </cell>
          <cell r="G3573" t="str">
            <v>B</v>
          </cell>
          <cell r="H3573">
            <v>89.57</v>
          </cell>
        </row>
        <row r="3574">
          <cell r="A3574" t="str">
            <v>1;E;E2;B;DOC10a15</v>
          </cell>
          <cell r="B3574">
            <v>730069</v>
          </cell>
          <cell r="C3574" t="str">
            <v>E2</v>
          </cell>
          <cell r="D3574" t="str">
            <v>ZONA 2</v>
          </cell>
          <cell r="E3574" t="str">
            <v>E</v>
          </cell>
          <cell r="F3574" t="str">
            <v>DOC10a15</v>
          </cell>
          <cell r="G3574" t="str">
            <v>B</v>
          </cell>
          <cell r="H3574">
            <v>103.15</v>
          </cell>
        </row>
        <row r="3575">
          <cell r="A3575" t="str">
            <v>1;E;E2;B;DOC15a20</v>
          </cell>
          <cell r="B3575">
            <v>730069</v>
          </cell>
          <cell r="C3575" t="str">
            <v>E2</v>
          </cell>
          <cell r="D3575" t="str">
            <v>ZONA 2</v>
          </cell>
          <cell r="E3575" t="str">
            <v>E</v>
          </cell>
          <cell r="F3575" t="str">
            <v>DOC15a20</v>
          </cell>
          <cell r="G3575" t="str">
            <v>B</v>
          </cell>
          <cell r="H3575">
            <v>116.74</v>
          </cell>
        </row>
        <row r="3576">
          <cell r="A3576" t="str">
            <v>1;E;E2;B;DOC20a25</v>
          </cell>
          <cell r="B3576">
            <v>730069</v>
          </cell>
          <cell r="C3576" t="str">
            <v>E2</v>
          </cell>
          <cell r="D3576" t="str">
            <v>ZONA 2</v>
          </cell>
          <cell r="E3576" t="str">
            <v>E</v>
          </cell>
          <cell r="F3576" t="str">
            <v>DOC20a25</v>
          </cell>
          <cell r="G3576" t="str">
            <v>B</v>
          </cell>
          <cell r="H3576">
            <v>130.33000000000001</v>
          </cell>
        </row>
        <row r="3577">
          <cell r="A3577" t="str">
            <v>1;E;E2;B;DOC25a30</v>
          </cell>
          <cell r="B3577">
            <v>730069</v>
          </cell>
          <cell r="C3577" t="str">
            <v>E2</v>
          </cell>
          <cell r="D3577" t="str">
            <v>ZONA 2</v>
          </cell>
          <cell r="E3577" t="str">
            <v>E</v>
          </cell>
          <cell r="F3577" t="str">
            <v>DOC25a30</v>
          </cell>
          <cell r="G3577" t="str">
            <v>B</v>
          </cell>
          <cell r="H3577">
            <v>143.91</v>
          </cell>
        </row>
        <row r="3578">
          <cell r="A3578" t="str">
            <v>1;E;E2;B;DOC30a35</v>
          </cell>
          <cell r="B3578">
            <v>730069</v>
          </cell>
          <cell r="C3578" t="str">
            <v>E2</v>
          </cell>
          <cell r="D3578" t="str">
            <v>ZONA 2</v>
          </cell>
          <cell r="E3578" t="str">
            <v>E</v>
          </cell>
          <cell r="F3578" t="str">
            <v>DOC30a35</v>
          </cell>
          <cell r="G3578" t="str">
            <v>B</v>
          </cell>
          <cell r="H3578">
            <v>157.5</v>
          </cell>
        </row>
        <row r="3579">
          <cell r="A3579" t="str">
            <v>1;E;E2;B;DOC35a40</v>
          </cell>
          <cell r="B3579">
            <v>730069</v>
          </cell>
          <cell r="C3579" t="str">
            <v>E2</v>
          </cell>
          <cell r="D3579" t="str">
            <v>ZONA 2</v>
          </cell>
          <cell r="E3579" t="str">
            <v>E</v>
          </cell>
          <cell r="F3579" t="str">
            <v>DOC35a40</v>
          </cell>
          <cell r="G3579" t="str">
            <v>B</v>
          </cell>
          <cell r="H3579">
            <v>171.08</v>
          </cell>
        </row>
        <row r="3580">
          <cell r="A3580" t="str">
            <v>1;E;E2;F;</v>
          </cell>
          <cell r="B3580">
            <v>730069</v>
          </cell>
          <cell r="C3580" t="str">
            <v>E2</v>
          </cell>
          <cell r="D3580" t="str">
            <v>ZONA 2</v>
          </cell>
          <cell r="E3580" t="str">
            <v>E</v>
          </cell>
          <cell r="F3580" t="str">
            <v/>
          </cell>
          <cell r="G3580" t="str">
            <v>F</v>
          </cell>
          <cell r="H3580">
            <v>13.59</v>
          </cell>
        </row>
        <row r="3581">
          <cell r="A3581" t="str">
            <v>1;E;E2;B;MUE00a05</v>
          </cell>
          <cell r="B3581">
            <v>730069</v>
          </cell>
          <cell r="C3581" t="str">
            <v>E2</v>
          </cell>
          <cell r="D3581" t="str">
            <v>ZONA 2</v>
          </cell>
          <cell r="E3581" t="str">
            <v>E</v>
          </cell>
          <cell r="F3581" t="str">
            <v>MUE00a05</v>
          </cell>
          <cell r="G3581" t="str">
            <v>B</v>
          </cell>
          <cell r="H3581">
            <v>78.2</v>
          </cell>
        </row>
        <row r="3582">
          <cell r="A3582" t="str">
            <v>1;E;E2;B;MUE05a10</v>
          </cell>
          <cell r="B3582">
            <v>730069</v>
          </cell>
          <cell r="C3582" t="str">
            <v>E2</v>
          </cell>
          <cell r="D3582" t="str">
            <v>ZONA 2</v>
          </cell>
          <cell r="E3582" t="str">
            <v>E</v>
          </cell>
          <cell r="F3582" t="str">
            <v>MUE05a10</v>
          </cell>
          <cell r="G3582" t="str">
            <v>B</v>
          </cell>
          <cell r="H3582">
            <v>89.57</v>
          </cell>
        </row>
        <row r="3583">
          <cell r="A3583" t="str">
            <v>1;E;E2;B;MUE10a15</v>
          </cell>
          <cell r="B3583">
            <v>730069</v>
          </cell>
          <cell r="C3583" t="str">
            <v>E2</v>
          </cell>
          <cell r="D3583" t="str">
            <v>ZONA 2</v>
          </cell>
          <cell r="E3583" t="str">
            <v>E</v>
          </cell>
          <cell r="F3583" t="str">
            <v>MUE10a15</v>
          </cell>
          <cell r="G3583" t="str">
            <v>B</v>
          </cell>
          <cell r="H3583">
            <v>103.15</v>
          </cell>
        </row>
        <row r="3584">
          <cell r="A3584" t="str">
            <v>1;E;E2;B;MUE15a20</v>
          </cell>
          <cell r="B3584">
            <v>730069</v>
          </cell>
          <cell r="C3584" t="str">
            <v>E2</v>
          </cell>
          <cell r="D3584" t="str">
            <v>ZONA 2</v>
          </cell>
          <cell r="E3584" t="str">
            <v>E</v>
          </cell>
          <cell r="F3584" t="str">
            <v>MUE15a20</v>
          </cell>
          <cell r="G3584" t="str">
            <v>B</v>
          </cell>
          <cell r="H3584">
            <v>116.74</v>
          </cell>
        </row>
        <row r="3585">
          <cell r="A3585" t="str">
            <v>1;E;E2;B;MUE20a25</v>
          </cell>
          <cell r="B3585">
            <v>730069</v>
          </cell>
          <cell r="C3585" t="str">
            <v>E2</v>
          </cell>
          <cell r="D3585" t="str">
            <v>ZONA 2</v>
          </cell>
          <cell r="E3585" t="str">
            <v>E</v>
          </cell>
          <cell r="F3585" t="str">
            <v>MUE20a25</v>
          </cell>
          <cell r="G3585" t="str">
            <v>B</v>
          </cell>
          <cell r="H3585">
            <v>130.33000000000001</v>
          </cell>
        </row>
        <row r="3586">
          <cell r="A3586" t="str">
            <v>1;E;E2;B;MUE25a30</v>
          </cell>
          <cell r="B3586">
            <v>730069</v>
          </cell>
          <cell r="C3586" t="str">
            <v>E2</v>
          </cell>
          <cell r="D3586" t="str">
            <v>ZONA 2</v>
          </cell>
          <cell r="E3586" t="str">
            <v>E</v>
          </cell>
          <cell r="F3586" t="str">
            <v>MUE25a30</v>
          </cell>
          <cell r="G3586" t="str">
            <v>B</v>
          </cell>
          <cell r="H3586">
            <v>143.91</v>
          </cell>
        </row>
        <row r="3587">
          <cell r="A3587" t="str">
            <v>1;E;E2;B;MUE30a35</v>
          </cell>
          <cell r="B3587">
            <v>730069</v>
          </cell>
          <cell r="C3587" t="str">
            <v>E2</v>
          </cell>
          <cell r="D3587" t="str">
            <v>ZONA 2</v>
          </cell>
          <cell r="E3587" t="str">
            <v>E</v>
          </cell>
          <cell r="F3587" t="str">
            <v>MUE30a35</v>
          </cell>
          <cell r="G3587" t="str">
            <v>B</v>
          </cell>
          <cell r="H3587">
            <v>157.5</v>
          </cell>
        </row>
        <row r="3588">
          <cell r="A3588" t="str">
            <v>1;E;E2;B;MUE35a40</v>
          </cell>
          <cell r="B3588">
            <v>730069</v>
          </cell>
          <cell r="C3588" t="str">
            <v>E2</v>
          </cell>
          <cell r="D3588" t="str">
            <v>ZONA 2</v>
          </cell>
          <cell r="E3588" t="str">
            <v>E</v>
          </cell>
          <cell r="F3588" t="str">
            <v>MUE35a40</v>
          </cell>
          <cell r="G3588" t="str">
            <v>B</v>
          </cell>
          <cell r="H3588">
            <v>171.08</v>
          </cell>
        </row>
        <row r="3589">
          <cell r="A3589" t="str">
            <v>1;E;E2;F;</v>
          </cell>
          <cell r="B3589">
            <v>730069</v>
          </cell>
          <cell r="C3589" t="str">
            <v>E2</v>
          </cell>
          <cell r="D3589" t="str">
            <v>ZONA 2</v>
          </cell>
          <cell r="E3589" t="str">
            <v>E</v>
          </cell>
          <cell r="F3589" t="str">
            <v/>
          </cell>
          <cell r="G3589" t="str">
            <v>F</v>
          </cell>
          <cell r="H3589">
            <v>13.59</v>
          </cell>
        </row>
        <row r="3590">
          <cell r="A3590" t="str">
            <v>1;E;E3;B;DOC00a05</v>
          </cell>
          <cell r="B3590">
            <v>730069</v>
          </cell>
          <cell r="C3590" t="str">
            <v>E3</v>
          </cell>
          <cell r="D3590" t="str">
            <v>ZONA 3</v>
          </cell>
          <cell r="E3590" t="str">
            <v>E</v>
          </cell>
          <cell r="F3590" t="str">
            <v>DOC00a05</v>
          </cell>
          <cell r="G3590" t="str">
            <v>B</v>
          </cell>
          <cell r="H3590">
            <v>87.98</v>
          </cell>
        </row>
        <row r="3591">
          <cell r="A3591" t="str">
            <v>1;E;E3;B;DOC05a10</v>
          </cell>
          <cell r="B3591">
            <v>730069</v>
          </cell>
          <cell r="C3591" t="str">
            <v>E3</v>
          </cell>
          <cell r="D3591" t="str">
            <v>ZONA 3</v>
          </cell>
          <cell r="E3591" t="str">
            <v>E</v>
          </cell>
          <cell r="F3591" t="str">
            <v>DOC05a10</v>
          </cell>
          <cell r="G3591" t="str">
            <v>B</v>
          </cell>
          <cell r="H3591">
            <v>111.65</v>
          </cell>
        </row>
        <row r="3592">
          <cell r="A3592" t="str">
            <v>1;E;E3;B;DOC10a15</v>
          </cell>
          <cell r="B3592">
            <v>730069</v>
          </cell>
          <cell r="C3592" t="str">
            <v>E3</v>
          </cell>
          <cell r="D3592" t="str">
            <v>ZONA 3</v>
          </cell>
          <cell r="E3592" t="str">
            <v>E</v>
          </cell>
          <cell r="F3592" t="str">
            <v>DOC10a15</v>
          </cell>
          <cell r="G3592" t="str">
            <v>B</v>
          </cell>
          <cell r="H3592">
            <v>127.01</v>
          </cell>
        </row>
        <row r="3593">
          <cell r="A3593" t="str">
            <v>1;E;E3;B;DOC15a20</v>
          </cell>
          <cell r="B3593">
            <v>730069</v>
          </cell>
          <cell r="C3593" t="str">
            <v>E3</v>
          </cell>
          <cell r="D3593" t="str">
            <v>ZONA 3</v>
          </cell>
          <cell r="E3593" t="str">
            <v>E</v>
          </cell>
          <cell r="F3593" t="str">
            <v>DOC15a20</v>
          </cell>
          <cell r="G3593" t="str">
            <v>B</v>
          </cell>
          <cell r="H3593">
            <v>142.37</v>
          </cell>
        </row>
        <row r="3594">
          <cell r="A3594" t="str">
            <v>1;E;E3;B;DOC20a25</v>
          </cell>
          <cell r="B3594">
            <v>730069</v>
          </cell>
          <cell r="C3594" t="str">
            <v>E3</v>
          </cell>
          <cell r="D3594" t="str">
            <v>ZONA 3</v>
          </cell>
          <cell r="E3594" t="str">
            <v>E</v>
          </cell>
          <cell r="F3594" t="str">
            <v>DOC20a25</v>
          </cell>
          <cell r="G3594" t="str">
            <v>B</v>
          </cell>
          <cell r="H3594">
            <v>157.72</v>
          </cell>
        </row>
        <row r="3595">
          <cell r="A3595" t="str">
            <v>1;E;E3;B;DOC25a30</v>
          </cell>
          <cell r="B3595">
            <v>730069</v>
          </cell>
          <cell r="C3595" t="str">
            <v>E3</v>
          </cell>
          <cell r="D3595" t="str">
            <v>ZONA 3</v>
          </cell>
          <cell r="E3595" t="str">
            <v>E</v>
          </cell>
          <cell r="F3595" t="str">
            <v>DOC25a30</v>
          </cell>
          <cell r="G3595" t="str">
            <v>B</v>
          </cell>
          <cell r="H3595">
            <v>173.08</v>
          </cell>
        </row>
        <row r="3596">
          <cell r="A3596" t="str">
            <v>1;E;E3;B;DOC30a35</v>
          </cell>
          <cell r="B3596">
            <v>730069</v>
          </cell>
          <cell r="C3596" t="str">
            <v>E3</v>
          </cell>
          <cell r="D3596" t="str">
            <v>ZONA 3</v>
          </cell>
          <cell r="E3596" t="str">
            <v>E</v>
          </cell>
          <cell r="F3596" t="str">
            <v>DOC30a35</v>
          </cell>
          <cell r="G3596" t="str">
            <v>B</v>
          </cell>
          <cell r="H3596">
            <v>188.44</v>
          </cell>
        </row>
        <row r="3597">
          <cell r="A3597" t="str">
            <v>1;E;E3;B;DOC35a40</v>
          </cell>
          <cell r="B3597">
            <v>730069</v>
          </cell>
          <cell r="C3597" t="str">
            <v>E3</v>
          </cell>
          <cell r="D3597" t="str">
            <v>ZONA 3</v>
          </cell>
          <cell r="E3597" t="str">
            <v>E</v>
          </cell>
          <cell r="F3597" t="str">
            <v>DOC35a40</v>
          </cell>
          <cell r="G3597" t="str">
            <v>B</v>
          </cell>
          <cell r="H3597">
            <v>203.8</v>
          </cell>
        </row>
        <row r="3598">
          <cell r="A3598" t="str">
            <v>1;E;E3;F;</v>
          </cell>
          <cell r="B3598">
            <v>730069</v>
          </cell>
          <cell r="C3598" t="str">
            <v>E3</v>
          </cell>
          <cell r="D3598" t="str">
            <v>ZONA 3</v>
          </cell>
          <cell r="E3598" t="str">
            <v>E</v>
          </cell>
          <cell r="F3598" t="str">
            <v/>
          </cell>
          <cell r="G3598" t="str">
            <v>F</v>
          </cell>
          <cell r="H3598">
            <v>15.36</v>
          </cell>
        </row>
        <row r="3599">
          <cell r="A3599" t="str">
            <v>1;E;E3;B;MUE00a05</v>
          </cell>
          <cell r="B3599">
            <v>730069</v>
          </cell>
          <cell r="C3599" t="str">
            <v>E3</v>
          </cell>
          <cell r="D3599" t="str">
            <v>ZONA 3</v>
          </cell>
          <cell r="E3599" t="str">
            <v>E</v>
          </cell>
          <cell r="F3599" t="str">
            <v>MUE00a05</v>
          </cell>
          <cell r="G3599" t="str">
            <v>B</v>
          </cell>
          <cell r="H3599">
            <v>87.98</v>
          </cell>
        </row>
        <row r="3600">
          <cell r="A3600" t="str">
            <v>1;E;E3;B;MUE05a10</v>
          </cell>
          <cell r="B3600">
            <v>730069</v>
          </cell>
          <cell r="C3600" t="str">
            <v>E3</v>
          </cell>
          <cell r="D3600" t="str">
            <v>ZONA 3</v>
          </cell>
          <cell r="E3600" t="str">
            <v>E</v>
          </cell>
          <cell r="F3600" t="str">
            <v>MUE05a10</v>
          </cell>
          <cell r="G3600" t="str">
            <v>B</v>
          </cell>
          <cell r="H3600">
            <v>111.65</v>
          </cell>
        </row>
        <row r="3601">
          <cell r="A3601" t="str">
            <v>1;E;E3;B;MUE10a15</v>
          </cell>
          <cell r="B3601">
            <v>730069</v>
          </cell>
          <cell r="C3601" t="str">
            <v>E3</v>
          </cell>
          <cell r="D3601" t="str">
            <v>ZONA 3</v>
          </cell>
          <cell r="E3601" t="str">
            <v>E</v>
          </cell>
          <cell r="F3601" t="str">
            <v>MUE10a15</v>
          </cell>
          <cell r="G3601" t="str">
            <v>B</v>
          </cell>
          <cell r="H3601">
            <v>127.01</v>
          </cell>
        </row>
        <row r="3602">
          <cell r="A3602" t="str">
            <v>1;E;E3;B;MUE15a20</v>
          </cell>
          <cell r="B3602">
            <v>730069</v>
          </cell>
          <cell r="C3602" t="str">
            <v>E3</v>
          </cell>
          <cell r="D3602" t="str">
            <v>ZONA 3</v>
          </cell>
          <cell r="E3602" t="str">
            <v>E</v>
          </cell>
          <cell r="F3602" t="str">
            <v>MUE15a20</v>
          </cell>
          <cell r="G3602" t="str">
            <v>B</v>
          </cell>
          <cell r="H3602">
            <v>142.37</v>
          </cell>
        </row>
        <row r="3603">
          <cell r="A3603" t="str">
            <v>1;E;E3;B;MUE20a25</v>
          </cell>
          <cell r="B3603">
            <v>730069</v>
          </cell>
          <cell r="C3603" t="str">
            <v>E3</v>
          </cell>
          <cell r="D3603" t="str">
            <v>ZONA 3</v>
          </cell>
          <cell r="E3603" t="str">
            <v>E</v>
          </cell>
          <cell r="F3603" t="str">
            <v>MUE20a25</v>
          </cell>
          <cell r="G3603" t="str">
            <v>B</v>
          </cell>
          <cell r="H3603">
            <v>157.72</v>
          </cell>
        </row>
        <row r="3604">
          <cell r="A3604" t="str">
            <v>1;E;E3;B;MUE25a30</v>
          </cell>
          <cell r="B3604">
            <v>730069</v>
          </cell>
          <cell r="C3604" t="str">
            <v>E3</v>
          </cell>
          <cell r="D3604" t="str">
            <v>ZONA 3</v>
          </cell>
          <cell r="E3604" t="str">
            <v>E</v>
          </cell>
          <cell r="F3604" t="str">
            <v>MUE25a30</v>
          </cell>
          <cell r="G3604" t="str">
            <v>B</v>
          </cell>
          <cell r="H3604">
            <v>173.08</v>
          </cell>
        </row>
        <row r="3605">
          <cell r="A3605" t="str">
            <v>1;E;E3;B;MUE30a35</v>
          </cell>
          <cell r="B3605">
            <v>730069</v>
          </cell>
          <cell r="C3605" t="str">
            <v>E3</v>
          </cell>
          <cell r="D3605" t="str">
            <v>ZONA 3</v>
          </cell>
          <cell r="E3605" t="str">
            <v>E</v>
          </cell>
          <cell r="F3605" t="str">
            <v>MUE30a35</v>
          </cell>
          <cell r="G3605" t="str">
            <v>B</v>
          </cell>
          <cell r="H3605">
            <v>188.44</v>
          </cell>
        </row>
        <row r="3606">
          <cell r="A3606" t="str">
            <v>1;E;E3;F;</v>
          </cell>
          <cell r="B3606">
            <v>730069</v>
          </cell>
          <cell r="C3606" t="str">
            <v>E3</v>
          </cell>
          <cell r="D3606" t="str">
            <v>ZONA 3</v>
          </cell>
          <cell r="E3606" t="str">
            <v>E</v>
          </cell>
          <cell r="F3606" t="str">
            <v/>
          </cell>
          <cell r="G3606" t="str">
            <v>F</v>
          </cell>
          <cell r="H3606">
            <v>15.36</v>
          </cell>
        </row>
        <row r="3607">
          <cell r="A3607" t="str">
            <v>1;E;E3;B;MUE35a40</v>
          </cell>
          <cell r="B3607">
            <v>730069</v>
          </cell>
          <cell r="C3607" t="str">
            <v>E3</v>
          </cell>
          <cell r="D3607" t="str">
            <v>ZONA 3</v>
          </cell>
          <cell r="E3607" t="str">
            <v>E</v>
          </cell>
          <cell r="F3607" t="str">
            <v>MUE35a40</v>
          </cell>
          <cell r="G3607" t="str">
            <v>B</v>
          </cell>
          <cell r="H3607">
            <v>203.8</v>
          </cell>
        </row>
        <row r="3608">
          <cell r="A3608" t="str">
            <v>1;01;G;B;BAG</v>
          </cell>
          <cell r="B3608">
            <v>730069</v>
          </cell>
          <cell r="C3608" t="str">
            <v>G</v>
          </cell>
          <cell r="D3608" t="str">
            <v>GIBRALTAR</v>
          </cell>
          <cell r="E3608" t="str">
            <v>01</v>
          </cell>
          <cell r="F3608" t="str">
            <v>BAG</v>
          </cell>
          <cell r="G3608" t="str">
            <v>B</v>
          </cell>
          <cell r="H3608">
            <v>19.02</v>
          </cell>
        </row>
        <row r="3609">
          <cell r="A3609" t="str">
            <v>1;01;G;B;PAQ00a02</v>
          </cell>
          <cell r="B3609">
            <v>730069</v>
          </cell>
          <cell r="C3609" t="str">
            <v>G</v>
          </cell>
          <cell r="D3609" t="str">
            <v>GIBRALTAR</v>
          </cell>
          <cell r="E3609" t="str">
            <v>01</v>
          </cell>
          <cell r="F3609" t="str">
            <v>PAQ00a02</v>
          </cell>
          <cell r="G3609" t="str">
            <v>B</v>
          </cell>
          <cell r="H3609">
            <v>23.64</v>
          </cell>
        </row>
        <row r="3610">
          <cell r="A3610" t="str">
            <v>1;01;G;B;PAQ02a05</v>
          </cell>
          <cell r="B3610">
            <v>730069</v>
          </cell>
          <cell r="C3610" t="str">
            <v>G</v>
          </cell>
          <cell r="D3610" t="str">
            <v>GIBRALTAR</v>
          </cell>
          <cell r="E3610" t="str">
            <v>01</v>
          </cell>
          <cell r="F3610" t="str">
            <v>PAQ02a05</v>
          </cell>
          <cell r="G3610" t="str">
            <v>B</v>
          </cell>
          <cell r="H3610">
            <v>23.64</v>
          </cell>
        </row>
        <row r="3611">
          <cell r="A3611" t="str">
            <v>1;01;G;B;PAQ05a10</v>
          </cell>
          <cell r="B3611">
            <v>730069</v>
          </cell>
          <cell r="C3611" t="str">
            <v>G</v>
          </cell>
          <cell r="D3611" t="str">
            <v>GIBRALTAR</v>
          </cell>
          <cell r="E3611" t="str">
            <v>01</v>
          </cell>
          <cell r="F3611" t="str">
            <v>PAQ05a10</v>
          </cell>
          <cell r="G3611" t="str">
            <v>B</v>
          </cell>
          <cell r="H3611">
            <v>41.23</v>
          </cell>
        </row>
        <row r="3612">
          <cell r="A3612" t="str">
            <v>1;01;G;B;PAQ10a15</v>
          </cell>
          <cell r="B3612">
            <v>730069</v>
          </cell>
          <cell r="C3612" t="str">
            <v>G</v>
          </cell>
          <cell r="D3612" t="str">
            <v>GIBRALTAR</v>
          </cell>
          <cell r="E3612" t="str">
            <v>01</v>
          </cell>
          <cell r="F3612" t="str">
            <v>PAQ10a15</v>
          </cell>
          <cell r="G3612" t="str">
            <v>B</v>
          </cell>
          <cell r="H3612">
            <v>60.87</v>
          </cell>
        </row>
        <row r="3613">
          <cell r="A3613" t="str">
            <v>1;01;G;B;PAQ15a20</v>
          </cell>
          <cell r="B3613">
            <v>730069</v>
          </cell>
          <cell r="C3613" t="str">
            <v>G</v>
          </cell>
          <cell r="D3613" t="str">
            <v>GIBRALTAR</v>
          </cell>
          <cell r="E3613" t="str">
            <v>01</v>
          </cell>
          <cell r="F3613" t="str">
            <v>PAQ15a20</v>
          </cell>
          <cell r="G3613" t="str">
            <v>B</v>
          </cell>
          <cell r="H3613">
            <v>80.489999999999995</v>
          </cell>
        </row>
        <row r="3614">
          <cell r="A3614" t="str">
            <v>1;01;G;B;PAQ20a25</v>
          </cell>
          <cell r="B3614">
            <v>730069</v>
          </cell>
          <cell r="C3614" t="str">
            <v>G</v>
          </cell>
          <cell r="D3614" t="str">
            <v>GIBRALTAR</v>
          </cell>
          <cell r="E3614" t="str">
            <v>01</v>
          </cell>
          <cell r="F3614" t="str">
            <v>PAQ20a25</v>
          </cell>
          <cell r="G3614" t="str">
            <v>B</v>
          </cell>
          <cell r="H3614">
            <v>100.13</v>
          </cell>
        </row>
        <row r="3615">
          <cell r="A3615" t="str">
            <v>1;01;G;B;PAQ25a30</v>
          </cell>
          <cell r="B3615">
            <v>730069</v>
          </cell>
          <cell r="C3615" t="str">
            <v>G</v>
          </cell>
          <cell r="D3615" t="str">
            <v>GIBRALTAR</v>
          </cell>
          <cell r="E3615" t="str">
            <v>01</v>
          </cell>
          <cell r="F3615" t="str">
            <v>PAQ25a30</v>
          </cell>
          <cell r="G3615" t="str">
            <v>B</v>
          </cell>
          <cell r="H3615">
            <v>119.75</v>
          </cell>
        </row>
        <row r="3616">
          <cell r="A3616" t="str">
            <v>1;01;G;B;PAQ30a35</v>
          </cell>
          <cell r="B3616">
            <v>730069</v>
          </cell>
          <cell r="C3616" t="str">
            <v>G</v>
          </cell>
          <cell r="D3616" t="str">
            <v>GIBRALTAR</v>
          </cell>
          <cell r="E3616" t="str">
            <v>01</v>
          </cell>
          <cell r="F3616" t="str">
            <v>PAQ30a35</v>
          </cell>
          <cell r="G3616" t="str">
            <v>B</v>
          </cell>
          <cell r="H3616">
            <v>139.38999999999999</v>
          </cell>
        </row>
        <row r="3617">
          <cell r="A3617" t="str">
            <v>1;01;G;B;PAQ35a40</v>
          </cell>
          <cell r="B3617">
            <v>730069</v>
          </cell>
          <cell r="C3617" t="str">
            <v>G</v>
          </cell>
          <cell r="D3617" t="str">
            <v>GIBRALTAR</v>
          </cell>
          <cell r="E3617" t="str">
            <v>01</v>
          </cell>
          <cell r="F3617" t="str">
            <v>PAQ35a40</v>
          </cell>
          <cell r="G3617" t="str">
            <v>B</v>
          </cell>
          <cell r="H3617">
            <v>159.01</v>
          </cell>
        </row>
        <row r="3618">
          <cell r="A3618" t="str">
            <v>1;01;G;F;</v>
          </cell>
          <cell r="B3618">
            <v>730069</v>
          </cell>
          <cell r="C3618" t="str">
            <v>G</v>
          </cell>
          <cell r="D3618" t="str">
            <v>GIBRALTAR</v>
          </cell>
          <cell r="E3618" t="str">
            <v>01</v>
          </cell>
          <cell r="F3618" t="str">
            <v/>
          </cell>
          <cell r="G3618" t="str">
            <v>F</v>
          </cell>
          <cell r="H3618">
            <v>19.62</v>
          </cell>
        </row>
        <row r="3619">
          <cell r="A3619" t="str">
            <v>1;01;G;E;</v>
          </cell>
          <cell r="B3619">
            <v>730069</v>
          </cell>
          <cell r="C3619" t="str">
            <v>G</v>
          </cell>
          <cell r="D3619" t="str">
            <v>GIBRALTAR</v>
          </cell>
          <cell r="E3619" t="str">
            <v>01</v>
          </cell>
          <cell r="F3619" t="str">
            <v/>
          </cell>
          <cell r="G3619" t="str">
            <v>E</v>
          </cell>
          <cell r="H3619">
            <v>23.64</v>
          </cell>
        </row>
        <row r="3620">
          <cell r="A3620" t="str">
            <v>1;01;G;P;</v>
          </cell>
          <cell r="B3620">
            <v>730069</v>
          </cell>
          <cell r="C3620" t="str">
            <v>G</v>
          </cell>
          <cell r="D3620" t="str">
            <v>GIBRALTAR</v>
          </cell>
          <cell r="E3620" t="str">
            <v>01</v>
          </cell>
          <cell r="F3620" t="str">
            <v/>
          </cell>
          <cell r="G3620" t="str">
            <v>P</v>
          </cell>
          <cell r="H3620">
            <v>23.64</v>
          </cell>
        </row>
        <row r="3621">
          <cell r="A3621" t="str">
            <v>1;04;G;B;BAG</v>
          </cell>
          <cell r="B3621">
            <v>730069</v>
          </cell>
          <cell r="C3621" t="str">
            <v>G</v>
          </cell>
          <cell r="D3621" t="str">
            <v>GIBRALTAR</v>
          </cell>
          <cell r="E3621" t="str">
            <v>04</v>
          </cell>
          <cell r="F3621" t="str">
            <v>BAG</v>
          </cell>
          <cell r="G3621" t="str">
            <v>B</v>
          </cell>
          <cell r="H3621">
            <v>5.66</v>
          </cell>
        </row>
        <row r="3622">
          <cell r="A3622" t="str">
            <v>1;05;G;B;BAG</v>
          </cell>
          <cell r="B3622">
            <v>730069</v>
          </cell>
          <cell r="C3622" t="str">
            <v>G</v>
          </cell>
          <cell r="D3622" t="str">
            <v>GIBRALTAR</v>
          </cell>
          <cell r="E3622" t="str">
            <v>05</v>
          </cell>
          <cell r="F3622" t="str">
            <v>BAG</v>
          </cell>
          <cell r="G3622" t="str">
            <v>B</v>
          </cell>
          <cell r="H3622">
            <v>5.66</v>
          </cell>
        </row>
        <row r="3623">
          <cell r="A3623" t="str">
            <v>1;06;G;B;BAG</v>
          </cell>
          <cell r="B3623">
            <v>730069</v>
          </cell>
          <cell r="C3623" t="str">
            <v>G</v>
          </cell>
          <cell r="D3623" t="str">
            <v>GIBRALTAR</v>
          </cell>
          <cell r="E3623" t="str">
            <v>06</v>
          </cell>
          <cell r="F3623" t="str">
            <v>BAG</v>
          </cell>
          <cell r="G3623" t="str">
            <v>B</v>
          </cell>
          <cell r="H3623">
            <v>0</v>
          </cell>
        </row>
        <row r="3624">
          <cell r="A3624" t="str">
            <v>1;06;G;B;DOCS</v>
          </cell>
          <cell r="B3624">
            <v>730069</v>
          </cell>
          <cell r="C3624" t="str">
            <v>G</v>
          </cell>
          <cell r="D3624" t="str">
            <v>GIBRALTAR</v>
          </cell>
          <cell r="E3624" t="str">
            <v>06</v>
          </cell>
          <cell r="F3624" t="str">
            <v>DOCS</v>
          </cell>
          <cell r="G3624" t="str">
            <v>B</v>
          </cell>
          <cell r="H3624">
            <v>0</v>
          </cell>
        </row>
        <row r="3625">
          <cell r="A3625" t="str">
            <v>1;07;G;B;BAG</v>
          </cell>
          <cell r="B3625">
            <v>730069</v>
          </cell>
          <cell r="C3625" t="str">
            <v>G</v>
          </cell>
          <cell r="D3625" t="str">
            <v>GIBRALTAR</v>
          </cell>
          <cell r="E3625" t="str">
            <v>07</v>
          </cell>
          <cell r="F3625" t="str">
            <v>BAG</v>
          </cell>
          <cell r="G3625" t="str">
            <v>B</v>
          </cell>
          <cell r="H3625">
            <v>0</v>
          </cell>
        </row>
        <row r="3626">
          <cell r="A3626" t="str">
            <v>1;07;G;B;DOCS</v>
          </cell>
          <cell r="B3626">
            <v>730069</v>
          </cell>
          <cell r="C3626" t="str">
            <v>G</v>
          </cell>
          <cell r="D3626" t="str">
            <v>GIBRALTAR</v>
          </cell>
          <cell r="E3626" t="str">
            <v>07</v>
          </cell>
          <cell r="F3626" t="str">
            <v>DOCS</v>
          </cell>
          <cell r="G3626" t="str">
            <v>B</v>
          </cell>
          <cell r="H3626">
            <v>0</v>
          </cell>
        </row>
        <row r="3627">
          <cell r="A3627" t="str">
            <v>1;10;G;B;BAG</v>
          </cell>
          <cell r="B3627">
            <v>730069</v>
          </cell>
          <cell r="C3627" t="str">
            <v>G</v>
          </cell>
          <cell r="D3627" t="str">
            <v>GIBRALTAR</v>
          </cell>
          <cell r="E3627" t="str">
            <v>10</v>
          </cell>
          <cell r="F3627" t="str">
            <v>BAG</v>
          </cell>
          <cell r="G3627" t="str">
            <v>B</v>
          </cell>
          <cell r="H3627">
            <v>1.67</v>
          </cell>
        </row>
        <row r="3628">
          <cell r="A3628" t="str">
            <v>1;10;G;B;DOCS</v>
          </cell>
          <cell r="B3628">
            <v>730069</v>
          </cell>
          <cell r="C3628" t="str">
            <v>G</v>
          </cell>
          <cell r="D3628" t="str">
            <v>GIBRALTAR</v>
          </cell>
          <cell r="E3628" t="str">
            <v>10</v>
          </cell>
          <cell r="F3628" t="str">
            <v>DOCS</v>
          </cell>
          <cell r="G3628" t="str">
            <v>B</v>
          </cell>
          <cell r="H3628">
            <v>1.67</v>
          </cell>
        </row>
        <row r="3629">
          <cell r="A3629" t="str">
            <v>1;14;G;B;BAG</v>
          </cell>
          <cell r="B3629">
            <v>730069</v>
          </cell>
          <cell r="C3629" t="str">
            <v>G</v>
          </cell>
          <cell r="D3629" t="str">
            <v>GIBRALTAR</v>
          </cell>
          <cell r="E3629" t="str">
            <v>14</v>
          </cell>
          <cell r="F3629" t="str">
            <v>BAG</v>
          </cell>
          <cell r="G3629" t="str">
            <v>B</v>
          </cell>
          <cell r="H3629">
            <v>1.75</v>
          </cell>
        </row>
        <row r="3630">
          <cell r="A3630" t="str">
            <v>1;15;G;B;BAG</v>
          </cell>
          <cell r="B3630">
            <v>730069</v>
          </cell>
          <cell r="C3630" t="str">
            <v>G</v>
          </cell>
          <cell r="D3630" t="str">
            <v>GIBRALTAR</v>
          </cell>
          <cell r="E3630" t="str">
            <v>15</v>
          </cell>
          <cell r="F3630" t="str">
            <v>BAG</v>
          </cell>
          <cell r="G3630" t="str">
            <v>B</v>
          </cell>
          <cell r="H3630">
            <v>1.75</v>
          </cell>
        </row>
        <row r="3631">
          <cell r="A3631" t="str">
            <v>1;35;G;B;BAG</v>
          </cell>
          <cell r="B3631">
            <v>730069</v>
          </cell>
          <cell r="C3631" t="str">
            <v>G</v>
          </cell>
          <cell r="D3631" t="str">
            <v>GIBRALTAR</v>
          </cell>
          <cell r="E3631" t="str">
            <v>35</v>
          </cell>
          <cell r="F3631" t="str">
            <v>BAG</v>
          </cell>
          <cell r="G3631" t="str">
            <v>B</v>
          </cell>
          <cell r="H3631">
            <v>2.21</v>
          </cell>
        </row>
        <row r="3632">
          <cell r="A3632" t="str">
            <v>1;35;G;B;DOCS</v>
          </cell>
          <cell r="B3632">
            <v>730069</v>
          </cell>
          <cell r="C3632" t="str">
            <v>G</v>
          </cell>
          <cell r="D3632" t="str">
            <v>GIBRALTAR</v>
          </cell>
          <cell r="E3632" t="str">
            <v>35</v>
          </cell>
          <cell r="F3632" t="str">
            <v>DOCS</v>
          </cell>
          <cell r="G3632" t="str">
            <v>B</v>
          </cell>
          <cell r="H3632">
            <v>2.21</v>
          </cell>
        </row>
        <row r="3633">
          <cell r="A3633" t="str">
            <v>1;35;G;B;PAQ00a05</v>
          </cell>
          <cell r="B3633">
            <v>730069</v>
          </cell>
          <cell r="C3633" t="str">
            <v>G</v>
          </cell>
          <cell r="D3633" t="str">
            <v>GIBRALTAR</v>
          </cell>
          <cell r="E3633" t="str">
            <v>35</v>
          </cell>
          <cell r="F3633" t="str">
            <v>PAQ00a05</v>
          </cell>
          <cell r="G3633" t="str">
            <v>B</v>
          </cell>
          <cell r="H3633">
            <v>2.21</v>
          </cell>
        </row>
        <row r="3634">
          <cell r="A3634" t="str">
            <v>1;35;G;B;PAQ05a10</v>
          </cell>
          <cell r="B3634">
            <v>730069</v>
          </cell>
          <cell r="C3634" t="str">
            <v>G</v>
          </cell>
          <cell r="D3634" t="str">
            <v>GIBRALTAR</v>
          </cell>
          <cell r="E3634" t="str">
            <v>35</v>
          </cell>
          <cell r="F3634" t="str">
            <v>PAQ05a10</v>
          </cell>
          <cell r="G3634" t="str">
            <v>B</v>
          </cell>
          <cell r="H3634">
            <v>2.21</v>
          </cell>
        </row>
        <row r="3635">
          <cell r="A3635" t="str">
            <v>1;35;G;B;PAQ10a15</v>
          </cell>
          <cell r="B3635">
            <v>730069</v>
          </cell>
          <cell r="C3635" t="str">
            <v>G</v>
          </cell>
          <cell r="D3635" t="str">
            <v>GIBRALTAR</v>
          </cell>
          <cell r="E3635" t="str">
            <v>35</v>
          </cell>
          <cell r="F3635" t="str">
            <v>PAQ10a15</v>
          </cell>
          <cell r="G3635" t="str">
            <v>B</v>
          </cell>
          <cell r="H3635">
            <v>2.21</v>
          </cell>
        </row>
        <row r="3636">
          <cell r="A3636" t="str">
            <v>1;35;G;B;PAQ15a20</v>
          </cell>
          <cell r="B3636">
            <v>730069</v>
          </cell>
          <cell r="C3636" t="str">
            <v>G</v>
          </cell>
          <cell r="D3636" t="str">
            <v>GIBRALTAR</v>
          </cell>
          <cell r="E3636" t="str">
            <v>35</v>
          </cell>
          <cell r="F3636" t="str">
            <v>PAQ15a20</v>
          </cell>
          <cell r="G3636" t="str">
            <v>B</v>
          </cell>
          <cell r="H3636">
            <v>2.21</v>
          </cell>
        </row>
        <row r="3637">
          <cell r="A3637" t="str">
            <v>1;35;G;B;PAQ20a25</v>
          </cell>
          <cell r="B3637">
            <v>730069</v>
          </cell>
          <cell r="C3637" t="str">
            <v>G</v>
          </cell>
          <cell r="D3637" t="str">
            <v>GIBRALTAR</v>
          </cell>
          <cell r="E3637" t="str">
            <v>35</v>
          </cell>
          <cell r="F3637" t="str">
            <v>PAQ20a25</v>
          </cell>
          <cell r="G3637" t="str">
            <v>B</v>
          </cell>
          <cell r="H3637">
            <v>3.96</v>
          </cell>
        </row>
        <row r="3638">
          <cell r="A3638" t="str">
            <v>1;35;G;B;PAQ25a30</v>
          </cell>
          <cell r="B3638">
            <v>730069</v>
          </cell>
          <cell r="C3638" t="str">
            <v>G</v>
          </cell>
          <cell r="D3638" t="str">
            <v>GIBRALTAR</v>
          </cell>
          <cell r="E3638" t="str">
            <v>35</v>
          </cell>
          <cell r="F3638" t="str">
            <v>PAQ25a30</v>
          </cell>
          <cell r="G3638" t="str">
            <v>B</v>
          </cell>
          <cell r="H3638">
            <v>3.96</v>
          </cell>
        </row>
        <row r="3639">
          <cell r="A3639" t="str">
            <v>1;35;G;B;PAQ30a35</v>
          </cell>
          <cell r="B3639">
            <v>730069</v>
          </cell>
          <cell r="C3639" t="str">
            <v>G</v>
          </cell>
          <cell r="D3639" t="str">
            <v>GIBRALTAR</v>
          </cell>
          <cell r="E3639" t="str">
            <v>35</v>
          </cell>
          <cell r="F3639" t="str">
            <v>PAQ30a35</v>
          </cell>
          <cell r="G3639" t="str">
            <v>B</v>
          </cell>
          <cell r="H3639">
            <v>3.96</v>
          </cell>
        </row>
        <row r="3640">
          <cell r="A3640" t="str">
            <v>1;35;G;F;</v>
          </cell>
          <cell r="B3640">
            <v>730069</v>
          </cell>
          <cell r="C3640" t="str">
            <v>G</v>
          </cell>
          <cell r="D3640" t="str">
            <v>GIBRALTAR</v>
          </cell>
          <cell r="E3640" t="str">
            <v>35</v>
          </cell>
          <cell r="F3640" t="str">
            <v/>
          </cell>
          <cell r="G3640" t="str">
            <v>F</v>
          </cell>
          <cell r="H3640">
            <v>1.23</v>
          </cell>
        </row>
        <row r="3641">
          <cell r="A3641" t="str">
            <v>1;35;G;B;PAQ35a40</v>
          </cell>
          <cell r="B3641">
            <v>730069</v>
          </cell>
          <cell r="C3641" t="str">
            <v>G</v>
          </cell>
          <cell r="D3641" t="str">
            <v>GIBRALTAR</v>
          </cell>
          <cell r="E3641" t="str">
            <v>35</v>
          </cell>
          <cell r="F3641" t="str">
            <v>PAQ35a40</v>
          </cell>
          <cell r="G3641" t="str">
            <v>B</v>
          </cell>
          <cell r="H3641">
            <v>3.96</v>
          </cell>
        </row>
        <row r="3642">
          <cell r="A3642" t="str">
            <v>1;35;G;P;</v>
          </cell>
          <cell r="B3642">
            <v>730069</v>
          </cell>
          <cell r="C3642" t="str">
            <v>G</v>
          </cell>
          <cell r="D3642" t="str">
            <v>GIBRALTAR</v>
          </cell>
          <cell r="E3642" t="str">
            <v>35</v>
          </cell>
          <cell r="F3642" t="str">
            <v/>
          </cell>
          <cell r="G3642" t="str">
            <v>P</v>
          </cell>
          <cell r="H3642">
            <v>1.23</v>
          </cell>
        </row>
        <row r="3643">
          <cell r="A3643" t="str">
            <v>1;35;G;E;</v>
          </cell>
          <cell r="B3643">
            <v>730069</v>
          </cell>
          <cell r="C3643" t="str">
            <v>G</v>
          </cell>
          <cell r="D3643" t="str">
            <v>GIBRALTAR</v>
          </cell>
          <cell r="E3643" t="str">
            <v>35</v>
          </cell>
          <cell r="F3643" t="str">
            <v/>
          </cell>
          <cell r="G3643" t="str">
            <v>E</v>
          </cell>
          <cell r="H3643">
            <v>1.23</v>
          </cell>
        </row>
        <row r="3644">
          <cell r="A3644" t="str">
            <v>1;61;G;B;BAG</v>
          </cell>
          <cell r="B3644">
            <v>730069</v>
          </cell>
          <cell r="C3644" t="str">
            <v>G</v>
          </cell>
          <cell r="D3644" t="str">
            <v>GIBRALTAR</v>
          </cell>
          <cell r="E3644" t="str">
            <v>61</v>
          </cell>
          <cell r="F3644" t="str">
            <v>BAG</v>
          </cell>
          <cell r="G3644" t="str">
            <v>B</v>
          </cell>
          <cell r="H3644">
            <v>20.45</v>
          </cell>
        </row>
        <row r="3645">
          <cell r="A3645" t="str">
            <v>1;61;G;B;PAQ00a05</v>
          </cell>
          <cell r="B3645">
            <v>730069</v>
          </cell>
          <cell r="C3645" t="str">
            <v>G</v>
          </cell>
          <cell r="D3645" t="str">
            <v>GIBRALTAR</v>
          </cell>
          <cell r="E3645" t="str">
            <v>61</v>
          </cell>
          <cell r="F3645" t="str">
            <v>PAQ00a05</v>
          </cell>
          <cell r="G3645" t="str">
            <v>B</v>
          </cell>
          <cell r="H3645">
            <v>25.08</v>
          </cell>
        </row>
        <row r="3646">
          <cell r="A3646" t="str">
            <v>1;61;G;B;PAQ05a10</v>
          </cell>
          <cell r="B3646">
            <v>730069</v>
          </cell>
          <cell r="C3646" t="str">
            <v>G</v>
          </cell>
          <cell r="D3646" t="str">
            <v>GIBRALTAR</v>
          </cell>
          <cell r="E3646" t="str">
            <v>61</v>
          </cell>
          <cell r="F3646" t="str">
            <v>PAQ05a10</v>
          </cell>
          <cell r="G3646" t="str">
            <v>B</v>
          </cell>
          <cell r="H3646">
            <v>42.67</v>
          </cell>
        </row>
        <row r="3647">
          <cell r="A3647" t="str">
            <v>1;61;G;B;PAQ10a15</v>
          </cell>
          <cell r="B3647">
            <v>730069</v>
          </cell>
          <cell r="C3647" t="str">
            <v>G</v>
          </cell>
          <cell r="D3647" t="str">
            <v>GIBRALTAR</v>
          </cell>
          <cell r="E3647" t="str">
            <v>61</v>
          </cell>
          <cell r="F3647" t="str">
            <v>PAQ10a15</v>
          </cell>
          <cell r="G3647" t="str">
            <v>B</v>
          </cell>
          <cell r="H3647">
            <v>62.31</v>
          </cell>
        </row>
        <row r="3648">
          <cell r="A3648" t="str">
            <v>1;61;G;B;PAQ15a20</v>
          </cell>
          <cell r="B3648">
            <v>730069</v>
          </cell>
          <cell r="C3648" t="str">
            <v>G</v>
          </cell>
          <cell r="D3648" t="str">
            <v>GIBRALTAR</v>
          </cell>
          <cell r="E3648" t="str">
            <v>61</v>
          </cell>
          <cell r="F3648" t="str">
            <v>PAQ15a20</v>
          </cell>
          <cell r="G3648" t="str">
            <v>B</v>
          </cell>
          <cell r="H3648">
            <v>81.93</v>
          </cell>
        </row>
        <row r="3649">
          <cell r="A3649" t="str">
            <v>1;61;G;B;PAQ20a25</v>
          </cell>
          <cell r="B3649">
            <v>730069</v>
          </cell>
          <cell r="C3649" t="str">
            <v>G</v>
          </cell>
          <cell r="D3649" t="str">
            <v>GIBRALTAR</v>
          </cell>
          <cell r="E3649" t="str">
            <v>61</v>
          </cell>
          <cell r="F3649" t="str">
            <v>PAQ20a25</v>
          </cell>
          <cell r="G3649" t="str">
            <v>B</v>
          </cell>
          <cell r="H3649">
            <v>101.57</v>
          </cell>
        </row>
        <row r="3650">
          <cell r="A3650" t="str">
            <v>1;61;G;B;PAQ25a30</v>
          </cell>
          <cell r="B3650">
            <v>730069</v>
          </cell>
          <cell r="C3650" t="str">
            <v>G</v>
          </cell>
          <cell r="D3650" t="str">
            <v>GIBRALTAR</v>
          </cell>
          <cell r="E3650" t="str">
            <v>61</v>
          </cell>
          <cell r="F3650" t="str">
            <v>PAQ25a30</v>
          </cell>
          <cell r="G3650" t="str">
            <v>B</v>
          </cell>
          <cell r="H3650">
            <v>121.19</v>
          </cell>
        </row>
        <row r="3651">
          <cell r="A3651" t="str">
            <v>1;61;G;B;PAQ30a35</v>
          </cell>
          <cell r="B3651">
            <v>730069</v>
          </cell>
          <cell r="C3651" t="str">
            <v>G</v>
          </cell>
          <cell r="D3651" t="str">
            <v>GIBRALTAR</v>
          </cell>
          <cell r="E3651" t="str">
            <v>61</v>
          </cell>
          <cell r="F3651" t="str">
            <v>PAQ30a35</v>
          </cell>
          <cell r="G3651" t="str">
            <v>B</v>
          </cell>
          <cell r="H3651">
            <v>140.83000000000001</v>
          </cell>
        </row>
        <row r="3652">
          <cell r="A3652" t="str">
            <v>1;61;G;B;PAQ35a40</v>
          </cell>
          <cell r="B3652">
            <v>730069</v>
          </cell>
          <cell r="C3652" t="str">
            <v>G</v>
          </cell>
          <cell r="D3652" t="str">
            <v>GIBRALTAR</v>
          </cell>
          <cell r="E3652" t="str">
            <v>61</v>
          </cell>
          <cell r="F3652" t="str">
            <v>PAQ35a40</v>
          </cell>
          <cell r="G3652" t="str">
            <v>B</v>
          </cell>
          <cell r="H3652">
            <v>160.44999999999999</v>
          </cell>
        </row>
        <row r="3653">
          <cell r="A3653" t="str">
            <v>1;61;G;F;</v>
          </cell>
          <cell r="B3653">
            <v>730069</v>
          </cell>
          <cell r="C3653" t="str">
            <v>G</v>
          </cell>
          <cell r="D3653" t="str">
            <v>GIBRALTAR</v>
          </cell>
          <cell r="E3653" t="str">
            <v>61</v>
          </cell>
          <cell r="F3653" t="str">
            <v/>
          </cell>
          <cell r="G3653" t="str">
            <v>F</v>
          </cell>
          <cell r="H3653">
            <v>19.62</v>
          </cell>
        </row>
        <row r="3654">
          <cell r="A3654" t="str">
            <v>1;61;G;E;</v>
          </cell>
          <cell r="B3654">
            <v>730069</v>
          </cell>
          <cell r="C3654" t="str">
            <v>G</v>
          </cell>
          <cell r="D3654" t="str">
            <v>GIBRALTAR</v>
          </cell>
          <cell r="E3654" t="str">
            <v>61</v>
          </cell>
          <cell r="F3654" t="str">
            <v/>
          </cell>
          <cell r="G3654" t="str">
            <v>E</v>
          </cell>
          <cell r="H3654">
            <v>25.08</v>
          </cell>
        </row>
        <row r="3655">
          <cell r="A3655" t="str">
            <v>1;61;G;P;</v>
          </cell>
          <cell r="B3655">
            <v>730069</v>
          </cell>
          <cell r="C3655" t="str">
            <v>G</v>
          </cell>
          <cell r="D3655" t="str">
            <v>GIBRALTAR</v>
          </cell>
          <cell r="E3655" t="str">
            <v>61</v>
          </cell>
          <cell r="F3655" t="str">
            <v/>
          </cell>
          <cell r="G3655" t="str">
            <v>P</v>
          </cell>
          <cell r="H3655">
            <v>25.08</v>
          </cell>
        </row>
        <row r="3656">
          <cell r="A3656" t="str">
            <v>1;G;G1;B;DOC00a02</v>
          </cell>
          <cell r="B3656">
            <v>730069</v>
          </cell>
          <cell r="C3656" t="str">
            <v>G1</v>
          </cell>
          <cell r="D3656" t="str">
            <v>ZONA 1 ECONOMY</v>
          </cell>
          <cell r="E3656" t="str">
            <v>G</v>
          </cell>
          <cell r="F3656" t="str">
            <v>DOC00a02</v>
          </cell>
          <cell r="G3656" t="str">
            <v>B</v>
          </cell>
          <cell r="H3656">
            <v>30.21</v>
          </cell>
        </row>
        <row r="3657">
          <cell r="A3657" t="str">
            <v>1;G;G1;B;DOC02a05</v>
          </cell>
          <cell r="B3657">
            <v>730069</v>
          </cell>
          <cell r="C3657" t="str">
            <v>G1</v>
          </cell>
          <cell r="D3657" t="str">
            <v>ZONA 1 ECONOMY</v>
          </cell>
          <cell r="E3657" t="str">
            <v>G</v>
          </cell>
          <cell r="F3657" t="str">
            <v>DOC02a05</v>
          </cell>
          <cell r="G3657" t="str">
            <v>B</v>
          </cell>
          <cell r="H3657">
            <v>34.65</v>
          </cell>
        </row>
        <row r="3658">
          <cell r="A3658" t="str">
            <v>1;G;G1;B;DOC05a10</v>
          </cell>
          <cell r="B3658">
            <v>730069</v>
          </cell>
          <cell r="C3658" t="str">
            <v>G1</v>
          </cell>
          <cell r="D3658" t="str">
            <v>ZONA 1 ECONOMY</v>
          </cell>
          <cell r="E3658" t="str">
            <v>G</v>
          </cell>
          <cell r="F3658" t="str">
            <v>DOC05a10</v>
          </cell>
          <cell r="G3658" t="str">
            <v>B</v>
          </cell>
          <cell r="H3658">
            <v>41.46</v>
          </cell>
        </row>
        <row r="3659">
          <cell r="A3659" t="str">
            <v>1;G;G1;B;DOC10a15</v>
          </cell>
          <cell r="B3659">
            <v>730069</v>
          </cell>
          <cell r="C3659" t="str">
            <v>G1</v>
          </cell>
          <cell r="D3659" t="str">
            <v>ZONA 1 ECONOMY</v>
          </cell>
          <cell r="E3659" t="str">
            <v>G</v>
          </cell>
          <cell r="F3659" t="str">
            <v>DOC10a15</v>
          </cell>
          <cell r="G3659" t="str">
            <v>B</v>
          </cell>
          <cell r="H3659">
            <v>49.36</v>
          </cell>
        </row>
        <row r="3660">
          <cell r="A3660" t="str">
            <v>1;G;G1;B;DOC15a20</v>
          </cell>
          <cell r="B3660">
            <v>730069</v>
          </cell>
          <cell r="C3660" t="str">
            <v>G1</v>
          </cell>
          <cell r="D3660" t="str">
            <v>ZONA 1 ECONOMY</v>
          </cell>
          <cell r="E3660" t="str">
            <v>G</v>
          </cell>
          <cell r="F3660" t="str">
            <v>DOC15a20</v>
          </cell>
          <cell r="G3660" t="str">
            <v>B</v>
          </cell>
          <cell r="H3660">
            <v>56.7</v>
          </cell>
        </row>
        <row r="3661">
          <cell r="A3661" t="str">
            <v>1;G;G1;B;DOC20a25</v>
          </cell>
          <cell r="B3661">
            <v>730069</v>
          </cell>
          <cell r="C3661" t="str">
            <v>G1</v>
          </cell>
          <cell r="D3661" t="str">
            <v>ZONA 1 ECONOMY</v>
          </cell>
          <cell r="E3661" t="str">
            <v>G</v>
          </cell>
          <cell r="F3661" t="str">
            <v>DOC20a25</v>
          </cell>
          <cell r="G3661" t="str">
            <v>B</v>
          </cell>
          <cell r="H3661">
            <v>70.77</v>
          </cell>
        </row>
        <row r="3662">
          <cell r="A3662" t="str">
            <v>1;G;G1;B;DOC25a30</v>
          </cell>
          <cell r="B3662">
            <v>730069</v>
          </cell>
          <cell r="C3662" t="str">
            <v>G1</v>
          </cell>
          <cell r="D3662" t="str">
            <v>ZONA 1 ECONOMY</v>
          </cell>
          <cell r="E3662" t="str">
            <v>G</v>
          </cell>
          <cell r="F3662" t="str">
            <v>DOC25a30</v>
          </cell>
          <cell r="G3662" t="str">
            <v>B</v>
          </cell>
          <cell r="H3662">
            <v>70.77</v>
          </cell>
        </row>
        <row r="3663">
          <cell r="A3663" t="str">
            <v>1;G;G1;B;DOC30a40</v>
          </cell>
          <cell r="B3663">
            <v>730069</v>
          </cell>
          <cell r="C3663" t="str">
            <v>G1</v>
          </cell>
          <cell r="D3663" t="str">
            <v>ZONA 1 ECONOMY</v>
          </cell>
          <cell r="E3663" t="str">
            <v>G</v>
          </cell>
          <cell r="F3663" t="str">
            <v>DOC30a40</v>
          </cell>
          <cell r="G3663" t="str">
            <v>B</v>
          </cell>
          <cell r="H3663">
            <v>84.83</v>
          </cell>
        </row>
        <row r="3664">
          <cell r="A3664" t="str">
            <v>1;G;G1;B;DOC40a50</v>
          </cell>
          <cell r="B3664">
            <v>730069</v>
          </cell>
          <cell r="C3664" t="str">
            <v>G1</v>
          </cell>
          <cell r="D3664" t="str">
            <v>ZONA 1 ECONOMY</v>
          </cell>
          <cell r="E3664" t="str">
            <v>G</v>
          </cell>
          <cell r="F3664" t="str">
            <v>DOC40a50</v>
          </cell>
          <cell r="G3664" t="str">
            <v>B</v>
          </cell>
          <cell r="H3664">
            <v>98.89</v>
          </cell>
        </row>
        <row r="3665">
          <cell r="A3665" t="str">
            <v>1;G;G1;B;MUE00a02</v>
          </cell>
          <cell r="B3665">
            <v>730069</v>
          </cell>
          <cell r="C3665" t="str">
            <v>G1</v>
          </cell>
          <cell r="D3665" t="str">
            <v>ZONA 1 ECONOMY</v>
          </cell>
          <cell r="E3665" t="str">
            <v>G</v>
          </cell>
          <cell r="F3665" t="str">
            <v>MUE00a02</v>
          </cell>
          <cell r="G3665" t="str">
            <v>B</v>
          </cell>
          <cell r="H3665">
            <v>30.21</v>
          </cell>
        </row>
        <row r="3666">
          <cell r="A3666" t="str">
            <v>1;G;G1;B;MUE02a05</v>
          </cell>
          <cell r="B3666">
            <v>730069</v>
          </cell>
          <cell r="C3666" t="str">
            <v>G1</v>
          </cell>
          <cell r="D3666" t="str">
            <v>ZONA 1 ECONOMY</v>
          </cell>
          <cell r="E3666" t="str">
            <v>G</v>
          </cell>
          <cell r="F3666" t="str">
            <v>MUE02a05</v>
          </cell>
          <cell r="G3666" t="str">
            <v>B</v>
          </cell>
          <cell r="H3666">
            <v>34.65</v>
          </cell>
        </row>
        <row r="3667">
          <cell r="A3667" t="str">
            <v>1;G;G1;B;MUE05a10</v>
          </cell>
          <cell r="B3667">
            <v>730069</v>
          </cell>
          <cell r="C3667" t="str">
            <v>G1</v>
          </cell>
          <cell r="D3667" t="str">
            <v>ZONA 1 ECONOMY</v>
          </cell>
          <cell r="E3667" t="str">
            <v>G</v>
          </cell>
          <cell r="F3667" t="str">
            <v>MUE05a10</v>
          </cell>
          <cell r="G3667" t="str">
            <v>B</v>
          </cell>
          <cell r="H3667">
            <v>41.46</v>
          </cell>
        </row>
        <row r="3668">
          <cell r="A3668" t="str">
            <v>1;G;G1;B;MUE10a15</v>
          </cell>
          <cell r="B3668">
            <v>730069</v>
          </cell>
          <cell r="C3668" t="str">
            <v>G1</v>
          </cell>
          <cell r="D3668" t="str">
            <v>ZONA 1 ECONOMY</v>
          </cell>
          <cell r="E3668" t="str">
            <v>G</v>
          </cell>
          <cell r="F3668" t="str">
            <v>MUE10a15</v>
          </cell>
          <cell r="G3668" t="str">
            <v>B</v>
          </cell>
          <cell r="H3668">
            <v>49.36</v>
          </cell>
        </row>
        <row r="3669">
          <cell r="A3669" t="str">
            <v>1;G;G1;B;MUE15a20</v>
          </cell>
          <cell r="B3669">
            <v>730069</v>
          </cell>
          <cell r="C3669" t="str">
            <v>G1</v>
          </cell>
          <cell r="D3669" t="str">
            <v>ZONA 1 ECONOMY</v>
          </cell>
          <cell r="E3669" t="str">
            <v>G</v>
          </cell>
          <cell r="F3669" t="str">
            <v>MUE15a20</v>
          </cell>
          <cell r="G3669" t="str">
            <v>B</v>
          </cell>
          <cell r="H3669">
            <v>56.7</v>
          </cell>
        </row>
        <row r="3670">
          <cell r="A3670" t="str">
            <v>1;G;G1;B;MUE20a25</v>
          </cell>
          <cell r="B3670">
            <v>730069</v>
          </cell>
          <cell r="C3670" t="str">
            <v>G1</v>
          </cell>
          <cell r="D3670" t="str">
            <v>ZONA 1 ECONOMY</v>
          </cell>
          <cell r="E3670" t="str">
            <v>G</v>
          </cell>
          <cell r="F3670" t="str">
            <v>MUE20a25</v>
          </cell>
          <cell r="G3670" t="str">
            <v>B</v>
          </cell>
          <cell r="H3670">
            <v>70.77</v>
          </cell>
        </row>
        <row r="3671">
          <cell r="A3671" t="str">
            <v>1;G;G1;B;MUE25a30</v>
          </cell>
          <cell r="B3671">
            <v>730069</v>
          </cell>
          <cell r="C3671" t="str">
            <v>G1</v>
          </cell>
          <cell r="D3671" t="str">
            <v>ZONA 1 ECONOMY</v>
          </cell>
          <cell r="E3671" t="str">
            <v>G</v>
          </cell>
          <cell r="F3671" t="str">
            <v>MUE25a30</v>
          </cell>
          <cell r="G3671" t="str">
            <v>B</v>
          </cell>
          <cell r="H3671">
            <v>70.77</v>
          </cell>
        </row>
        <row r="3672">
          <cell r="A3672" t="str">
            <v>1;G;G1;B;MUE30a40</v>
          </cell>
          <cell r="B3672">
            <v>730069</v>
          </cell>
          <cell r="C3672" t="str">
            <v>G1</v>
          </cell>
          <cell r="D3672" t="str">
            <v>ZONA 1 ECONOMY</v>
          </cell>
          <cell r="E3672" t="str">
            <v>G</v>
          </cell>
          <cell r="F3672" t="str">
            <v>MUE30a40</v>
          </cell>
          <cell r="G3672" t="str">
            <v>B</v>
          </cell>
          <cell r="H3672">
            <v>84.83</v>
          </cell>
        </row>
        <row r="3673">
          <cell r="A3673" t="str">
            <v>1;G;G1;B;MUE40a50</v>
          </cell>
          <cell r="B3673">
            <v>730069</v>
          </cell>
          <cell r="C3673" t="str">
            <v>G1</v>
          </cell>
          <cell r="D3673" t="str">
            <v>ZONA 1 ECONOMY</v>
          </cell>
          <cell r="E3673" t="str">
            <v>G</v>
          </cell>
          <cell r="F3673" t="str">
            <v>MUE40a50</v>
          </cell>
          <cell r="G3673" t="str">
            <v>B</v>
          </cell>
          <cell r="H3673">
            <v>98.89</v>
          </cell>
        </row>
        <row r="3674">
          <cell r="A3674" t="str">
            <v>1;G;G2;B;DOC00a02</v>
          </cell>
          <cell r="B3674">
            <v>730069</v>
          </cell>
          <cell r="C3674" t="str">
            <v>G2</v>
          </cell>
          <cell r="D3674" t="str">
            <v>ZONA 2 ECONOMY</v>
          </cell>
          <cell r="E3674" t="str">
            <v>G</v>
          </cell>
          <cell r="F3674" t="str">
            <v>DOC00a02</v>
          </cell>
          <cell r="G3674" t="str">
            <v>B</v>
          </cell>
          <cell r="H3674">
            <v>34.64</v>
          </cell>
        </row>
        <row r="3675">
          <cell r="A3675" t="str">
            <v>1;G;G2;B;DOC02a05</v>
          </cell>
          <cell r="B3675">
            <v>730069</v>
          </cell>
          <cell r="C3675" t="str">
            <v>G2</v>
          </cell>
          <cell r="D3675" t="str">
            <v>ZONA 2 ECONOMY</v>
          </cell>
          <cell r="E3675" t="str">
            <v>G</v>
          </cell>
          <cell r="F3675" t="str">
            <v>DOC02a05</v>
          </cell>
          <cell r="G3675" t="str">
            <v>B</v>
          </cell>
          <cell r="H3675">
            <v>39.39</v>
          </cell>
        </row>
        <row r="3676">
          <cell r="A3676" t="str">
            <v>1;G;G2;B;DOC05a10</v>
          </cell>
          <cell r="B3676">
            <v>730069</v>
          </cell>
          <cell r="C3676" t="str">
            <v>G2</v>
          </cell>
          <cell r="D3676" t="str">
            <v>ZONA 2 ECONOMY</v>
          </cell>
          <cell r="E3676" t="str">
            <v>G</v>
          </cell>
          <cell r="F3676" t="str">
            <v>DOC05a10</v>
          </cell>
          <cell r="G3676" t="str">
            <v>B</v>
          </cell>
          <cell r="H3676">
            <v>46.74</v>
          </cell>
        </row>
        <row r="3677">
          <cell r="A3677" t="str">
            <v>1;G;G2;B;DOC10a15</v>
          </cell>
          <cell r="B3677">
            <v>730069</v>
          </cell>
          <cell r="C3677" t="str">
            <v>G2</v>
          </cell>
          <cell r="D3677" t="str">
            <v>ZONA 2 ECONOMY</v>
          </cell>
          <cell r="E3677" t="str">
            <v>G</v>
          </cell>
          <cell r="F3677" t="str">
            <v>DOC10a15</v>
          </cell>
          <cell r="G3677" t="str">
            <v>B</v>
          </cell>
          <cell r="H3677">
            <v>54.87</v>
          </cell>
        </row>
        <row r="3678">
          <cell r="A3678" t="str">
            <v>1;G;G2;B;DOC15a20</v>
          </cell>
          <cell r="B3678">
            <v>730069</v>
          </cell>
          <cell r="C3678" t="str">
            <v>G2</v>
          </cell>
          <cell r="D3678" t="str">
            <v>ZONA 2 ECONOMY</v>
          </cell>
          <cell r="E3678" t="str">
            <v>G</v>
          </cell>
          <cell r="F3678" t="str">
            <v>DOC15a20</v>
          </cell>
          <cell r="G3678" t="str">
            <v>B</v>
          </cell>
          <cell r="H3678">
            <v>62.45</v>
          </cell>
        </row>
        <row r="3679">
          <cell r="A3679" t="str">
            <v>1;G;G2;B;DOC20a25</v>
          </cell>
          <cell r="B3679">
            <v>730069</v>
          </cell>
          <cell r="C3679" t="str">
            <v>G2</v>
          </cell>
          <cell r="D3679" t="str">
            <v>ZONA 2 ECONOMY</v>
          </cell>
          <cell r="E3679" t="str">
            <v>G</v>
          </cell>
          <cell r="F3679" t="str">
            <v>DOC20a25</v>
          </cell>
          <cell r="G3679" t="str">
            <v>B</v>
          </cell>
          <cell r="H3679">
            <v>76.52</v>
          </cell>
        </row>
        <row r="3680">
          <cell r="A3680" t="str">
            <v>1;G;G2;B;DOC25a30</v>
          </cell>
          <cell r="B3680">
            <v>730069</v>
          </cell>
          <cell r="C3680" t="str">
            <v>G2</v>
          </cell>
          <cell r="D3680" t="str">
            <v>ZONA 2 ECONOMY</v>
          </cell>
          <cell r="E3680" t="str">
            <v>G</v>
          </cell>
          <cell r="F3680" t="str">
            <v>DOC25a30</v>
          </cell>
          <cell r="G3680" t="str">
            <v>B</v>
          </cell>
          <cell r="H3680">
            <v>76.52</v>
          </cell>
        </row>
        <row r="3681">
          <cell r="A3681" t="str">
            <v>1;G;G2;B;DOC30a40</v>
          </cell>
          <cell r="B3681">
            <v>730069</v>
          </cell>
          <cell r="C3681" t="str">
            <v>G2</v>
          </cell>
          <cell r="D3681" t="str">
            <v>ZONA 2 ECONOMY</v>
          </cell>
          <cell r="E3681" t="str">
            <v>G</v>
          </cell>
          <cell r="F3681" t="str">
            <v>DOC30a40</v>
          </cell>
          <cell r="G3681" t="str">
            <v>B</v>
          </cell>
          <cell r="H3681">
            <v>90.58</v>
          </cell>
        </row>
        <row r="3682">
          <cell r="A3682" t="str">
            <v>1;G;G2;B;DOC40a50</v>
          </cell>
          <cell r="B3682">
            <v>730069</v>
          </cell>
          <cell r="C3682" t="str">
            <v>G2</v>
          </cell>
          <cell r="D3682" t="str">
            <v>ZONA 2 ECONOMY</v>
          </cell>
          <cell r="E3682" t="str">
            <v>G</v>
          </cell>
          <cell r="F3682" t="str">
            <v>DOC40a50</v>
          </cell>
          <cell r="G3682" t="str">
            <v>B</v>
          </cell>
          <cell r="H3682">
            <v>104.65</v>
          </cell>
        </row>
        <row r="3683">
          <cell r="A3683" t="str">
            <v>1;G;G2;B;MUE00a02</v>
          </cell>
          <cell r="B3683">
            <v>730069</v>
          </cell>
          <cell r="C3683" t="str">
            <v>G2</v>
          </cell>
          <cell r="D3683" t="str">
            <v>ZONA 2 ECONOMY</v>
          </cell>
          <cell r="E3683" t="str">
            <v>G</v>
          </cell>
          <cell r="F3683" t="str">
            <v>MUE00a02</v>
          </cell>
          <cell r="G3683" t="str">
            <v>B</v>
          </cell>
          <cell r="H3683">
            <v>34.64</v>
          </cell>
        </row>
        <row r="3684">
          <cell r="A3684" t="str">
            <v>1;G;G2;B;MUE02a05</v>
          </cell>
          <cell r="B3684">
            <v>730069</v>
          </cell>
          <cell r="C3684" t="str">
            <v>G2</v>
          </cell>
          <cell r="D3684" t="str">
            <v>ZONA 2 ECONOMY</v>
          </cell>
          <cell r="E3684" t="str">
            <v>G</v>
          </cell>
          <cell r="F3684" t="str">
            <v>MUE02a05</v>
          </cell>
          <cell r="G3684" t="str">
            <v>B</v>
          </cell>
          <cell r="H3684">
            <v>39.39</v>
          </cell>
        </row>
        <row r="3685">
          <cell r="A3685" t="str">
            <v>1;G;G2;B;MUE05a10</v>
          </cell>
          <cell r="B3685">
            <v>730069</v>
          </cell>
          <cell r="C3685" t="str">
            <v>G2</v>
          </cell>
          <cell r="D3685" t="str">
            <v>ZONA 2 ECONOMY</v>
          </cell>
          <cell r="E3685" t="str">
            <v>G</v>
          </cell>
          <cell r="F3685" t="str">
            <v>MUE05a10</v>
          </cell>
          <cell r="G3685" t="str">
            <v>B</v>
          </cell>
          <cell r="H3685">
            <v>46.74</v>
          </cell>
        </row>
        <row r="3686">
          <cell r="A3686" t="str">
            <v>1;G;G2;B;MUE10a15</v>
          </cell>
          <cell r="B3686">
            <v>730069</v>
          </cell>
          <cell r="C3686" t="str">
            <v>G2</v>
          </cell>
          <cell r="D3686" t="str">
            <v>ZONA 2 ECONOMY</v>
          </cell>
          <cell r="E3686" t="str">
            <v>G</v>
          </cell>
          <cell r="F3686" t="str">
            <v>MUE10a15</v>
          </cell>
          <cell r="G3686" t="str">
            <v>B</v>
          </cell>
          <cell r="H3686">
            <v>54.87</v>
          </cell>
        </row>
        <row r="3687">
          <cell r="A3687" t="str">
            <v>1;G;G2;B;MUE15a20</v>
          </cell>
          <cell r="B3687">
            <v>730069</v>
          </cell>
          <cell r="C3687" t="str">
            <v>G2</v>
          </cell>
          <cell r="D3687" t="str">
            <v>ZONA 2 ECONOMY</v>
          </cell>
          <cell r="E3687" t="str">
            <v>G</v>
          </cell>
          <cell r="F3687" t="str">
            <v>MUE15a20</v>
          </cell>
          <cell r="G3687" t="str">
            <v>B</v>
          </cell>
          <cell r="H3687">
            <v>62.45</v>
          </cell>
        </row>
        <row r="3688">
          <cell r="A3688" t="str">
            <v>1;G;G2;B;MUE20a25</v>
          </cell>
          <cell r="B3688">
            <v>730069</v>
          </cell>
          <cell r="C3688" t="str">
            <v>G2</v>
          </cell>
          <cell r="D3688" t="str">
            <v>ZONA 2 ECONOMY</v>
          </cell>
          <cell r="E3688" t="str">
            <v>G</v>
          </cell>
          <cell r="F3688" t="str">
            <v>MUE20a25</v>
          </cell>
          <cell r="G3688" t="str">
            <v>B</v>
          </cell>
          <cell r="H3688">
            <v>76.52</v>
          </cell>
        </row>
        <row r="3689">
          <cell r="A3689" t="str">
            <v>1;G;G2;B;MUE25a30</v>
          </cell>
          <cell r="B3689">
            <v>730069</v>
          </cell>
          <cell r="C3689" t="str">
            <v>G2</v>
          </cell>
          <cell r="D3689" t="str">
            <v>ZONA 2 ECONOMY</v>
          </cell>
          <cell r="E3689" t="str">
            <v>G</v>
          </cell>
          <cell r="F3689" t="str">
            <v>MUE25a30</v>
          </cell>
          <cell r="G3689" t="str">
            <v>B</v>
          </cell>
          <cell r="H3689">
            <v>76.52</v>
          </cell>
        </row>
        <row r="3690">
          <cell r="A3690" t="str">
            <v>1;G;G2;B;MUE30a40</v>
          </cell>
          <cell r="B3690">
            <v>730069</v>
          </cell>
          <cell r="C3690" t="str">
            <v>G2</v>
          </cell>
          <cell r="D3690" t="str">
            <v>ZONA 2 ECONOMY</v>
          </cell>
          <cell r="E3690" t="str">
            <v>G</v>
          </cell>
          <cell r="F3690" t="str">
            <v>MUE30a40</v>
          </cell>
          <cell r="G3690" t="str">
            <v>B</v>
          </cell>
          <cell r="H3690">
            <v>90.58</v>
          </cell>
        </row>
        <row r="3691">
          <cell r="A3691" t="str">
            <v>1;G;G2;B;MUE40a50</v>
          </cell>
          <cell r="B3691">
            <v>730069</v>
          </cell>
          <cell r="C3691" t="str">
            <v>G2</v>
          </cell>
          <cell r="D3691" t="str">
            <v>ZONA 2 ECONOMY</v>
          </cell>
          <cell r="E3691" t="str">
            <v>G</v>
          </cell>
          <cell r="F3691" t="str">
            <v>MUE40a50</v>
          </cell>
          <cell r="G3691" t="str">
            <v>B</v>
          </cell>
          <cell r="H3691">
            <v>104.65</v>
          </cell>
        </row>
        <row r="3692">
          <cell r="A3692" t="str">
            <v>1;G;G3;B;DOC00a02</v>
          </cell>
          <cell r="B3692">
            <v>730069</v>
          </cell>
          <cell r="C3692" t="str">
            <v>G3</v>
          </cell>
          <cell r="D3692" t="str">
            <v>ZONA 3 ECONOMY</v>
          </cell>
          <cell r="E3692" t="str">
            <v>G</v>
          </cell>
          <cell r="F3692" t="str">
            <v>DOC00a02</v>
          </cell>
          <cell r="G3692" t="str">
            <v>B</v>
          </cell>
          <cell r="H3692">
            <v>43.05</v>
          </cell>
        </row>
        <row r="3693">
          <cell r="A3693" t="str">
            <v>1;G;G3;B;DOC02a05</v>
          </cell>
          <cell r="B3693">
            <v>730069</v>
          </cell>
          <cell r="C3693" t="str">
            <v>G3</v>
          </cell>
          <cell r="D3693" t="str">
            <v>ZONA 3 ECONOMY</v>
          </cell>
          <cell r="E3693" t="str">
            <v>G</v>
          </cell>
          <cell r="F3693" t="str">
            <v>DOC02a05</v>
          </cell>
          <cell r="G3693" t="str">
            <v>B</v>
          </cell>
          <cell r="H3693">
            <v>47.79</v>
          </cell>
        </row>
        <row r="3694">
          <cell r="A3694" t="str">
            <v>1;G;G3;B;DOC05a10</v>
          </cell>
          <cell r="B3694">
            <v>730069</v>
          </cell>
          <cell r="C3694" t="str">
            <v>G3</v>
          </cell>
          <cell r="D3694" t="str">
            <v>ZONA 3 ECONOMY</v>
          </cell>
          <cell r="E3694" t="str">
            <v>G</v>
          </cell>
          <cell r="F3694" t="str">
            <v>DOC05a10</v>
          </cell>
          <cell r="G3694" t="str">
            <v>B</v>
          </cell>
          <cell r="H3694">
            <v>54.87</v>
          </cell>
        </row>
        <row r="3695">
          <cell r="A3695" t="str">
            <v>1;G;G3;B;DOC10a15</v>
          </cell>
          <cell r="B3695">
            <v>730069</v>
          </cell>
          <cell r="C3695" t="str">
            <v>G3</v>
          </cell>
          <cell r="D3695" t="str">
            <v>ZONA 3 ECONOMY</v>
          </cell>
          <cell r="E3695" t="str">
            <v>G</v>
          </cell>
          <cell r="F3695" t="str">
            <v>DOC10a15</v>
          </cell>
          <cell r="G3695" t="str">
            <v>B</v>
          </cell>
          <cell r="H3695">
            <v>60.12</v>
          </cell>
        </row>
        <row r="3696">
          <cell r="A3696" t="str">
            <v>1;G;G3;B;DOC15a20</v>
          </cell>
          <cell r="B3696">
            <v>730069</v>
          </cell>
          <cell r="C3696" t="str">
            <v>G3</v>
          </cell>
          <cell r="D3696" t="str">
            <v>ZONA 3 ECONOMY</v>
          </cell>
          <cell r="E3696" t="str">
            <v>G</v>
          </cell>
          <cell r="F3696" t="str">
            <v>DOC15a20</v>
          </cell>
          <cell r="G3696" t="str">
            <v>B</v>
          </cell>
          <cell r="H3696">
            <v>72</v>
          </cell>
        </row>
        <row r="3697">
          <cell r="A3697" t="str">
            <v>1;G;G3;B;DOC20a25</v>
          </cell>
          <cell r="B3697">
            <v>730069</v>
          </cell>
          <cell r="C3697" t="str">
            <v>G3</v>
          </cell>
          <cell r="D3697" t="str">
            <v>ZONA 3 ECONOMY</v>
          </cell>
          <cell r="E3697" t="str">
            <v>G</v>
          </cell>
          <cell r="F3697" t="str">
            <v>DOC20a25</v>
          </cell>
          <cell r="G3697" t="str">
            <v>B</v>
          </cell>
          <cell r="H3697">
            <v>86.06</v>
          </cell>
        </row>
        <row r="3698">
          <cell r="A3698" t="str">
            <v>1;G;G3;B;DOC25a30</v>
          </cell>
          <cell r="B3698">
            <v>730069</v>
          </cell>
          <cell r="C3698" t="str">
            <v>G3</v>
          </cell>
          <cell r="D3698" t="str">
            <v>ZONA 3 ECONOMY</v>
          </cell>
          <cell r="E3698" t="str">
            <v>G</v>
          </cell>
          <cell r="F3698" t="str">
            <v>DOC25a30</v>
          </cell>
          <cell r="G3698" t="str">
            <v>B</v>
          </cell>
          <cell r="H3698">
            <v>86.06</v>
          </cell>
        </row>
        <row r="3699">
          <cell r="A3699" t="str">
            <v>1;G;G3;B;DOC30a40</v>
          </cell>
          <cell r="B3699">
            <v>730069</v>
          </cell>
          <cell r="C3699" t="str">
            <v>G3</v>
          </cell>
          <cell r="D3699" t="str">
            <v>ZONA 3 ECONOMY</v>
          </cell>
          <cell r="E3699" t="str">
            <v>G</v>
          </cell>
          <cell r="F3699" t="str">
            <v>DOC30a40</v>
          </cell>
          <cell r="G3699" t="str">
            <v>B</v>
          </cell>
          <cell r="H3699">
            <v>100.13</v>
          </cell>
        </row>
        <row r="3700">
          <cell r="A3700" t="str">
            <v>1;G;G3;B;DOC40a50</v>
          </cell>
          <cell r="B3700">
            <v>730069</v>
          </cell>
          <cell r="C3700" t="str">
            <v>G3</v>
          </cell>
          <cell r="D3700" t="str">
            <v>ZONA 3 ECONOMY</v>
          </cell>
          <cell r="E3700" t="str">
            <v>G</v>
          </cell>
          <cell r="F3700" t="str">
            <v>DOC40a50</v>
          </cell>
          <cell r="G3700" t="str">
            <v>B</v>
          </cell>
          <cell r="H3700">
            <v>114.19</v>
          </cell>
        </row>
        <row r="3701">
          <cell r="A3701" t="str">
            <v>1;G;G3;B;MUE00a02</v>
          </cell>
          <cell r="B3701">
            <v>730069</v>
          </cell>
          <cell r="C3701" t="str">
            <v>G3</v>
          </cell>
          <cell r="D3701" t="str">
            <v>ZONA 3 ECONOMY</v>
          </cell>
          <cell r="E3701" t="str">
            <v>G</v>
          </cell>
          <cell r="F3701" t="str">
            <v>MUE00a02</v>
          </cell>
          <cell r="G3701" t="str">
            <v>B</v>
          </cell>
          <cell r="H3701">
            <v>43.05</v>
          </cell>
        </row>
        <row r="3702">
          <cell r="A3702" t="str">
            <v>1;G;G3;B;MUE02a05</v>
          </cell>
          <cell r="B3702">
            <v>730069</v>
          </cell>
          <cell r="C3702" t="str">
            <v>G3</v>
          </cell>
          <cell r="D3702" t="str">
            <v>ZONA 3 ECONOMY</v>
          </cell>
          <cell r="E3702" t="str">
            <v>G</v>
          </cell>
          <cell r="F3702" t="str">
            <v>MUE02a05</v>
          </cell>
          <cell r="G3702" t="str">
            <v>B</v>
          </cell>
          <cell r="H3702">
            <v>47.79</v>
          </cell>
        </row>
        <row r="3703">
          <cell r="A3703" t="str">
            <v>1;G;G3;B;MUE05a10</v>
          </cell>
          <cell r="B3703">
            <v>730069</v>
          </cell>
          <cell r="C3703" t="str">
            <v>G3</v>
          </cell>
          <cell r="D3703" t="str">
            <v>ZONA 3 ECONOMY</v>
          </cell>
          <cell r="E3703" t="str">
            <v>G</v>
          </cell>
          <cell r="F3703" t="str">
            <v>MUE05a10</v>
          </cell>
          <cell r="G3703" t="str">
            <v>B</v>
          </cell>
          <cell r="H3703">
            <v>54.87</v>
          </cell>
        </row>
        <row r="3704">
          <cell r="A3704" t="str">
            <v>1;G;G3;B;MUE10a15</v>
          </cell>
          <cell r="B3704">
            <v>730069</v>
          </cell>
          <cell r="C3704" t="str">
            <v>G3</v>
          </cell>
          <cell r="D3704" t="str">
            <v>ZONA 3 ECONOMY</v>
          </cell>
          <cell r="E3704" t="str">
            <v>G</v>
          </cell>
          <cell r="F3704" t="str">
            <v>MUE10a15</v>
          </cell>
          <cell r="G3704" t="str">
            <v>B</v>
          </cell>
          <cell r="H3704">
            <v>60.12</v>
          </cell>
        </row>
        <row r="3705">
          <cell r="A3705" t="str">
            <v>1;G;G3;B;MUE15a20</v>
          </cell>
          <cell r="B3705">
            <v>730069</v>
          </cell>
          <cell r="C3705" t="str">
            <v>G3</v>
          </cell>
          <cell r="D3705" t="str">
            <v>ZONA 3 ECONOMY</v>
          </cell>
          <cell r="E3705" t="str">
            <v>G</v>
          </cell>
          <cell r="F3705" t="str">
            <v>MUE15a20</v>
          </cell>
          <cell r="G3705" t="str">
            <v>B</v>
          </cell>
          <cell r="H3705">
            <v>72</v>
          </cell>
        </row>
        <row r="3706">
          <cell r="A3706" t="str">
            <v>1;G;G3;B;MUE20a25</v>
          </cell>
          <cell r="B3706">
            <v>730069</v>
          </cell>
          <cell r="C3706" t="str">
            <v>G3</v>
          </cell>
          <cell r="D3706" t="str">
            <v>ZONA 3 ECONOMY</v>
          </cell>
          <cell r="E3706" t="str">
            <v>G</v>
          </cell>
          <cell r="F3706" t="str">
            <v>MUE20a25</v>
          </cell>
          <cell r="G3706" t="str">
            <v>B</v>
          </cell>
          <cell r="H3706">
            <v>86.06</v>
          </cell>
        </row>
        <row r="3707">
          <cell r="A3707" t="str">
            <v>1;G;G3;B;MUE25a30</v>
          </cell>
          <cell r="B3707">
            <v>730069</v>
          </cell>
          <cell r="C3707" t="str">
            <v>G3</v>
          </cell>
          <cell r="D3707" t="str">
            <v>ZONA 3 ECONOMY</v>
          </cell>
          <cell r="E3707" t="str">
            <v>G</v>
          </cell>
          <cell r="F3707" t="str">
            <v>MUE25a30</v>
          </cell>
          <cell r="G3707" t="str">
            <v>B</v>
          </cell>
          <cell r="H3707">
            <v>86.06</v>
          </cell>
        </row>
        <row r="3708">
          <cell r="A3708" t="str">
            <v>1;G;G3;B;MUE30a40</v>
          </cell>
          <cell r="B3708">
            <v>730069</v>
          </cell>
          <cell r="C3708" t="str">
            <v>G3</v>
          </cell>
          <cell r="D3708" t="str">
            <v>ZONA 3 ECONOMY</v>
          </cell>
          <cell r="E3708" t="str">
            <v>G</v>
          </cell>
          <cell r="F3708" t="str">
            <v>MUE30a40</v>
          </cell>
          <cell r="G3708" t="str">
            <v>B</v>
          </cell>
          <cell r="H3708">
            <v>100.13</v>
          </cell>
        </row>
        <row r="3709">
          <cell r="A3709" t="str">
            <v>1;G;G3;B;MUE40a50</v>
          </cell>
          <cell r="B3709">
            <v>730069</v>
          </cell>
          <cell r="C3709" t="str">
            <v>G3</v>
          </cell>
          <cell r="D3709" t="str">
            <v>ZONA 3 ECONOMY</v>
          </cell>
          <cell r="E3709" t="str">
            <v>G</v>
          </cell>
          <cell r="F3709" t="str">
            <v>MUE40a50</v>
          </cell>
          <cell r="G3709" t="str">
            <v>B</v>
          </cell>
          <cell r="H3709">
            <v>114.19</v>
          </cell>
        </row>
        <row r="3710">
          <cell r="A3710" t="str">
            <v>1;G;G4;B;DOC00a02</v>
          </cell>
          <cell r="B3710">
            <v>730069</v>
          </cell>
          <cell r="C3710" t="str">
            <v>G4</v>
          </cell>
          <cell r="D3710" t="str">
            <v>ZONA 4 ECONOMY</v>
          </cell>
          <cell r="E3710" t="str">
            <v>G</v>
          </cell>
          <cell r="F3710" t="str">
            <v>DOC00a02</v>
          </cell>
          <cell r="G3710" t="str">
            <v>B</v>
          </cell>
          <cell r="H3710">
            <v>58.96</v>
          </cell>
        </row>
        <row r="3711">
          <cell r="A3711" t="str">
            <v>1;G;G4;B;DOC02a05</v>
          </cell>
          <cell r="B3711">
            <v>730069</v>
          </cell>
          <cell r="C3711" t="str">
            <v>G4</v>
          </cell>
          <cell r="D3711" t="str">
            <v>ZONA 4 ECONOMY</v>
          </cell>
          <cell r="E3711" t="str">
            <v>G</v>
          </cell>
          <cell r="F3711" t="str">
            <v>DOC02a05</v>
          </cell>
          <cell r="G3711" t="str">
            <v>B</v>
          </cell>
          <cell r="H3711">
            <v>63.69</v>
          </cell>
        </row>
        <row r="3712">
          <cell r="A3712" t="str">
            <v>1;G;G4;B;DOC05a10</v>
          </cell>
          <cell r="B3712">
            <v>730069</v>
          </cell>
          <cell r="C3712" t="str">
            <v>G4</v>
          </cell>
          <cell r="D3712" t="str">
            <v>ZONA 4 ECONOMY</v>
          </cell>
          <cell r="E3712" t="str">
            <v>G</v>
          </cell>
          <cell r="F3712" t="str">
            <v>DOC05a10</v>
          </cell>
          <cell r="G3712" t="str">
            <v>B</v>
          </cell>
          <cell r="H3712">
            <v>72.650000000000006</v>
          </cell>
        </row>
        <row r="3713">
          <cell r="A3713" t="str">
            <v>1;G;G4;B;DOC10a15</v>
          </cell>
          <cell r="B3713">
            <v>730069</v>
          </cell>
          <cell r="C3713" t="str">
            <v>G4</v>
          </cell>
          <cell r="D3713" t="str">
            <v>ZONA 4 ECONOMY</v>
          </cell>
          <cell r="E3713" t="str">
            <v>G</v>
          </cell>
          <cell r="F3713" t="str">
            <v>DOC10a15</v>
          </cell>
          <cell r="G3713" t="str">
            <v>B</v>
          </cell>
          <cell r="H3713">
            <v>81.63</v>
          </cell>
        </row>
        <row r="3714">
          <cell r="A3714" t="str">
            <v>1;G;G4;B;DOC15a20</v>
          </cell>
          <cell r="B3714">
            <v>730069</v>
          </cell>
          <cell r="C3714" t="str">
            <v>G4</v>
          </cell>
          <cell r="D3714" t="str">
            <v>ZONA 4 ECONOMY</v>
          </cell>
          <cell r="E3714" t="str">
            <v>G</v>
          </cell>
          <cell r="F3714" t="str">
            <v>DOC15a20</v>
          </cell>
          <cell r="G3714" t="str">
            <v>B</v>
          </cell>
          <cell r="H3714">
            <v>90.54</v>
          </cell>
        </row>
        <row r="3715">
          <cell r="A3715" t="str">
            <v>1;G;G4;B;DOC20a25</v>
          </cell>
          <cell r="B3715">
            <v>730069</v>
          </cell>
          <cell r="C3715" t="str">
            <v>G4</v>
          </cell>
          <cell r="D3715" t="str">
            <v>ZONA 4 ECONOMY</v>
          </cell>
          <cell r="E3715" t="str">
            <v>G</v>
          </cell>
          <cell r="F3715" t="str">
            <v>DOC20a25</v>
          </cell>
          <cell r="G3715" t="str">
            <v>B</v>
          </cell>
          <cell r="H3715">
            <v>103.35</v>
          </cell>
        </row>
        <row r="3716">
          <cell r="A3716" t="str">
            <v>1;G;G4;B;DOC25a30</v>
          </cell>
          <cell r="B3716">
            <v>730069</v>
          </cell>
          <cell r="C3716" t="str">
            <v>G4</v>
          </cell>
          <cell r="D3716" t="str">
            <v>ZONA 4 ECONOMY</v>
          </cell>
          <cell r="E3716" t="str">
            <v>G</v>
          </cell>
          <cell r="F3716" t="str">
            <v>DOC25a30</v>
          </cell>
          <cell r="G3716" t="str">
            <v>B</v>
          </cell>
          <cell r="H3716">
            <v>103.35</v>
          </cell>
        </row>
        <row r="3717">
          <cell r="A3717" t="str">
            <v>1;G;G4;B;DOC30a40</v>
          </cell>
          <cell r="B3717">
            <v>730069</v>
          </cell>
          <cell r="C3717" t="str">
            <v>G4</v>
          </cell>
          <cell r="D3717" t="str">
            <v>ZONA 4 ECONOMY</v>
          </cell>
          <cell r="E3717" t="str">
            <v>G</v>
          </cell>
          <cell r="F3717" t="str">
            <v>DOC30a40</v>
          </cell>
          <cell r="G3717" t="str">
            <v>B</v>
          </cell>
          <cell r="H3717">
            <v>116.13</v>
          </cell>
        </row>
        <row r="3718">
          <cell r="A3718" t="str">
            <v>1;G;G4;B;DOC40a50</v>
          </cell>
          <cell r="B3718">
            <v>730069</v>
          </cell>
          <cell r="C3718" t="str">
            <v>G4</v>
          </cell>
          <cell r="D3718" t="str">
            <v>ZONA 4 ECONOMY</v>
          </cell>
          <cell r="E3718" t="str">
            <v>G</v>
          </cell>
          <cell r="F3718" t="str">
            <v>DOC40a50</v>
          </cell>
          <cell r="G3718" t="str">
            <v>B</v>
          </cell>
          <cell r="H3718">
            <v>128.91999999999999</v>
          </cell>
        </row>
        <row r="3719">
          <cell r="A3719" t="str">
            <v>1;G;G4;B;MUE00a02</v>
          </cell>
          <cell r="B3719">
            <v>730069</v>
          </cell>
          <cell r="C3719" t="str">
            <v>G4</v>
          </cell>
          <cell r="D3719" t="str">
            <v>ZONA 4 ECONOMY</v>
          </cell>
          <cell r="E3719" t="str">
            <v>G</v>
          </cell>
          <cell r="F3719" t="str">
            <v>MUE00a02</v>
          </cell>
          <cell r="G3719" t="str">
            <v>B</v>
          </cell>
          <cell r="H3719">
            <v>58.96</v>
          </cell>
        </row>
        <row r="3720">
          <cell r="A3720" t="str">
            <v>1;G;G4;B;MUE02a05</v>
          </cell>
          <cell r="B3720">
            <v>730069</v>
          </cell>
          <cell r="C3720" t="str">
            <v>G4</v>
          </cell>
          <cell r="D3720" t="str">
            <v>ZONA 4 ECONOMY</v>
          </cell>
          <cell r="E3720" t="str">
            <v>G</v>
          </cell>
          <cell r="F3720" t="str">
            <v>MUE02a05</v>
          </cell>
          <cell r="G3720" t="str">
            <v>B</v>
          </cell>
          <cell r="H3720">
            <v>63.69</v>
          </cell>
        </row>
        <row r="3721">
          <cell r="A3721" t="str">
            <v>1;G;G4;B;MUE05a10</v>
          </cell>
          <cell r="B3721">
            <v>730069</v>
          </cell>
          <cell r="C3721" t="str">
            <v>G4</v>
          </cell>
          <cell r="D3721" t="str">
            <v>ZONA 4 ECONOMY</v>
          </cell>
          <cell r="E3721" t="str">
            <v>G</v>
          </cell>
          <cell r="F3721" t="str">
            <v>MUE05a10</v>
          </cell>
          <cell r="G3721" t="str">
            <v>B</v>
          </cell>
          <cell r="H3721">
            <v>72.650000000000006</v>
          </cell>
        </row>
        <row r="3722">
          <cell r="A3722" t="str">
            <v>1;G;G4;B;MUE10a15</v>
          </cell>
          <cell r="B3722">
            <v>730069</v>
          </cell>
          <cell r="C3722" t="str">
            <v>G4</v>
          </cell>
          <cell r="D3722" t="str">
            <v>ZONA 4 ECONOMY</v>
          </cell>
          <cell r="E3722" t="str">
            <v>G</v>
          </cell>
          <cell r="F3722" t="str">
            <v>MUE10a15</v>
          </cell>
          <cell r="G3722" t="str">
            <v>B</v>
          </cell>
          <cell r="H3722">
            <v>81.63</v>
          </cell>
        </row>
        <row r="3723">
          <cell r="A3723" t="str">
            <v>1;G;G4;B;MUE15a20</v>
          </cell>
          <cell r="B3723">
            <v>730069</v>
          </cell>
          <cell r="C3723" t="str">
            <v>G4</v>
          </cell>
          <cell r="D3723" t="str">
            <v>ZONA 4 ECONOMY</v>
          </cell>
          <cell r="E3723" t="str">
            <v>G</v>
          </cell>
          <cell r="F3723" t="str">
            <v>MUE15a20</v>
          </cell>
          <cell r="G3723" t="str">
            <v>B</v>
          </cell>
          <cell r="H3723">
            <v>90.54</v>
          </cell>
        </row>
        <row r="3724">
          <cell r="A3724" t="str">
            <v>1;G;G4;B;MUE20a25</v>
          </cell>
          <cell r="B3724">
            <v>730069</v>
          </cell>
          <cell r="C3724" t="str">
            <v>G4</v>
          </cell>
          <cell r="D3724" t="str">
            <v>ZONA 4 ECONOMY</v>
          </cell>
          <cell r="E3724" t="str">
            <v>G</v>
          </cell>
          <cell r="F3724" t="str">
            <v>MUE20a25</v>
          </cell>
          <cell r="G3724" t="str">
            <v>B</v>
          </cell>
          <cell r="H3724">
            <v>103.35</v>
          </cell>
        </row>
        <row r="3725">
          <cell r="A3725" t="str">
            <v>1;G;G4;B;MUE25a30</v>
          </cell>
          <cell r="B3725">
            <v>730069</v>
          </cell>
          <cell r="C3725" t="str">
            <v>G4</v>
          </cell>
          <cell r="D3725" t="str">
            <v>ZONA 4 ECONOMY</v>
          </cell>
          <cell r="E3725" t="str">
            <v>G</v>
          </cell>
          <cell r="F3725" t="str">
            <v>MUE25a30</v>
          </cell>
          <cell r="G3725" t="str">
            <v>B</v>
          </cell>
          <cell r="H3725">
            <v>103.35</v>
          </cell>
        </row>
        <row r="3726">
          <cell r="A3726" t="str">
            <v>1;G;G4;B;MUE30a40</v>
          </cell>
          <cell r="B3726">
            <v>730069</v>
          </cell>
          <cell r="C3726" t="str">
            <v>G4</v>
          </cell>
          <cell r="D3726" t="str">
            <v>ZONA 4 ECONOMY</v>
          </cell>
          <cell r="E3726" t="str">
            <v>G</v>
          </cell>
          <cell r="F3726" t="str">
            <v>MUE30a40</v>
          </cell>
          <cell r="G3726" t="str">
            <v>B</v>
          </cell>
          <cell r="H3726">
            <v>116.13</v>
          </cell>
        </row>
        <row r="3727">
          <cell r="A3727" t="str">
            <v>1;G;G4;B;MUE40a50</v>
          </cell>
          <cell r="B3727">
            <v>730069</v>
          </cell>
          <cell r="C3727" t="str">
            <v>G4</v>
          </cell>
          <cell r="D3727" t="str">
            <v>ZONA 4 ECONOMY</v>
          </cell>
          <cell r="E3727" t="str">
            <v>G</v>
          </cell>
          <cell r="F3727" t="str">
            <v>MUE40a50</v>
          </cell>
          <cell r="G3727" t="str">
            <v>B</v>
          </cell>
          <cell r="H3727">
            <v>128.91999999999999</v>
          </cell>
        </row>
        <row r="3728">
          <cell r="A3728" t="str">
            <v>1;G;G5;B;DOC00a02</v>
          </cell>
          <cell r="B3728">
            <v>730069</v>
          </cell>
          <cell r="C3728" t="str">
            <v>G5</v>
          </cell>
          <cell r="D3728" t="str">
            <v>ZONA 5 ECONOMY</v>
          </cell>
          <cell r="E3728" t="str">
            <v>G</v>
          </cell>
          <cell r="F3728" t="str">
            <v>DOC00a02</v>
          </cell>
          <cell r="G3728" t="str">
            <v>B</v>
          </cell>
          <cell r="H3728">
            <v>69.739999999999995</v>
          </cell>
        </row>
        <row r="3729">
          <cell r="A3729" t="str">
            <v>1;G;G5;B;DOC02a05</v>
          </cell>
          <cell r="B3729">
            <v>730069</v>
          </cell>
          <cell r="C3729" t="str">
            <v>G5</v>
          </cell>
          <cell r="D3729" t="str">
            <v>ZONA 5 ECONOMY</v>
          </cell>
          <cell r="E3729" t="str">
            <v>G</v>
          </cell>
          <cell r="F3729" t="str">
            <v>DOC02a05</v>
          </cell>
          <cell r="G3729" t="str">
            <v>B</v>
          </cell>
          <cell r="H3729">
            <v>75.209999999999994</v>
          </cell>
        </row>
        <row r="3730">
          <cell r="A3730" t="str">
            <v>1;G;G5;B;DOC05a10</v>
          </cell>
          <cell r="B3730">
            <v>730069</v>
          </cell>
          <cell r="C3730" t="str">
            <v>G5</v>
          </cell>
          <cell r="D3730" t="str">
            <v>ZONA 5 ECONOMY</v>
          </cell>
          <cell r="E3730" t="str">
            <v>G</v>
          </cell>
          <cell r="F3730" t="str">
            <v>DOC05a10</v>
          </cell>
          <cell r="G3730" t="str">
            <v>B</v>
          </cell>
          <cell r="H3730">
            <v>84.85</v>
          </cell>
        </row>
        <row r="3731">
          <cell r="A3731" t="str">
            <v>1;G;G5;B;DOC10a15</v>
          </cell>
          <cell r="B3731">
            <v>730069</v>
          </cell>
          <cell r="C3731" t="str">
            <v>G5</v>
          </cell>
          <cell r="D3731" t="str">
            <v>ZONA 5 ECONOMY</v>
          </cell>
          <cell r="E3731" t="str">
            <v>G</v>
          </cell>
          <cell r="F3731" t="str">
            <v>DOC10a15</v>
          </cell>
          <cell r="G3731" t="str">
            <v>B</v>
          </cell>
          <cell r="H3731">
            <v>94.51</v>
          </cell>
        </row>
        <row r="3732">
          <cell r="A3732" t="str">
            <v>1;G;G5;B;DOC15a20</v>
          </cell>
          <cell r="B3732">
            <v>730069</v>
          </cell>
          <cell r="C3732" t="str">
            <v>G5</v>
          </cell>
          <cell r="D3732" t="str">
            <v>ZONA 5 ECONOMY</v>
          </cell>
          <cell r="E3732" t="str">
            <v>G</v>
          </cell>
          <cell r="F3732" t="str">
            <v>DOC15a20</v>
          </cell>
          <cell r="G3732" t="str">
            <v>B</v>
          </cell>
          <cell r="H3732">
            <v>104.13</v>
          </cell>
        </row>
        <row r="3733">
          <cell r="A3733" t="str">
            <v>1;G;G5;B;DOC20a25</v>
          </cell>
          <cell r="B3733">
            <v>730069</v>
          </cell>
          <cell r="C3733" t="str">
            <v>G5</v>
          </cell>
          <cell r="D3733" t="str">
            <v>ZONA 5 ECONOMY</v>
          </cell>
          <cell r="E3733" t="str">
            <v>G</v>
          </cell>
          <cell r="F3733" t="str">
            <v>DOC20a25</v>
          </cell>
          <cell r="G3733" t="str">
            <v>B</v>
          </cell>
          <cell r="H3733">
            <v>116.92</v>
          </cell>
        </row>
        <row r="3734">
          <cell r="A3734" t="str">
            <v>1;G;G5;B;DOC25a30</v>
          </cell>
          <cell r="B3734">
            <v>730069</v>
          </cell>
          <cell r="C3734" t="str">
            <v>G5</v>
          </cell>
          <cell r="D3734" t="str">
            <v>ZONA 5 ECONOMY</v>
          </cell>
          <cell r="E3734" t="str">
            <v>G</v>
          </cell>
          <cell r="F3734" t="str">
            <v>DOC25a30</v>
          </cell>
          <cell r="G3734" t="str">
            <v>B</v>
          </cell>
          <cell r="H3734">
            <v>116.92</v>
          </cell>
        </row>
        <row r="3735">
          <cell r="A3735" t="str">
            <v>1;G;G5;B;DOC30a40</v>
          </cell>
          <cell r="B3735">
            <v>730069</v>
          </cell>
          <cell r="C3735" t="str">
            <v>G5</v>
          </cell>
          <cell r="D3735" t="str">
            <v>ZONA 5 ECONOMY</v>
          </cell>
          <cell r="E3735" t="str">
            <v>G</v>
          </cell>
          <cell r="F3735" t="str">
            <v>DOC30a40</v>
          </cell>
          <cell r="G3735" t="str">
            <v>B</v>
          </cell>
          <cell r="H3735">
            <v>129.71</v>
          </cell>
        </row>
        <row r="3736">
          <cell r="A3736" t="str">
            <v>1;G;G5;B;DOC40a50</v>
          </cell>
          <cell r="B3736">
            <v>730069</v>
          </cell>
          <cell r="C3736" t="str">
            <v>G5</v>
          </cell>
          <cell r="D3736" t="str">
            <v>ZONA 5 ECONOMY</v>
          </cell>
          <cell r="E3736" t="str">
            <v>G</v>
          </cell>
          <cell r="F3736" t="str">
            <v>DOC40a50</v>
          </cell>
          <cell r="G3736" t="str">
            <v>B</v>
          </cell>
          <cell r="H3736">
            <v>142.5</v>
          </cell>
        </row>
        <row r="3737">
          <cell r="A3737" t="str">
            <v>1;G;G5;B;MUE00a02</v>
          </cell>
          <cell r="B3737">
            <v>730069</v>
          </cell>
          <cell r="C3737" t="str">
            <v>G5</v>
          </cell>
          <cell r="D3737" t="str">
            <v>ZONA 5 ECONOMY</v>
          </cell>
          <cell r="E3737" t="str">
            <v>G</v>
          </cell>
          <cell r="F3737" t="str">
            <v>MUE00a02</v>
          </cell>
          <cell r="G3737" t="str">
            <v>B</v>
          </cell>
          <cell r="H3737">
            <v>69.739999999999995</v>
          </cell>
        </row>
        <row r="3738">
          <cell r="A3738" t="str">
            <v>1;G;G5;B;MUE02a05</v>
          </cell>
          <cell r="B3738">
            <v>730069</v>
          </cell>
          <cell r="C3738" t="str">
            <v>G5</v>
          </cell>
          <cell r="D3738" t="str">
            <v>ZONA 5 ECONOMY</v>
          </cell>
          <cell r="E3738" t="str">
            <v>G</v>
          </cell>
          <cell r="F3738" t="str">
            <v>MUE02a05</v>
          </cell>
          <cell r="G3738" t="str">
            <v>B</v>
          </cell>
          <cell r="H3738">
            <v>75.209999999999994</v>
          </cell>
        </row>
        <row r="3739">
          <cell r="A3739" t="str">
            <v>1;G;G5;B;MUE05a10</v>
          </cell>
          <cell r="B3739">
            <v>730069</v>
          </cell>
          <cell r="C3739" t="str">
            <v>G5</v>
          </cell>
          <cell r="D3739" t="str">
            <v>ZONA 5 ECONOMY</v>
          </cell>
          <cell r="E3739" t="str">
            <v>G</v>
          </cell>
          <cell r="F3739" t="str">
            <v>MUE05a10</v>
          </cell>
          <cell r="G3739" t="str">
            <v>B</v>
          </cell>
          <cell r="H3739">
            <v>84.85</v>
          </cell>
        </row>
        <row r="3740">
          <cell r="A3740" t="str">
            <v>1;G;G5;B;MUE10a15</v>
          </cell>
          <cell r="B3740">
            <v>730069</v>
          </cell>
          <cell r="C3740" t="str">
            <v>G5</v>
          </cell>
          <cell r="D3740" t="str">
            <v>ZONA 5 ECONOMY</v>
          </cell>
          <cell r="E3740" t="str">
            <v>G</v>
          </cell>
          <cell r="F3740" t="str">
            <v>MUE10a15</v>
          </cell>
          <cell r="G3740" t="str">
            <v>B</v>
          </cell>
          <cell r="H3740">
            <v>94.51</v>
          </cell>
        </row>
        <row r="3741">
          <cell r="A3741" t="str">
            <v>1;G;G5;B;MUE15a20</v>
          </cell>
          <cell r="B3741">
            <v>730069</v>
          </cell>
          <cell r="C3741" t="str">
            <v>G5</v>
          </cell>
          <cell r="D3741" t="str">
            <v>ZONA 5 ECONOMY</v>
          </cell>
          <cell r="E3741" t="str">
            <v>G</v>
          </cell>
          <cell r="F3741" t="str">
            <v>MUE15a20</v>
          </cell>
          <cell r="G3741" t="str">
            <v>B</v>
          </cell>
          <cell r="H3741">
            <v>104.13</v>
          </cell>
        </row>
        <row r="3742">
          <cell r="A3742" t="str">
            <v>1;G;G5;B;MUE20a25</v>
          </cell>
          <cell r="B3742">
            <v>730069</v>
          </cell>
          <cell r="C3742" t="str">
            <v>G5</v>
          </cell>
          <cell r="D3742" t="str">
            <v>ZONA 5 ECONOMY</v>
          </cell>
          <cell r="E3742" t="str">
            <v>G</v>
          </cell>
          <cell r="F3742" t="str">
            <v>MUE20a25</v>
          </cell>
          <cell r="G3742" t="str">
            <v>B</v>
          </cell>
          <cell r="H3742">
            <v>116.92</v>
          </cell>
        </row>
        <row r="3743">
          <cell r="A3743" t="str">
            <v>1;G;G5;B;MUE25a30</v>
          </cell>
          <cell r="B3743">
            <v>730069</v>
          </cell>
          <cell r="C3743" t="str">
            <v>G5</v>
          </cell>
          <cell r="D3743" t="str">
            <v>ZONA 5 ECONOMY</v>
          </cell>
          <cell r="E3743" t="str">
            <v>G</v>
          </cell>
          <cell r="F3743" t="str">
            <v>MUE25a30</v>
          </cell>
          <cell r="G3743" t="str">
            <v>B</v>
          </cell>
          <cell r="H3743">
            <v>116.92</v>
          </cell>
        </row>
        <row r="3744">
          <cell r="A3744" t="str">
            <v>1;G;G5;B;MUE30a40</v>
          </cell>
          <cell r="B3744">
            <v>730069</v>
          </cell>
          <cell r="C3744" t="str">
            <v>G5</v>
          </cell>
          <cell r="D3744" t="str">
            <v>ZONA 5 ECONOMY</v>
          </cell>
          <cell r="E3744" t="str">
            <v>G</v>
          </cell>
          <cell r="F3744" t="str">
            <v>MUE30a40</v>
          </cell>
          <cell r="G3744" t="str">
            <v>B</v>
          </cell>
          <cell r="H3744">
            <v>129.71</v>
          </cell>
        </row>
        <row r="3745">
          <cell r="A3745" t="str">
            <v>1;G;G5;B;MUE40a50</v>
          </cell>
          <cell r="B3745">
            <v>730069</v>
          </cell>
          <cell r="C3745" t="str">
            <v>G5</v>
          </cell>
          <cell r="D3745" t="str">
            <v>ZONA 5 ECONOMY</v>
          </cell>
          <cell r="E3745" t="str">
            <v>G</v>
          </cell>
          <cell r="F3745" t="str">
            <v>MUE40a50</v>
          </cell>
          <cell r="G3745" t="str">
            <v>B</v>
          </cell>
          <cell r="H3745">
            <v>142.5</v>
          </cell>
        </row>
        <row r="3746">
          <cell r="A3746" t="str">
            <v>1;H;H1;B;DOC00a01</v>
          </cell>
          <cell r="B3746">
            <v>730069</v>
          </cell>
          <cell r="C3746" t="str">
            <v>H1</v>
          </cell>
          <cell r="D3746" t="str">
            <v>ZONA 1 PLUSPACK EUROPA</v>
          </cell>
          <cell r="E3746" t="str">
            <v>H</v>
          </cell>
          <cell r="F3746" t="str">
            <v>DOC00a01</v>
          </cell>
          <cell r="G3746" t="str">
            <v>B</v>
          </cell>
          <cell r="H3746">
            <v>15.3</v>
          </cell>
        </row>
        <row r="3747">
          <cell r="A3747" t="str">
            <v>1;H;H1;B;DOC01a02</v>
          </cell>
          <cell r="B3747">
            <v>730069</v>
          </cell>
          <cell r="C3747" t="str">
            <v>H1</v>
          </cell>
          <cell r="D3747" t="str">
            <v>ZONA 1 PLUSPACK EUROPA</v>
          </cell>
          <cell r="E3747" t="str">
            <v>H</v>
          </cell>
          <cell r="F3747" t="str">
            <v>DOC01a02</v>
          </cell>
          <cell r="G3747" t="str">
            <v>B</v>
          </cell>
          <cell r="H3747">
            <v>16.739999999999998</v>
          </cell>
        </row>
        <row r="3748">
          <cell r="A3748" t="str">
            <v>1;H;H1;B;DOC02a05</v>
          </cell>
          <cell r="B3748">
            <v>730069</v>
          </cell>
          <cell r="C3748" t="str">
            <v>H1</v>
          </cell>
          <cell r="D3748" t="str">
            <v>ZONA 1 PLUSPACK EUROPA</v>
          </cell>
          <cell r="E3748" t="str">
            <v>H</v>
          </cell>
          <cell r="F3748" t="str">
            <v>DOC02a05</v>
          </cell>
          <cell r="G3748" t="str">
            <v>B</v>
          </cell>
          <cell r="H3748">
            <v>21.07</v>
          </cell>
        </row>
        <row r="3749">
          <cell r="A3749" t="str">
            <v>1;H;H1;B;DOC05a10</v>
          </cell>
          <cell r="B3749">
            <v>730069</v>
          </cell>
          <cell r="C3749" t="str">
            <v>H1</v>
          </cell>
          <cell r="D3749" t="str">
            <v>ZONA 1 PLUSPACK EUROPA</v>
          </cell>
          <cell r="E3749" t="str">
            <v>H</v>
          </cell>
          <cell r="F3749" t="str">
            <v>DOC05a10</v>
          </cell>
          <cell r="G3749" t="str">
            <v>B</v>
          </cell>
          <cell r="H3749">
            <v>27.76</v>
          </cell>
        </row>
        <row r="3750">
          <cell r="A3750" t="str">
            <v>1;H;H1;B;DOC10a15</v>
          </cell>
          <cell r="B3750">
            <v>730069</v>
          </cell>
          <cell r="C3750" t="str">
            <v>H1</v>
          </cell>
          <cell r="D3750" t="str">
            <v>ZONA 1 PLUSPACK EUROPA</v>
          </cell>
          <cell r="E3750" t="str">
            <v>H</v>
          </cell>
          <cell r="F3750" t="str">
            <v>DOC10a15</v>
          </cell>
          <cell r="G3750" t="str">
            <v>B</v>
          </cell>
          <cell r="H3750">
            <v>37.99</v>
          </cell>
        </row>
        <row r="3751">
          <cell r="A3751" t="str">
            <v>1;H;H1;B;DOC15a20</v>
          </cell>
          <cell r="B3751">
            <v>730069</v>
          </cell>
          <cell r="C3751" t="str">
            <v>H1</v>
          </cell>
          <cell r="D3751" t="str">
            <v>ZONA 1 PLUSPACK EUROPA</v>
          </cell>
          <cell r="E3751" t="str">
            <v>H</v>
          </cell>
          <cell r="F3751" t="str">
            <v>DOC15a20</v>
          </cell>
          <cell r="G3751" t="str">
            <v>B</v>
          </cell>
          <cell r="H3751">
            <v>46.42</v>
          </cell>
        </row>
        <row r="3752">
          <cell r="A3752" t="str">
            <v>1;H;H1;B;MUE00a01</v>
          </cell>
          <cell r="B3752">
            <v>730069</v>
          </cell>
          <cell r="C3752" t="str">
            <v>H1</v>
          </cell>
          <cell r="D3752" t="str">
            <v>ZONA 1 PLUSPACK EUROPA</v>
          </cell>
          <cell r="E3752" t="str">
            <v>H</v>
          </cell>
          <cell r="F3752" t="str">
            <v>MUE00a01</v>
          </cell>
          <cell r="G3752" t="str">
            <v>B</v>
          </cell>
          <cell r="H3752">
            <v>15.3</v>
          </cell>
        </row>
        <row r="3753">
          <cell r="A3753" t="str">
            <v>1;H;H1;B;MUE01a02</v>
          </cell>
          <cell r="B3753">
            <v>730069</v>
          </cell>
          <cell r="C3753" t="str">
            <v>H1</v>
          </cell>
          <cell r="D3753" t="str">
            <v>ZONA 1 PLUSPACK EUROPA</v>
          </cell>
          <cell r="E3753" t="str">
            <v>H</v>
          </cell>
          <cell r="F3753" t="str">
            <v>MUE01a02</v>
          </cell>
          <cell r="G3753" t="str">
            <v>B</v>
          </cell>
          <cell r="H3753">
            <v>16.739999999999998</v>
          </cell>
        </row>
        <row r="3754">
          <cell r="A3754" t="str">
            <v>1;H;H1;B;MUE02a05</v>
          </cell>
          <cell r="B3754">
            <v>730069</v>
          </cell>
          <cell r="C3754" t="str">
            <v>H1</v>
          </cell>
          <cell r="D3754" t="str">
            <v>ZONA 1 PLUSPACK EUROPA</v>
          </cell>
          <cell r="E3754" t="str">
            <v>H</v>
          </cell>
          <cell r="F3754" t="str">
            <v>MUE02a05</v>
          </cell>
          <cell r="G3754" t="str">
            <v>B</v>
          </cell>
          <cell r="H3754">
            <v>21.07</v>
          </cell>
        </row>
        <row r="3755">
          <cell r="A3755" t="str">
            <v>1;H;H1;B;MUE05a10</v>
          </cell>
          <cell r="B3755">
            <v>730069</v>
          </cell>
          <cell r="C3755" t="str">
            <v>H1</v>
          </cell>
          <cell r="D3755" t="str">
            <v>ZONA 1 PLUSPACK EUROPA</v>
          </cell>
          <cell r="E3755" t="str">
            <v>H</v>
          </cell>
          <cell r="F3755" t="str">
            <v>MUE05a10</v>
          </cell>
          <cell r="G3755" t="str">
            <v>B</v>
          </cell>
          <cell r="H3755">
            <v>27.76</v>
          </cell>
        </row>
        <row r="3756">
          <cell r="A3756" t="str">
            <v>1;H;H1;B;MUE10a15</v>
          </cell>
          <cell r="B3756">
            <v>730069</v>
          </cell>
          <cell r="C3756" t="str">
            <v>H1</v>
          </cell>
          <cell r="D3756" t="str">
            <v>ZONA 1 PLUSPACK EUROPA</v>
          </cell>
          <cell r="E3756" t="str">
            <v>H</v>
          </cell>
          <cell r="F3756" t="str">
            <v>MUE10a15</v>
          </cell>
          <cell r="G3756" t="str">
            <v>B</v>
          </cell>
          <cell r="H3756">
            <v>37.99</v>
          </cell>
        </row>
        <row r="3757">
          <cell r="A3757" t="str">
            <v>1;H;H1;B;MUE15a20</v>
          </cell>
          <cell r="B3757">
            <v>730069</v>
          </cell>
          <cell r="C3757" t="str">
            <v>H1</v>
          </cell>
          <cell r="D3757" t="str">
            <v>ZONA 1 PLUSPACK EUROPA</v>
          </cell>
          <cell r="E3757" t="str">
            <v>H</v>
          </cell>
          <cell r="F3757" t="str">
            <v>MUE15a20</v>
          </cell>
          <cell r="G3757" t="str">
            <v>B</v>
          </cell>
          <cell r="H3757">
            <v>46.42</v>
          </cell>
        </row>
        <row r="3758">
          <cell r="A3758" t="str">
            <v>1;H;H2;B;DOC00a01</v>
          </cell>
          <cell r="B3758">
            <v>730069</v>
          </cell>
          <cell r="C3758" t="str">
            <v>H2</v>
          </cell>
          <cell r="D3758" t="str">
            <v>ZONA 2 PLUSPACK EUROPA</v>
          </cell>
          <cell r="E3758" t="str">
            <v>H</v>
          </cell>
          <cell r="F3758" t="str">
            <v>DOC00a01</v>
          </cell>
          <cell r="G3758" t="str">
            <v>B</v>
          </cell>
          <cell r="H3758">
            <v>18.93</v>
          </cell>
        </row>
        <row r="3759">
          <cell r="A3759" t="str">
            <v>1;H;H2;B;DOC01a02</v>
          </cell>
          <cell r="B3759">
            <v>730069</v>
          </cell>
          <cell r="C3759" t="str">
            <v>H2</v>
          </cell>
          <cell r="D3759" t="str">
            <v>ZONA 2 PLUSPACK EUROPA</v>
          </cell>
          <cell r="E3759" t="str">
            <v>H</v>
          </cell>
          <cell r="F3759" t="str">
            <v>DOC01a02</v>
          </cell>
          <cell r="G3759" t="str">
            <v>B</v>
          </cell>
          <cell r="H3759">
            <v>21.02</v>
          </cell>
        </row>
        <row r="3760">
          <cell r="A3760" t="str">
            <v>1;H;H2;B;DOC02a05</v>
          </cell>
          <cell r="B3760">
            <v>730069</v>
          </cell>
          <cell r="C3760" t="str">
            <v>H2</v>
          </cell>
          <cell r="D3760" t="str">
            <v>ZONA 2 PLUSPACK EUROPA</v>
          </cell>
          <cell r="E3760" t="str">
            <v>H</v>
          </cell>
          <cell r="F3760" t="str">
            <v>DOC02a05</v>
          </cell>
          <cell r="G3760" t="str">
            <v>B</v>
          </cell>
          <cell r="H3760">
            <v>26.19</v>
          </cell>
        </row>
        <row r="3761">
          <cell r="A3761" t="str">
            <v>1;H;H2;B;DOC05a10</v>
          </cell>
          <cell r="B3761">
            <v>730069</v>
          </cell>
          <cell r="C3761" t="str">
            <v>H2</v>
          </cell>
          <cell r="D3761" t="str">
            <v>ZONA 2 PLUSPACK EUROPA</v>
          </cell>
          <cell r="E3761" t="str">
            <v>H</v>
          </cell>
          <cell r="F3761" t="str">
            <v>DOC05a10</v>
          </cell>
          <cell r="G3761" t="str">
            <v>B</v>
          </cell>
          <cell r="H3761">
            <v>33.590000000000003</v>
          </cell>
        </row>
        <row r="3762">
          <cell r="A3762" t="str">
            <v>1;H;H2;B;DOC10a15</v>
          </cell>
          <cell r="B3762">
            <v>730069</v>
          </cell>
          <cell r="C3762" t="str">
            <v>H2</v>
          </cell>
          <cell r="D3762" t="str">
            <v>ZONA 2 PLUSPACK EUROPA</v>
          </cell>
          <cell r="E3762" t="str">
            <v>H</v>
          </cell>
          <cell r="F3762" t="str">
            <v>DOC10a15</v>
          </cell>
          <cell r="G3762" t="str">
            <v>B</v>
          </cell>
          <cell r="H3762">
            <v>44.14</v>
          </cell>
        </row>
        <row r="3763">
          <cell r="A3763" t="str">
            <v>1;H;H2;B;DOC15a20</v>
          </cell>
          <cell r="B3763">
            <v>730069</v>
          </cell>
          <cell r="C3763" t="str">
            <v>H2</v>
          </cell>
          <cell r="D3763" t="str">
            <v>ZONA 2 PLUSPACK EUROPA</v>
          </cell>
          <cell r="E3763" t="str">
            <v>H</v>
          </cell>
          <cell r="F3763" t="str">
            <v>DOC15a20</v>
          </cell>
          <cell r="G3763" t="str">
            <v>B</v>
          </cell>
          <cell r="H3763">
            <v>51.39</v>
          </cell>
        </row>
        <row r="3764">
          <cell r="A3764" t="str">
            <v>1;H;H2;B;MUE00a01</v>
          </cell>
          <cell r="B3764">
            <v>730069</v>
          </cell>
          <cell r="C3764" t="str">
            <v>H2</v>
          </cell>
          <cell r="D3764" t="str">
            <v>ZONA 2 PLUSPACK EUROPA</v>
          </cell>
          <cell r="E3764" t="str">
            <v>H</v>
          </cell>
          <cell r="F3764" t="str">
            <v>MUE00a01</v>
          </cell>
          <cell r="G3764" t="str">
            <v>B</v>
          </cell>
          <cell r="H3764">
            <v>18.93</v>
          </cell>
        </row>
        <row r="3765">
          <cell r="A3765" t="str">
            <v>1;H;H2;B;MUE01a02</v>
          </cell>
          <cell r="B3765">
            <v>730069</v>
          </cell>
          <cell r="C3765" t="str">
            <v>H2</v>
          </cell>
          <cell r="D3765" t="str">
            <v>ZONA 2 PLUSPACK EUROPA</v>
          </cell>
          <cell r="E3765" t="str">
            <v>H</v>
          </cell>
          <cell r="F3765" t="str">
            <v>MUE01a02</v>
          </cell>
          <cell r="G3765" t="str">
            <v>B</v>
          </cell>
          <cell r="H3765">
            <v>21.02</v>
          </cell>
        </row>
        <row r="3766">
          <cell r="A3766" t="str">
            <v>1;H;H2;B;MUE02a05</v>
          </cell>
          <cell r="B3766">
            <v>730069</v>
          </cell>
          <cell r="C3766" t="str">
            <v>H2</v>
          </cell>
          <cell r="D3766" t="str">
            <v>ZONA 2 PLUSPACK EUROPA</v>
          </cell>
          <cell r="E3766" t="str">
            <v>H</v>
          </cell>
          <cell r="F3766" t="str">
            <v>MUE02a05</v>
          </cell>
          <cell r="G3766" t="str">
            <v>B</v>
          </cell>
          <cell r="H3766">
            <v>26.19</v>
          </cell>
        </row>
        <row r="3767">
          <cell r="A3767" t="str">
            <v>1;H;H2;B;MUE05a10</v>
          </cell>
          <cell r="B3767">
            <v>730069</v>
          </cell>
          <cell r="C3767" t="str">
            <v>H2</v>
          </cell>
          <cell r="D3767" t="str">
            <v>ZONA 2 PLUSPACK EUROPA</v>
          </cell>
          <cell r="E3767" t="str">
            <v>H</v>
          </cell>
          <cell r="F3767" t="str">
            <v>MUE05a10</v>
          </cell>
          <cell r="G3767" t="str">
            <v>B</v>
          </cell>
          <cell r="H3767">
            <v>33.590000000000003</v>
          </cell>
        </row>
        <row r="3768">
          <cell r="A3768" t="str">
            <v>1;H;H2;B;MUE10a15</v>
          </cell>
          <cell r="B3768">
            <v>730069</v>
          </cell>
          <cell r="C3768" t="str">
            <v>H2</v>
          </cell>
          <cell r="D3768" t="str">
            <v>ZONA 2 PLUSPACK EUROPA</v>
          </cell>
          <cell r="E3768" t="str">
            <v>H</v>
          </cell>
          <cell r="F3768" t="str">
            <v>MUE10a15</v>
          </cell>
          <cell r="G3768" t="str">
            <v>B</v>
          </cell>
          <cell r="H3768">
            <v>44.14</v>
          </cell>
        </row>
        <row r="3769">
          <cell r="A3769" t="str">
            <v>1;H;H2;B;MUE15a20</v>
          </cell>
          <cell r="B3769">
            <v>730069</v>
          </cell>
          <cell r="C3769" t="str">
            <v>H2</v>
          </cell>
          <cell r="D3769" t="str">
            <v>ZONA 2 PLUSPACK EUROPA</v>
          </cell>
          <cell r="E3769" t="str">
            <v>H</v>
          </cell>
          <cell r="F3769" t="str">
            <v>MUE15a20</v>
          </cell>
          <cell r="G3769" t="str">
            <v>B</v>
          </cell>
          <cell r="H3769">
            <v>51.39</v>
          </cell>
        </row>
        <row r="3770">
          <cell r="A3770" t="str">
            <v>1;H;H3;B;DOC00a01</v>
          </cell>
          <cell r="B3770">
            <v>730069</v>
          </cell>
          <cell r="C3770" t="str">
            <v>H3</v>
          </cell>
          <cell r="D3770" t="str">
            <v>ZONA 3 PLUSPACK EUROPA</v>
          </cell>
          <cell r="E3770" t="str">
            <v>H</v>
          </cell>
          <cell r="F3770" t="str">
            <v>DOC00a01</v>
          </cell>
          <cell r="G3770" t="str">
            <v>B</v>
          </cell>
          <cell r="H3770">
            <v>24.44</v>
          </cell>
        </row>
        <row r="3771">
          <cell r="A3771" t="str">
            <v>1;H;H3;B;DOC01a02</v>
          </cell>
          <cell r="B3771">
            <v>730069</v>
          </cell>
          <cell r="C3771" t="str">
            <v>H3</v>
          </cell>
          <cell r="D3771" t="str">
            <v>ZONA 3 PLUSPACK EUROPA</v>
          </cell>
          <cell r="E3771" t="str">
            <v>H</v>
          </cell>
          <cell r="F3771" t="str">
            <v>DOC01a02</v>
          </cell>
          <cell r="G3771" t="str">
            <v>B</v>
          </cell>
          <cell r="H3771">
            <v>25.32</v>
          </cell>
        </row>
        <row r="3772">
          <cell r="A3772" t="str">
            <v>1;H;H3;B;DOC02a05</v>
          </cell>
          <cell r="B3772">
            <v>730069</v>
          </cell>
          <cell r="C3772" t="str">
            <v>H3</v>
          </cell>
          <cell r="D3772" t="str">
            <v>ZONA 3 PLUSPACK EUROPA</v>
          </cell>
          <cell r="E3772" t="str">
            <v>H</v>
          </cell>
          <cell r="F3772" t="str">
            <v>DOC02a05</v>
          </cell>
          <cell r="G3772" t="str">
            <v>B</v>
          </cell>
          <cell r="H3772">
            <v>31.71</v>
          </cell>
        </row>
        <row r="3773">
          <cell r="A3773" t="str">
            <v>1;H;H3;B;DOC05a10</v>
          </cell>
          <cell r="B3773">
            <v>730069</v>
          </cell>
          <cell r="C3773" t="str">
            <v>H3</v>
          </cell>
          <cell r="D3773" t="str">
            <v>ZONA 3 PLUSPACK EUROPA</v>
          </cell>
          <cell r="E3773" t="str">
            <v>H</v>
          </cell>
          <cell r="F3773" t="str">
            <v>DOC05a10</v>
          </cell>
          <cell r="G3773" t="str">
            <v>B</v>
          </cell>
          <cell r="H3773">
            <v>39.729999999999997</v>
          </cell>
        </row>
        <row r="3774">
          <cell r="A3774" t="str">
            <v>1;H;H3;B;DOC10a15</v>
          </cell>
          <cell r="B3774">
            <v>730069</v>
          </cell>
          <cell r="C3774" t="str">
            <v>H3</v>
          </cell>
          <cell r="D3774" t="str">
            <v>ZONA 3 PLUSPACK EUROPA</v>
          </cell>
          <cell r="E3774" t="str">
            <v>H</v>
          </cell>
          <cell r="F3774" t="str">
            <v>DOC10a15</v>
          </cell>
          <cell r="G3774" t="str">
            <v>B</v>
          </cell>
          <cell r="H3774">
            <v>51.21</v>
          </cell>
        </row>
        <row r="3775">
          <cell r="A3775" t="str">
            <v>1;H;H3;B;DOC15a20</v>
          </cell>
          <cell r="B3775">
            <v>730069</v>
          </cell>
          <cell r="C3775" t="str">
            <v>H3</v>
          </cell>
          <cell r="D3775" t="str">
            <v>ZONA 3 PLUSPACK EUROPA</v>
          </cell>
          <cell r="E3775" t="str">
            <v>H</v>
          </cell>
          <cell r="F3775" t="str">
            <v>DOC15a20</v>
          </cell>
          <cell r="G3775" t="str">
            <v>B</v>
          </cell>
          <cell r="H3775">
            <v>61.29</v>
          </cell>
        </row>
        <row r="3776">
          <cell r="A3776" t="str">
            <v>1;H;H3;B;MUE00a01</v>
          </cell>
          <cell r="B3776">
            <v>730069</v>
          </cell>
          <cell r="C3776" t="str">
            <v>H3</v>
          </cell>
          <cell r="D3776" t="str">
            <v>ZONA 3 PLUSPACK EUROPA</v>
          </cell>
          <cell r="E3776" t="str">
            <v>H</v>
          </cell>
          <cell r="F3776" t="str">
            <v>MUE00a01</v>
          </cell>
          <cell r="G3776" t="str">
            <v>B</v>
          </cell>
          <cell r="H3776">
            <v>24.44</v>
          </cell>
        </row>
        <row r="3777">
          <cell r="A3777" t="str">
            <v>1;H;H3;B;MUE01a02</v>
          </cell>
          <cell r="B3777">
            <v>730069</v>
          </cell>
          <cell r="C3777" t="str">
            <v>H3</v>
          </cell>
          <cell r="D3777" t="str">
            <v>ZONA 3 PLUSPACK EUROPA</v>
          </cell>
          <cell r="E3777" t="str">
            <v>H</v>
          </cell>
          <cell r="F3777" t="str">
            <v>MUE01a02</v>
          </cell>
          <cell r="G3777" t="str">
            <v>B</v>
          </cell>
          <cell r="H3777">
            <v>25.32</v>
          </cell>
        </row>
        <row r="3778">
          <cell r="A3778" t="str">
            <v>1;H;H3;B;MUE02a05</v>
          </cell>
          <cell r="B3778">
            <v>730069</v>
          </cell>
          <cell r="C3778" t="str">
            <v>H3</v>
          </cell>
          <cell r="D3778" t="str">
            <v>ZONA 3 PLUSPACK EUROPA</v>
          </cell>
          <cell r="E3778" t="str">
            <v>H</v>
          </cell>
          <cell r="F3778" t="str">
            <v>MUE02a05</v>
          </cell>
          <cell r="G3778" t="str">
            <v>B</v>
          </cell>
          <cell r="H3778">
            <v>31.71</v>
          </cell>
        </row>
        <row r="3779">
          <cell r="A3779" t="str">
            <v>1;H;H3;B;MUE05a10</v>
          </cell>
          <cell r="B3779">
            <v>730069</v>
          </cell>
          <cell r="C3779" t="str">
            <v>H3</v>
          </cell>
          <cell r="D3779" t="str">
            <v>ZONA 3 PLUSPACK EUROPA</v>
          </cell>
          <cell r="E3779" t="str">
            <v>H</v>
          </cell>
          <cell r="F3779" t="str">
            <v>MUE05a10</v>
          </cell>
          <cell r="G3779" t="str">
            <v>B</v>
          </cell>
          <cell r="H3779">
            <v>39.729999999999997</v>
          </cell>
        </row>
        <row r="3780">
          <cell r="A3780" t="str">
            <v>1;H;H3;B;MUE10a15</v>
          </cell>
          <cell r="B3780">
            <v>730069</v>
          </cell>
          <cell r="C3780" t="str">
            <v>H3</v>
          </cell>
          <cell r="D3780" t="str">
            <v>ZONA 3 PLUSPACK EUROPA</v>
          </cell>
          <cell r="E3780" t="str">
            <v>H</v>
          </cell>
          <cell r="F3780" t="str">
            <v>MUE10a15</v>
          </cell>
          <cell r="G3780" t="str">
            <v>B</v>
          </cell>
          <cell r="H3780">
            <v>51.21</v>
          </cell>
        </row>
        <row r="3781">
          <cell r="A3781" t="str">
            <v>1;H;H3;B;MUE15a20</v>
          </cell>
          <cell r="B3781">
            <v>730069</v>
          </cell>
          <cell r="C3781" t="str">
            <v>H3</v>
          </cell>
          <cell r="D3781" t="str">
            <v>ZONA 3 PLUSPACK EUROPA</v>
          </cell>
          <cell r="E3781" t="str">
            <v>H</v>
          </cell>
          <cell r="F3781" t="str">
            <v>MUE15a20</v>
          </cell>
          <cell r="G3781" t="str">
            <v>B</v>
          </cell>
          <cell r="H3781">
            <v>61.29</v>
          </cell>
        </row>
        <row r="3782">
          <cell r="A3782" t="str">
            <v>1;08;IA;B;BAG</v>
          </cell>
          <cell r="B3782">
            <v>730069</v>
          </cell>
          <cell r="C3782" t="str">
            <v>IA</v>
          </cell>
          <cell r="D3782" t="str">
            <v>INTRAISLAS SÃO MIGUEL</v>
          </cell>
          <cell r="E3782" t="str">
            <v>08</v>
          </cell>
          <cell r="F3782" t="str">
            <v>BAG</v>
          </cell>
          <cell r="G3782" t="str">
            <v>B</v>
          </cell>
          <cell r="H3782">
            <v>7.22</v>
          </cell>
        </row>
        <row r="3783">
          <cell r="A3783" t="str">
            <v>1;08;IA;B;DOCS</v>
          </cell>
          <cell r="B3783">
            <v>730069</v>
          </cell>
          <cell r="C3783" t="str">
            <v>IA</v>
          </cell>
          <cell r="D3783" t="str">
            <v>INTRAISLAS SÃO MIGUEL</v>
          </cell>
          <cell r="E3783" t="str">
            <v>08</v>
          </cell>
          <cell r="F3783" t="str">
            <v>DOCS</v>
          </cell>
          <cell r="G3783" t="str">
            <v>B</v>
          </cell>
          <cell r="H3783">
            <v>7.22</v>
          </cell>
        </row>
        <row r="3784">
          <cell r="A3784" t="str">
            <v>1;08;IA;B;PAQ00a02</v>
          </cell>
          <cell r="B3784">
            <v>730069</v>
          </cell>
          <cell r="C3784" t="str">
            <v>IA</v>
          </cell>
          <cell r="D3784" t="str">
            <v>INTRAISLAS SÃO MIGUEL</v>
          </cell>
          <cell r="E3784" t="str">
            <v>08</v>
          </cell>
          <cell r="F3784" t="str">
            <v>PAQ00a02</v>
          </cell>
          <cell r="G3784" t="str">
            <v>B</v>
          </cell>
          <cell r="H3784">
            <v>7.22</v>
          </cell>
        </row>
        <row r="3785">
          <cell r="A3785" t="str">
            <v>1;08;IA;B;PAQ02a05</v>
          </cell>
          <cell r="B3785">
            <v>730069</v>
          </cell>
          <cell r="C3785" t="str">
            <v>IA</v>
          </cell>
          <cell r="D3785" t="str">
            <v>INTRAISLAS SÃO MIGUEL</v>
          </cell>
          <cell r="E3785" t="str">
            <v>08</v>
          </cell>
          <cell r="F3785" t="str">
            <v>PAQ02a05</v>
          </cell>
          <cell r="G3785" t="str">
            <v>B</v>
          </cell>
          <cell r="H3785">
            <v>8.0500000000000007</v>
          </cell>
        </row>
        <row r="3786">
          <cell r="A3786" t="str">
            <v>1;08;IA;B;PAQ05a10</v>
          </cell>
          <cell r="B3786">
            <v>730069</v>
          </cell>
          <cell r="C3786" t="str">
            <v>IA</v>
          </cell>
          <cell r="D3786" t="str">
            <v>INTRAISLAS SÃO MIGUEL</v>
          </cell>
          <cell r="E3786" t="str">
            <v>08</v>
          </cell>
          <cell r="F3786" t="str">
            <v>PAQ05a10</v>
          </cell>
          <cell r="G3786" t="str">
            <v>B</v>
          </cell>
          <cell r="H3786">
            <v>10.25</v>
          </cell>
        </row>
        <row r="3787">
          <cell r="A3787" t="str">
            <v>1;08;IA;B;PAQ10a15</v>
          </cell>
          <cell r="B3787">
            <v>730069</v>
          </cell>
          <cell r="C3787" t="str">
            <v>IA</v>
          </cell>
          <cell r="D3787" t="str">
            <v>INTRAISLAS SÃO MIGUEL</v>
          </cell>
          <cell r="E3787" t="str">
            <v>08</v>
          </cell>
          <cell r="F3787" t="str">
            <v>PAQ10a15</v>
          </cell>
          <cell r="G3787" t="str">
            <v>B</v>
          </cell>
          <cell r="H3787">
            <v>14.51</v>
          </cell>
        </row>
        <row r="3788">
          <cell r="A3788" t="str">
            <v>1;08;IA;B;PAQ15a20</v>
          </cell>
          <cell r="B3788">
            <v>730069</v>
          </cell>
          <cell r="C3788" t="str">
            <v>IA</v>
          </cell>
          <cell r="D3788" t="str">
            <v>INTRAISLAS SÃO MIGUEL</v>
          </cell>
          <cell r="E3788" t="str">
            <v>08</v>
          </cell>
          <cell r="F3788" t="str">
            <v>PAQ15a20</v>
          </cell>
          <cell r="G3788" t="str">
            <v>B</v>
          </cell>
          <cell r="H3788">
            <v>18.77</v>
          </cell>
        </row>
        <row r="3789">
          <cell r="A3789" t="str">
            <v>1;08;IA;B;PAQ20a25</v>
          </cell>
          <cell r="B3789">
            <v>730069</v>
          </cell>
          <cell r="C3789" t="str">
            <v>IA</v>
          </cell>
          <cell r="D3789" t="str">
            <v>INTRAISLAS SÃO MIGUEL</v>
          </cell>
          <cell r="E3789" t="str">
            <v>08</v>
          </cell>
          <cell r="F3789" t="str">
            <v>PAQ20a25</v>
          </cell>
          <cell r="G3789" t="str">
            <v>B</v>
          </cell>
          <cell r="H3789">
            <v>23.04</v>
          </cell>
        </row>
        <row r="3790">
          <cell r="A3790" t="str">
            <v>1;08;IA;B;PAQ25a30</v>
          </cell>
          <cell r="B3790">
            <v>730069</v>
          </cell>
          <cell r="C3790" t="str">
            <v>IA</v>
          </cell>
          <cell r="D3790" t="str">
            <v>INTRAISLAS SÃO MIGUEL</v>
          </cell>
          <cell r="E3790" t="str">
            <v>08</v>
          </cell>
          <cell r="F3790" t="str">
            <v>PAQ25a30</v>
          </cell>
          <cell r="G3790" t="str">
            <v>B</v>
          </cell>
          <cell r="H3790">
            <v>27.3</v>
          </cell>
        </row>
        <row r="3791">
          <cell r="A3791" t="str">
            <v>1;08;IA;B;PAQ30a35</v>
          </cell>
          <cell r="B3791">
            <v>730069</v>
          </cell>
          <cell r="C3791" t="str">
            <v>IA</v>
          </cell>
          <cell r="D3791" t="str">
            <v>INTRAISLAS SÃO MIGUEL</v>
          </cell>
          <cell r="E3791" t="str">
            <v>08</v>
          </cell>
          <cell r="F3791" t="str">
            <v>PAQ30a35</v>
          </cell>
          <cell r="G3791" t="str">
            <v>B</v>
          </cell>
          <cell r="H3791">
            <v>31.55</v>
          </cell>
        </row>
        <row r="3792">
          <cell r="A3792" t="str">
            <v>1;08;IA;B;PAQ35a40</v>
          </cell>
          <cell r="B3792">
            <v>730069</v>
          </cell>
          <cell r="C3792" t="str">
            <v>IA</v>
          </cell>
          <cell r="D3792" t="str">
            <v>INTRAISLAS SÃO MIGUEL</v>
          </cell>
          <cell r="E3792" t="str">
            <v>08</v>
          </cell>
          <cell r="F3792" t="str">
            <v>PAQ35a40</v>
          </cell>
          <cell r="G3792" t="str">
            <v>B</v>
          </cell>
          <cell r="H3792">
            <v>35.81</v>
          </cell>
        </row>
        <row r="3793">
          <cell r="A3793" t="str">
            <v>1;08;IA;F;</v>
          </cell>
          <cell r="B3793">
            <v>730069</v>
          </cell>
          <cell r="C3793" t="str">
            <v>IA</v>
          </cell>
          <cell r="D3793" t="str">
            <v>INTRAISLAS SÃO MIGUEL</v>
          </cell>
          <cell r="E3793" t="str">
            <v>08</v>
          </cell>
          <cell r="F3793" t="str">
            <v/>
          </cell>
          <cell r="G3793" t="str">
            <v>F</v>
          </cell>
          <cell r="H3793">
            <v>4.87</v>
          </cell>
        </row>
        <row r="3794">
          <cell r="A3794" t="str">
            <v>1;08;IA;E;</v>
          </cell>
          <cell r="B3794">
            <v>730069</v>
          </cell>
          <cell r="C3794" t="str">
            <v>IA</v>
          </cell>
          <cell r="D3794" t="str">
            <v>INTRAISLAS SÃO MIGUEL</v>
          </cell>
          <cell r="E3794" t="str">
            <v>08</v>
          </cell>
          <cell r="F3794" t="str">
            <v/>
          </cell>
          <cell r="G3794" t="str">
            <v>E</v>
          </cell>
          <cell r="H3794">
            <v>4.87</v>
          </cell>
        </row>
        <row r="3795">
          <cell r="A3795" t="str">
            <v>1;08;IA;P;</v>
          </cell>
          <cell r="B3795">
            <v>730069</v>
          </cell>
          <cell r="C3795" t="str">
            <v>IA</v>
          </cell>
          <cell r="D3795" t="str">
            <v>INTRAISLAS SÃO MIGUEL</v>
          </cell>
          <cell r="E3795" t="str">
            <v>08</v>
          </cell>
          <cell r="F3795" t="str">
            <v/>
          </cell>
          <cell r="G3795" t="str">
            <v>P</v>
          </cell>
          <cell r="H3795">
            <v>0</v>
          </cell>
        </row>
        <row r="3796">
          <cell r="A3796" t="str">
            <v>1;E;IB;B;BAG</v>
          </cell>
          <cell r="B3796">
            <v>730069</v>
          </cell>
          <cell r="C3796" t="str">
            <v>IB</v>
          </cell>
          <cell r="D3796" t="str">
            <v>INTER BALEARES</v>
          </cell>
          <cell r="E3796" t="str">
            <v>E</v>
          </cell>
          <cell r="F3796" t="str">
            <v>BAG</v>
          </cell>
          <cell r="G3796" t="str">
            <v>B</v>
          </cell>
          <cell r="H3796">
            <v>0</v>
          </cell>
        </row>
        <row r="3797">
          <cell r="A3797" t="str">
            <v>1;E;IB;B;PAQ00a02</v>
          </cell>
          <cell r="B3797">
            <v>730069</v>
          </cell>
          <cell r="C3797" t="str">
            <v>IB</v>
          </cell>
          <cell r="D3797" t="str">
            <v>INTER BALEARES</v>
          </cell>
          <cell r="E3797" t="str">
            <v>E</v>
          </cell>
          <cell r="F3797" t="str">
            <v>PAQ00a02</v>
          </cell>
          <cell r="G3797" t="str">
            <v>B</v>
          </cell>
          <cell r="H3797">
            <v>0</v>
          </cell>
        </row>
        <row r="3798">
          <cell r="A3798" t="str">
            <v>1;E;IB;B;PAQ02a04</v>
          </cell>
          <cell r="B3798">
            <v>730069</v>
          </cell>
          <cell r="C3798" t="str">
            <v>IB</v>
          </cell>
          <cell r="D3798" t="str">
            <v>INTER BALEARES</v>
          </cell>
          <cell r="E3798" t="str">
            <v>E</v>
          </cell>
          <cell r="F3798" t="str">
            <v>PAQ02a04</v>
          </cell>
          <cell r="G3798" t="str">
            <v>B</v>
          </cell>
          <cell r="H3798">
            <v>0</v>
          </cell>
        </row>
        <row r="3799">
          <cell r="A3799" t="str">
            <v>1;E;IB;B;PAQ04a06</v>
          </cell>
          <cell r="B3799">
            <v>730069</v>
          </cell>
          <cell r="C3799" t="str">
            <v>IB</v>
          </cell>
          <cell r="D3799" t="str">
            <v>INTER BALEARES</v>
          </cell>
          <cell r="E3799" t="str">
            <v>E</v>
          </cell>
          <cell r="F3799" t="str">
            <v>PAQ04a06</v>
          </cell>
          <cell r="G3799" t="str">
            <v>B</v>
          </cell>
          <cell r="H3799">
            <v>0</v>
          </cell>
        </row>
        <row r="3800">
          <cell r="A3800" t="str">
            <v>1;E;IB;B;PAQ06a08</v>
          </cell>
          <cell r="B3800">
            <v>730069</v>
          </cell>
          <cell r="C3800" t="str">
            <v>IB</v>
          </cell>
          <cell r="D3800" t="str">
            <v>INTER BALEARES</v>
          </cell>
          <cell r="E3800" t="str">
            <v>E</v>
          </cell>
          <cell r="F3800" t="str">
            <v>PAQ06a08</v>
          </cell>
          <cell r="G3800" t="str">
            <v>B</v>
          </cell>
          <cell r="H3800">
            <v>0</v>
          </cell>
        </row>
        <row r="3801">
          <cell r="A3801" t="str">
            <v>1;E;IB;B;PAQ08a10</v>
          </cell>
          <cell r="B3801">
            <v>730069</v>
          </cell>
          <cell r="C3801" t="str">
            <v>IB</v>
          </cell>
          <cell r="D3801" t="str">
            <v>INTER BALEARES</v>
          </cell>
          <cell r="E3801" t="str">
            <v>E</v>
          </cell>
          <cell r="F3801" t="str">
            <v>PAQ08a10</v>
          </cell>
          <cell r="G3801" t="str">
            <v>B</v>
          </cell>
          <cell r="H3801">
            <v>0</v>
          </cell>
        </row>
        <row r="3802">
          <cell r="A3802" t="str">
            <v>1;E;IB;B;PAQ10a12</v>
          </cell>
          <cell r="B3802">
            <v>730069</v>
          </cell>
          <cell r="C3802" t="str">
            <v>IB</v>
          </cell>
          <cell r="D3802" t="str">
            <v>INTER BALEARES</v>
          </cell>
          <cell r="E3802" t="str">
            <v>E</v>
          </cell>
          <cell r="F3802" t="str">
            <v>PAQ10a12</v>
          </cell>
          <cell r="G3802" t="str">
            <v>B</v>
          </cell>
          <cell r="H3802">
            <v>0</v>
          </cell>
        </row>
        <row r="3803">
          <cell r="A3803" t="str">
            <v>1;E;IB;B;PAQ12a14</v>
          </cell>
          <cell r="B3803">
            <v>730069</v>
          </cell>
          <cell r="C3803" t="str">
            <v>IB</v>
          </cell>
          <cell r="D3803" t="str">
            <v>INTER BALEARES</v>
          </cell>
          <cell r="E3803" t="str">
            <v>E</v>
          </cell>
          <cell r="F3803" t="str">
            <v>PAQ12a14</v>
          </cell>
          <cell r="G3803" t="str">
            <v>B</v>
          </cell>
          <cell r="H3803">
            <v>0</v>
          </cell>
        </row>
        <row r="3804">
          <cell r="A3804" t="str">
            <v>1;E;IB;B;PAQ14a16</v>
          </cell>
          <cell r="B3804">
            <v>730069</v>
          </cell>
          <cell r="C3804" t="str">
            <v>IB</v>
          </cell>
          <cell r="D3804" t="str">
            <v>INTER BALEARES</v>
          </cell>
          <cell r="E3804" t="str">
            <v>E</v>
          </cell>
          <cell r="F3804" t="str">
            <v>PAQ14a16</v>
          </cell>
          <cell r="G3804" t="str">
            <v>B</v>
          </cell>
          <cell r="H3804">
            <v>0</v>
          </cell>
        </row>
        <row r="3805">
          <cell r="A3805" t="str">
            <v>1;E;IB;B;PAQ16a18</v>
          </cell>
          <cell r="B3805">
            <v>730069</v>
          </cell>
          <cell r="C3805" t="str">
            <v>IB</v>
          </cell>
          <cell r="D3805" t="str">
            <v>INTER BALEARES</v>
          </cell>
          <cell r="E3805" t="str">
            <v>E</v>
          </cell>
          <cell r="F3805" t="str">
            <v>PAQ16a18</v>
          </cell>
          <cell r="G3805" t="str">
            <v>B</v>
          </cell>
          <cell r="H3805">
            <v>0</v>
          </cell>
        </row>
        <row r="3806">
          <cell r="A3806" t="str">
            <v>1;E;IB;B;PAQ18a20</v>
          </cell>
          <cell r="B3806">
            <v>730069</v>
          </cell>
          <cell r="C3806" t="str">
            <v>IB</v>
          </cell>
          <cell r="D3806" t="str">
            <v>INTER BALEARES</v>
          </cell>
          <cell r="E3806" t="str">
            <v>E</v>
          </cell>
          <cell r="F3806" t="str">
            <v>PAQ18a20</v>
          </cell>
          <cell r="G3806" t="str">
            <v>B</v>
          </cell>
          <cell r="H3806">
            <v>0</v>
          </cell>
        </row>
        <row r="3807">
          <cell r="A3807" t="str">
            <v>1;E;IB;B;PAQ20a22</v>
          </cell>
          <cell r="B3807">
            <v>730069</v>
          </cell>
          <cell r="C3807" t="str">
            <v>IB</v>
          </cell>
          <cell r="D3807" t="str">
            <v>INTER BALEARES</v>
          </cell>
          <cell r="E3807" t="str">
            <v>E</v>
          </cell>
          <cell r="F3807" t="str">
            <v>PAQ20a22</v>
          </cell>
          <cell r="G3807" t="str">
            <v>B</v>
          </cell>
          <cell r="H3807">
            <v>0</v>
          </cell>
        </row>
        <row r="3808">
          <cell r="A3808" t="str">
            <v>1;E;IB;B;PAQ22a24</v>
          </cell>
          <cell r="B3808">
            <v>730069</v>
          </cell>
          <cell r="C3808" t="str">
            <v>IB</v>
          </cell>
          <cell r="D3808" t="str">
            <v>INTER BALEARES</v>
          </cell>
          <cell r="E3808" t="str">
            <v>E</v>
          </cell>
          <cell r="F3808" t="str">
            <v>PAQ22a24</v>
          </cell>
          <cell r="G3808" t="str">
            <v>B</v>
          </cell>
          <cell r="H3808">
            <v>0</v>
          </cell>
        </row>
        <row r="3809">
          <cell r="A3809" t="str">
            <v>1;E;IB;B;PAQ24a26</v>
          </cell>
          <cell r="B3809">
            <v>730069</v>
          </cell>
          <cell r="C3809" t="str">
            <v>IB</v>
          </cell>
          <cell r="D3809" t="str">
            <v>INTER BALEARES</v>
          </cell>
          <cell r="E3809" t="str">
            <v>E</v>
          </cell>
          <cell r="F3809" t="str">
            <v>PAQ24a26</v>
          </cell>
          <cell r="G3809" t="str">
            <v>B</v>
          </cell>
          <cell r="H3809">
            <v>0</v>
          </cell>
        </row>
        <row r="3810">
          <cell r="A3810" t="str">
            <v>1;E;IB;B;PAQ26a28</v>
          </cell>
          <cell r="B3810">
            <v>730069</v>
          </cell>
          <cell r="C3810" t="str">
            <v>IB</v>
          </cell>
          <cell r="D3810" t="str">
            <v>INTER BALEARES</v>
          </cell>
          <cell r="E3810" t="str">
            <v>E</v>
          </cell>
          <cell r="F3810" t="str">
            <v>PAQ26a28</v>
          </cell>
          <cell r="G3810" t="str">
            <v>B</v>
          </cell>
          <cell r="H3810">
            <v>0</v>
          </cell>
        </row>
        <row r="3811">
          <cell r="A3811" t="str">
            <v>1;E;IB;B;PAQ28a30</v>
          </cell>
          <cell r="B3811">
            <v>730069</v>
          </cell>
          <cell r="C3811" t="str">
            <v>IB</v>
          </cell>
          <cell r="D3811" t="str">
            <v>INTER BALEARES</v>
          </cell>
          <cell r="E3811" t="str">
            <v>E</v>
          </cell>
          <cell r="F3811" t="str">
            <v>PAQ28a30</v>
          </cell>
          <cell r="G3811" t="str">
            <v>B</v>
          </cell>
          <cell r="H3811">
            <v>0</v>
          </cell>
        </row>
        <row r="3812">
          <cell r="A3812" t="str">
            <v>1;E;IB;B;PAQ30a32</v>
          </cell>
          <cell r="B3812">
            <v>730069</v>
          </cell>
          <cell r="C3812" t="str">
            <v>IB</v>
          </cell>
          <cell r="D3812" t="str">
            <v>INTER BALEARES</v>
          </cell>
          <cell r="E3812" t="str">
            <v>E</v>
          </cell>
          <cell r="F3812" t="str">
            <v>PAQ30a32</v>
          </cell>
          <cell r="G3812" t="str">
            <v>B</v>
          </cell>
          <cell r="H3812">
            <v>0</v>
          </cell>
        </row>
        <row r="3813">
          <cell r="A3813" t="str">
            <v>1;E;IB;B;PAQ32a34</v>
          </cell>
          <cell r="B3813">
            <v>730069</v>
          </cell>
          <cell r="C3813" t="str">
            <v>IB</v>
          </cell>
          <cell r="D3813" t="str">
            <v>INTER BALEARES</v>
          </cell>
          <cell r="E3813" t="str">
            <v>E</v>
          </cell>
          <cell r="F3813" t="str">
            <v>PAQ32a34</v>
          </cell>
          <cell r="G3813" t="str">
            <v>B</v>
          </cell>
          <cell r="H3813">
            <v>0</v>
          </cell>
        </row>
        <row r="3814">
          <cell r="A3814" t="str">
            <v>1;E;IB;B;PAQ34a36</v>
          </cell>
          <cell r="B3814">
            <v>730069</v>
          </cell>
          <cell r="C3814" t="str">
            <v>IB</v>
          </cell>
          <cell r="D3814" t="str">
            <v>INTER BALEARES</v>
          </cell>
          <cell r="E3814" t="str">
            <v>E</v>
          </cell>
          <cell r="F3814" t="str">
            <v>PAQ34a36</v>
          </cell>
          <cell r="G3814" t="str">
            <v>B</v>
          </cell>
          <cell r="H3814">
            <v>0</v>
          </cell>
        </row>
        <row r="3815">
          <cell r="A3815" t="str">
            <v>1;E;IB;B;PAQ36a38</v>
          </cell>
          <cell r="B3815">
            <v>730069</v>
          </cell>
          <cell r="C3815" t="str">
            <v>IB</v>
          </cell>
          <cell r="D3815" t="str">
            <v>INTER BALEARES</v>
          </cell>
          <cell r="E3815" t="str">
            <v>E</v>
          </cell>
          <cell r="F3815" t="str">
            <v>PAQ36a38</v>
          </cell>
          <cell r="G3815" t="str">
            <v>B</v>
          </cell>
          <cell r="H3815">
            <v>0</v>
          </cell>
        </row>
        <row r="3816">
          <cell r="A3816" t="str">
            <v>1;E;IB;B;PAQ38a40</v>
          </cell>
          <cell r="B3816">
            <v>730069</v>
          </cell>
          <cell r="C3816" t="str">
            <v>IB</v>
          </cell>
          <cell r="D3816" t="str">
            <v>INTER BALEARES</v>
          </cell>
          <cell r="E3816" t="str">
            <v>E</v>
          </cell>
          <cell r="F3816" t="str">
            <v>PAQ38a40</v>
          </cell>
          <cell r="G3816" t="str">
            <v>B</v>
          </cell>
          <cell r="H3816">
            <v>0</v>
          </cell>
        </row>
        <row r="3817">
          <cell r="A3817" t="str">
            <v>1;E;IB;F;</v>
          </cell>
          <cell r="B3817">
            <v>730069</v>
          </cell>
          <cell r="C3817" t="str">
            <v>IB</v>
          </cell>
          <cell r="D3817" t="str">
            <v>INTER BALEARES</v>
          </cell>
          <cell r="E3817" t="str">
            <v>E</v>
          </cell>
          <cell r="F3817" t="str">
            <v/>
          </cell>
          <cell r="G3817" t="str">
            <v>F</v>
          </cell>
          <cell r="H3817">
            <v>0</v>
          </cell>
        </row>
        <row r="3818">
          <cell r="A3818" t="str">
            <v>1;E;IB;P;</v>
          </cell>
          <cell r="B3818">
            <v>730069</v>
          </cell>
          <cell r="C3818" t="str">
            <v>IB</v>
          </cell>
          <cell r="D3818" t="str">
            <v>INTER BALEARES</v>
          </cell>
          <cell r="E3818" t="str">
            <v>E</v>
          </cell>
          <cell r="F3818" t="str">
            <v/>
          </cell>
          <cell r="G3818" t="str">
            <v>P</v>
          </cell>
          <cell r="H3818">
            <v>0</v>
          </cell>
        </row>
        <row r="3819">
          <cell r="A3819" t="str">
            <v>1;E;IB;E;</v>
          </cell>
          <cell r="B3819">
            <v>730069</v>
          </cell>
          <cell r="C3819" t="str">
            <v>IB</v>
          </cell>
          <cell r="D3819" t="str">
            <v>INTER BALEARES</v>
          </cell>
          <cell r="E3819" t="str">
            <v>E</v>
          </cell>
          <cell r="F3819" t="str">
            <v/>
          </cell>
          <cell r="G3819" t="str">
            <v>E</v>
          </cell>
          <cell r="H3819">
            <v>0</v>
          </cell>
        </row>
        <row r="3820">
          <cell r="A3820" t="str">
            <v>1;F;IB;B;BAG</v>
          </cell>
          <cell r="B3820">
            <v>730069</v>
          </cell>
          <cell r="C3820" t="str">
            <v>IB</v>
          </cell>
          <cell r="D3820" t="str">
            <v>INTER BALEARES</v>
          </cell>
          <cell r="E3820" t="str">
            <v>F</v>
          </cell>
          <cell r="F3820" t="str">
            <v>BAG</v>
          </cell>
          <cell r="G3820" t="str">
            <v>B</v>
          </cell>
          <cell r="H3820">
            <v>0</v>
          </cell>
        </row>
        <row r="3821">
          <cell r="A3821" t="str">
            <v>1;F;IB;B;PAQ00a02</v>
          </cell>
          <cell r="B3821">
            <v>730069</v>
          </cell>
          <cell r="C3821" t="str">
            <v>IB</v>
          </cell>
          <cell r="D3821" t="str">
            <v>INTER BALEARES</v>
          </cell>
          <cell r="E3821" t="str">
            <v>F</v>
          </cell>
          <cell r="F3821" t="str">
            <v>PAQ00a02</v>
          </cell>
          <cell r="G3821" t="str">
            <v>B</v>
          </cell>
          <cell r="H3821">
            <v>0</v>
          </cell>
        </row>
        <row r="3822">
          <cell r="A3822" t="str">
            <v>1;F;IB;B;PAQ02a04</v>
          </cell>
          <cell r="B3822">
            <v>730069</v>
          </cell>
          <cell r="C3822" t="str">
            <v>IB</v>
          </cell>
          <cell r="D3822" t="str">
            <v>INTER BALEARES</v>
          </cell>
          <cell r="E3822" t="str">
            <v>F</v>
          </cell>
          <cell r="F3822" t="str">
            <v>PAQ02a04</v>
          </cell>
          <cell r="G3822" t="str">
            <v>B</v>
          </cell>
          <cell r="H3822">
            <v>0</v>
          </cell>
        </row>
        <row r="3823">
          <cell r="A3823" t="str">
            <v>1;F;IB;B;PAQ04a06</v>
          </cell>
          <cell r="B3823">
            <v>730069</v>
          </cell>
          <cell r="C3823" t="str">
            <v>IB</v>
          </cell>
          <cell r="D3823" t="str">
            <v>INTER BALEARES</v>
          </cell>
          <cell r="E3823" t="str">
            <v>F</v>
          </cell>
          <cell r="F3823" t="str">
            <v>PAQ04a06</v>
          </cell>
          <cell r="G3823" t="str">
            <v>B</v>
          </cell>
          <cell r="H3823">
            <v>0</v>
          </cell>
        </row>
        <row r="3824">
          <cell r="A3824" t="str">
            <v>1;F;IB;B;PAQ06a08</v>
          </cell>
          <cell r="B3824">
            <v>730069</v>
          </cell>
          <cell r="C3824" t="str">
            <v>IB</v>
          </cell>
          <cell r="D3824" t="str">
            <v>INTER BALEARES</v>
          </cell>
          <cell r="E3824" t="str">
            <v>F</v>
          </cell>
          <cell r="F3824" t="str">
            <v>PAQ06a08</v>
          </cell>
          <cell r="G3824" t="str">
            <v>B</v>
          </cell>
          <cell r="H3824">
            <v>0</v>
          </cell>
        </row>
        <row r="3825">
          <cell r="A3825" t="str">
            <v>1;F;IB;B;PAQ08a10</v>
          </cell>
          <cell r="B3825">
            <v>730069</v>
          </cell>
          <cell r="C3825" t="str">
            <v>IB</v>
          </cell>
          <cell r="D3825" t="str">
            <v>INTER BALEARES</v>
          </cell>
          <cell r="E3825" t="str">
            <v>F</v>
          </cell>
          <cell r="F3825" t="str">
            <v>PAQ08a10</v>
          </cell>
          <cell r="G3825" t="str">
            <v>B</v>
          </cell>
          <cell r="H3825">
            <v>0</v>
          </cell>
        </row>
        <row r="3826">
          <cell r="A3826" t="str">
            <v>1;F;IB;B;PAQ10a12</v>
          </cell>
          <cell r="B3826">
            <v>730069</v>
          </cell>
          <cell r="C3826" t="str">
            <v>IB</v>
          </cell>
          <cell r="D3826" t="str">
            <v>INTER BALEARES</v>
          </cell>
          <cell r="E3826" t="str">
            <v>F</v>
          </cell>
          <cell r="F3826" t="str">
            <v>PAQ10a12</v>
          </cell>
          <cell r="G3826" t="str">
            <v>B</v>
          </cell>
          <cell r="H3826">
            <v>0</v>
          </cell>
        </row>
        <row r="3827">
          <cell r="A3827" t="str">
            <v>1;F;IB;B;PAQ12a14</v>
          </cell>
          <cell r="B3827">
            <v>730069</v>
          </cell>
          <cell r="C3827" t="str">
            <v>IB</v>
          </cell>
          <cell r="D3827" t="str">
            <v>INTER BALEARES</v>
          </cell>
          <cell r="E3827" t="str">
            <v>F</v>
          </cell>
          <cell r="F3827" t="str">
            <v>PAQ12a14</v>
          </cell>
          <cell r="G3827" t="str">
            <v>B</v>
          </cell>
          <cell r="H3827">
            <v>0</v>
          </cell>
        </row>
        <row r="3828">
          <cell r="A3828" t="str">
            <v>1;F;IB;B;PAQ14a16</v>
          </cell>
          <cell r="B3828">
            <v>730069</v>
          </cell>
          <cell r="C3828" t="str">
            <v>IB</v>
          </cell>
          <cell r="D3828" t="str">
            <v>INTER BALEARES</v>
          </cell>
          <cell r="E3828" t="str">
            <v>F</v>
          </cell>
          <cell r="F3828" t="str">
            <v>PAQ14a16</v>
          </cell>
          <cell r="G3828" t="str">
            <v>B</v>
          </cell>
          <cell r="H3828">
            <v>0</v>
          </cell>
        </row>
        <row r="3829">
          <cell r="A3829" t="str">
            <v>1;F;IB;B;PAQ16a18</v>
          </cell>
          <cell r="B3829">
            <v>730069</v>
          </cell>
          <cell r="C3829" t="str">
            <v>IB</v>
          </cell>
          <cell r="D3829" t="str">
            <v>INTER BALEARES</v>
          </cell>
          <cell r="E3829" t="str">
            <v>F</v>
          </cell>
          <cell r="F3829" t="str">
            <v>PAQ16a18</v>
          </cell>
          <cell r="G3829" t="str">
            <v>B</v>
          </cell>
          <cell r="H3829">
            <v>0</v>
          </cell>
        </row>
        <row r="3830">
          <cell r="A3830" t="str">
            <v>1;F;IB;B;PAQ18a20</v>
          </cell>
          <cell r="B3830">
            <v>730069</v>
          </cell>
          <cell r="C3830" t="str">
            <v>IB</v>
          </cell>
          <cell r="D3830" t="str">
            <v>INTER BALEARES</v>
          </cell>
          <cell r="E3830" t="str">
            <v>F</v>
          </cell>
          <cell r="F3830" t="str">
            <v>PAQ18a20</v>
          </cell>
          <cell r="G3830" t="str">
            <v>B</v>
          </cell>
          <cell r="H3830">
            <v>0</v>
          </cell>
        </row>
        <row r="3831">
          <cell r="A3831" t="str">
            <v>1;F;IB;B;PAQ20a22</v>
          </cell>
          <cell r="B3831">
            <v>730069</v>
          </cell>
          <cell r="C3831" t="str">
            <v>IB</v>
          </cell>
          <cell r="D3831" t="str">
            <v>INTER BALEARES</v>
          </cell>
          <cell r="E3831" t="str">
            <v>F</v>
          </cell>
          <cell r="F3831" t="str">
            <v>PAQ20a22</v>
          </cell>
          <cell r="G3831" t="str">
            <v>B</v>
          </cell>
          <cell r="H3831">
            <v>0</v>
          </cell>
        </row>
        <row r="3832">
          <cell r="A3832" t="str">
            <v>1;F;IB;B;PAQ22a24</v>
          </cell>
          <cell r="B3832">
            <v>730069</v>
          </cell>
          <cell r="C3832" t="str">
            <v>IB</v>
          </cell>
          <cell r="D3832" t="str">
            <v>INTER BALEARES</v>
          </cell>
          <cell r="E3832" t="str">
            <v>F</v>
          </cell>
          <cell r="F3832" t="str">
            <v>PAQ22a24</v>
          </cell>
          <cell r="G3832" t="str">
            <v>B</v>
          </cell>
          <cell r="H3832">
            <v>0</v>
          </cell>
        </row>
        <row r="3833">
          <cell r="A3833" t="str">
            <v>1;F;IB;B;PAQ24a26</v>
          </cell>
          <cell r="B3833">
            <v>730069</v>
          </cell>
          <cell r="C3833" t="str">
            <v>IB</v>
          </cell>
          <cell r="D3833" t="str">
            <v>INTER BALEARES</v>
          </cell>
          <cell r="E3833" t="str">
            <v>F</v>
          </cell>
          <cell r="F3833" t="str">
            <v>PAQ24a26</v>
          </cell>
          <cell r="G3833" t="str">
            <v>B</v>
          </cell>
          <cell r="H3833">
            <v>0</v>
          </cell>
        </row>
        <row r="3834">
          <cell r="A3834" t="str">
            <v>1;F;IB;B;PAQ26a28</v>
          </cell>
          <cell r="B3834">
            <v>730069</v>
          </cell>
          <cell r="C3834" t="str">
            <v>IB</v>
          </cell>
          <cell r="D3834" t="str">
            <v>INTER BALEARES</v>
          </cell>
          <cell r="E3834" t="str">
            <v>F</v>
          </cell>
          <cell r="F3834" t="str">
            <v>PAQ26a28</v>
          </cell>
          <cell r="G3834" t="str">
            <v>B</v>
          </cell>
          <cell r="H3834">
            <v>0</v>
          </cell>
        </row>
        <row r="3835">
          <cell r="A3835" t="str">
            <v>1;F;IB;B;PAQ28a30</v>
          </cell>
          <cell r="B3835">
            <v>730069</v>
          </cell>
          <cell r="C3835" t="str">
            <v>IB</v>
          </cell>
          <cell r="D3835" t="str">
            <v>INTER BALEARES</v>
          </cell>
          <cell r="E3835" t="str">
            <v>F</v>
          </cell>
          <cell r="F3835" t="str">
            <v>PAQ28a30</v>
          </cell>
          <cell r="G3835" t="str">
            <v>B</v>
          </cell>
          <cell r="H3835">
            <v>0</v>
          </cell>
        </row>
        <row r="3836">
          <cell r="A3836" t="str">
            <v>1;F;IB;B;PAQ30a32</v>
          </cell>
          <cell r="B3836">
            <v>730069</v>
          </cell>
          <cell r="C3836" t="str">
            <v>IB</v>
          </cell>
          <cell r="D3836" t="str">
            <v>INTER BALEARES</v>
          </cell>
          <cell r="E3836" t="str">
            <v>F</v>
          </cell>
          <cell r="F3836" t="str">
            <v>PAQ30a32</v>
          </cell>
          <cell r="G3836" t="str">
            <v>B</v>
          </cell>
          <cell r="H3836">
            <v>0</v>
          </cell>
        </row>
        <row r="3837">
          <cell r="A3837" t="str">
            <v>1;F;IB;B;PAQ32a34</v>
          </cell>
          <cell r="B3837">
            <v>730069</v>
          </cell>
          <cell r="C3837" t="str">
            <v>IB</v>
          </cell>
          <cell r="D3837" t="str">
            <v>INTER BALEARES</v>
          </cell>
          <cell r="E3837" t="str">
            <v>F</v>
          </cell>
          <cell r="F3837" t="str">
            <v>PAQ32a34</v>
          </cell>
          <cell r="G3837" t="str">
            <v>B</v>
          </cell>
          <cell r="H3837">
            <v>0</v>
          </cell>
        </row>
        <row r="3838">
          <cell r="A3838" t="str">
            <v>1;F;IB;B;PAQ34a36</v>
          </cell>
          <cell r="B3838">
            <v>730069</v>
          </cell>
          <cell r="C3838" t="str">
            <v>IB</v>
          </cell>
          <cell r="D3838" t="str">
            <v>INTER BALEARES</v>
          </cell>
          <cell r="E3838" t="str">
            <v>F</v>
          </cell>
          <cell r="F3838" t="str">
            <v>PAQ34a36</v>
          </cell>
          <cell r="G3838" t="str">
            <v>B</v>
          </cell>
          <cell r="H3838">
            <v>0</v>
          </cell>
        </row>
        <row r="3839">
          <cell r="A3839" t="str">
            <v>1;F;IB;B;PAQ36a38</v>
          </cell>
          <cell r="B3839">
            <v>730069</v>
          </cell>
          <cell r="C3839" t="str">
            <v>IB</v>
          </cell>
          <cell r="D3839" t="str">
            <v>INTER BALEARES</v>
          </cell>
          <cell r="E3839" t="str">
            <v>F</v>
          </cell>
          <cell r="F3839" t="str">
            <v>PAQ36a38</v>
          </cell>
          <cell r="G3839" t="str">
            <v>B</v>
          </cell>
          <cell r="H3839">
            <v>0</v>
          </cell>
        </row>
        <row r="3840">
          <cell r="A3840" t="str">
            <v>1;F;IB;B;PAQ38a40</v>
          </cell>
          <cell r="B3840">
            <v>730069</v>
          </cell>
          <cell r="C3840" t="str">
            <v>IB</v>
          </cell>
          <cell r="D3840" t="str">
            <v>INTER BALEARES</v>
          </cell>
          <cell r="E3840" t="str">
            <v>F</v>
          </cell>
          <cell r="F3840" t="str">
            <v>PAQ38a40</v>
          </cell>
          <cell r="G3840" t="str">
            <v>B</v>
          </cell>
          <cell r="H3840">
            <v>0</v>
          </cell>
        </row>
        <row r="3841">
          <cell r="A3841" t="str">
            <v>1;F;IB;F;</v>
          </cell>
          <cell r="B3841">
            <v>730069</v>
          </cell>
          <cell r="C3841" t="str">
            <v>IB</v>
          </cell>
          <cell r="D3841" t="str">
            <v>INTER BALEARES</v>
          </cell>
          <cell r="E3841" t="str">
            <v>F</v>
          </cell>
          <cell r="F3841" t="str">
            <v/>
          </cell>
          <cell r="G3841" t="str">
            <v>F</v>
          </cell>
          <cell r="H3841">
            <v>0</v>
          </cell>
        </row>
        <row r="3842">
          <cell r="A3842" t="str">
            <v>1;F;IB;E;</v>
          </cell>
          <cell r="B3842">
            <v>730069</v>
          </cell>
          <cell r="C3842" t="str">
            <v>IB</v>
          </cell>
          <cell r="D3842" t="str">
            <v>INTER BALEARES</v>
          </cell>
          <cell r="E3842" t="str">
            <v>F</v>
          </cell>
          <cell r="F3842" t="str">
            <v/>
          </cell>
          <cell r="G3842" t="str">
            <v>E</v>
          </cell>
          <cell r="H3842">
            <v>0</v>
          </cell>
        </row>
        <row r="3843">
          <cell r="A3843" t="str">
            <v>1;F;IB;P;</v>
          </cell>
          <cell r="B3843">
            <v>730069</v>
          </cell>
          <cell r="C3843" t="str">
            <v>IB</v>
          </cell>
          <cell r="D3843" t="str">
            <v>INTER BALEARES</v>
          </cell>
          <cell r="E3843" t="str">
            <v>F</v>
          </cell>
          <cell r="F3843" t="str">
            <v/>
          </cell>
          <cell r="G3843" t="str">
            <v>P</v>
          </cell>
          <cell r="H3843">
            <v>0</v>
          </cell>
        </row>
        <row r="3844">
          <cell r="A3844" t="str">
            <v>1;G;IB;B;BAG</v>
          </cell>
          <cell r="B3844">
            <v>730069</v>
          </cell>
          <cell r="C3844" t="str">
            <v>IB</v>
          </cell>
          <cell r="D3844" t="str">
            <v>INTER BALEARES</v>
          </cell>
          <cell r="E3844" t="str">
            <v>G</v>
          </cell>
          <cell r="F3844" t="str">
            <v>BAG</v>
          </cell>
          <cell r="G3844" t="str">
            <v>B</v>
          </cell>
          <cell r="H3844">
            <v>0</v>
          </cell>
        </row>
        <row r="3845">
          <cell r="A3845" t="str">
            <v>1;G;IB;B;PAQ00a02</v>
          </cell>
          <cell r="B3845">
            <v>730069</v>
          </cell>
          <cell r="C3845" t="str">
            <v>IB</v>
          </cell>
          <cell r="D3845" t="str">
            <v>INTER BALEARES</v>
          </cell>
          <cell r="E3845" t="str">
            <v>G</v>
          </cell>
          <cell r="F3845" t="str">
            <v>PAQ00a02</v>
          </cell>
          <cell r="G3845" t="str">
            <v>B</v>
          </cell>
          <cell r="H3845">
            <v>0</v>
          </cell>
        </row>
        <row r="3846">
          <cell r="A3846" t="str">
            <v>1;G;IB;B;PAQ02a04</v>
          </cell>
          <cell r="B3846">
            <v>730069</v>
          </cell>
          <cell r="C3846" t="str">
            <v>IB</v>
          </cell>
          <cell r="D3846" t="str">
            <v>INTER BALEARES</v>
          </cell>
          <cell r="E3846" t="str">
            <v>G</v>
          </cell>
          <cell r="F3846" t="str">
            <v>PAQ02a04</v>
          </cell>
          <cell r="G3846" t="str">
            <v>B</v>
          </cell>
          <cell r="H3846">
            <v>0</v>
          </cell>
        </row>
        <row r="3847">
          <cell r="A3847" t="str">
            <v>1;G;IB;B;PAQ04a06</v>
          </cell>
          <cell r="B3847">
            <v>730069</v>
          </cell>
          <cell r="C3847" t="str">
            <v>IB</v>
          </cell>
          <cell r="D3847" t="str">
            <v>INTER BALEARES</v>
          </cell>
          <cell r="E3847" t="str">
            <v>G</v>
          </cell>
          <cell r="F3847" t="str">
            <v>PAQ04a06</v>
          </cell>
          <cell r="G3847" t="str">
            <v>B</v>
          </cell>
          <cell r="H3847">
            <v>0</v>
          </cell>
        </row>
        <row r="3848">
          <cell r="A3848" t="str">
            <v>1;G;IB;B;PAQ06a08</v>
          </cell>
          <cell r="B3848">
            <v>730069</v>
          </cell>
          <cell r="C3848" t="str">
            <v>IB</v>
          </cell>
          <cell r="D3848" t="str">
            <v>INTER BALEARES</v>
          </cell>
          <cell r="E3848" t="str">
            <v>G</v>
          </cell>
          <cell r="F3848" t="str">
            <v>PAQ06a08</v>
          </cell>
          <cell r="G3848" t="str">
            <v>B</v>
          </cell>
          <cell r="H3848">
            <v>0</v>
          </cell>
        </row>
        <row r="3849">
          <cell r="A3849" t="str">
            <v>1;G;IB;B;PAQ08a10</v>
          </cell>
          <cell r="B3849">
            <v>730069</v>
          </cell>
          <cell r="C3849" t="str">
            <v>IB</v>
          </cell>
          <cell r="D3849" t="str">
            <v>INTER BALEARES</v>
          </cell>
          <cell r="E3849" t="str">
            <v>G</v>
          </cell>
          <cell r="F3849" t="str">
            <v>PAQ08a10</v>
          </cell>
          <cell r="G3849" t="str">
            <v>B</v>
          </cell>
          <cell r="H3849">
            <v>0</v>
          </cell>
        </row>
        <row r="3850">
          <cell r="A3850" t="str">
            <v>1;G;IB;B;PAQ10a12</v>
          </cell>
          <cell r="B3850">
            <v>730069</v>
          </cell>
          <cell r="C3850" t="str">
            <v>IB</v>
          </cell>
          <cell r="D3850" t="str">
            <v>INTER BALEARES</v>
          </cell>
          <cell r="E3850" t="str">
            <v>G</v>
          </cell>
          <cell r="F3850" t="str">
            <v>PAQ10a12</v>
          </cell>
          <cell r="G3850" t="str">
            <v>B</v>
          </cell>
          <cell r="H3850">
            <v>0</v>
          </cell>
        </row>
        <row r="3851">
          <cell r="A3851" t="str">
            <v>1;G;IB;B;PAQ12a14</v>
          </cell>
          <cell r="B3851">
            <v>730069</v>
          </cell>
          <cell r="C3851" t="str">
            <v>IB</v>
          </cell>
          <cell r="D3851" t="str">
            <v>INTER BALEARES</v>
          </cell>
          <cell r="E3851" t="str">
            <v>G</v>
          </cell>
          <cell r="F3851" t="str">
            <v>PAQ12a14</v>
          </cell>
          <cell r="G3851" t="str">
            <v>B</v>
          </cell>
          <cell r="H3851">
            <v>0</v>
          </cell>
        </row>
        <row r="3852">
          <cell r="A3852" t="str">
            <v>1;G;IB;B;PAQ14a16</v>
          </cell>
          <cell r="B3852">
            <v>730069</v>
          </cell>
          <cell r="C3852" t="str">
            <v>IB</v>
          </cell>
          <cell r="D3852" t="str">
            <v>INTER BALEARES</v>
          </cell>
          <cell r="E3852" t="str">
            <v>G</v>
          </cell>
          <cell r="F3852" t="str">
            <v>PAQ14a16</v>
          </cell>
          <cell r="G3852" t="str">
            <v>B</v>
          </cell>
          <cell r="H3852">
            <v>0</v>
          </cell>
        </row>
        <row r="3853">
          <cell r="A3853" t="str">
            <v>1;G;IB;B;PAQ16a18</v>
          </cell>
          <cell r="B3853">
            <v>730069</v>
          </cell>
          <cell r="C3853" t="str">
            <v>IB</v>
          </cell>
          <cell r="D3853" t="str">
            <v>INTER BALEARES</v>
          </cell>
          <cell r="E3853" t="str">
            <v>G</v>
          </cell>
          <cell r="F3853" t="str">
            <v>PAQ16a18</v>
          </cell>
          <cell r="G3853" t="str">
            <v>B</v>
          </cell>
          <cell r="H3853">
            <v>0</v>
          </cell>
        </row>
        <row r="3854">
          <cell r="A3854" t="str">
            <v>1;G;IB;B;PAQ18a20</v>
          </cell>
          <cell r="B3854">
            <v>730069</v>
          </cell>
          <cell r="C3854" t="str">
            <v>IB</v>
          </cell>
          <cell r="D3854" t="str">
            <v>INTER BALEARES</v>
          </cell>
          <cell r="E3854" t="str">
            <v>G</v>
          </cell>
          <cell r="F3854" t="str">
            <v>PAQ18a20</v>
          </cell>
          <cell r="G3854" t="str">
            <v>B</v>
          </cell>
          <cell r="H3854">
            <v>0</v>
          </cell>
        </row>
        <row r="3855">
          <cell r="A3855" t="str">
            <v>1;G;IB;B;PAQ20a22</v>
          </cell>
          <cell r="B3855">
            <v>730069</v>
          </cell>
          <cell r="C3855" t="str">
            <v>IB</v>
          </cell>
          <cell r="D3855" t="str">
            <v>INTER BALEARES</v>
          </cell>
          <cell r="E3855" t="str">
            <v>G</v>
          </cell>
          <cell r="F3855" t="str">
            <v>PAQ20a22</v>
          </cell>
          <cell r="G3855" t="str">
            <v>B</v>
          </cell>
          <cell r="H3855">
            <v>0</v>
          </cell>
        </row>
        <row r="3856">
          <cell r="A3856" t="str">
            <v>1;G;IB;B;PAQ22a24</v>
          </cell>
          <cell r="B3856">
            <v>730069</v>
          </cell>
          <cell r="C3856" t="str">
            <v>IB</v>
          </cell>
          <cell r="D3856" t="str">
            <v>INTER BALEARES</v>
          </cell>
          <cell r="E3856" t="str">
            <v>G</v>
          </cell>
          <cell r="F3856" t="str">
            <v>PAQ22a24</v>
          </cell>
          <cell r="G3856" t="str">
            <v>B</v>
          </cell>
          <cell r="H3856">
            <v>0</v>
          </cell>
        </row>
        <row r="3857">
          <cell r="A3857" t="str">
            <v>1;G;IB;B;PAQ24a26</v>
          </cell>
          <cell r="B3857">
            <v>730069</v>
          </cell>
          <cell r="C3857" t="str">
            <v>IB</v>
          </cell>
          <cell r="D3857" t="str">
            <v>INTER BALEARES</v>
          </cell>
          <cell r="E3857" t="str">
            <v>G</v>
          </cell>
          <cell r="F3857" t="str">
            <v>PAQ24a26</v>
          </cell>
          <cell r="G3857" t="str">
            <v>B</v>
          </cell>
          <cell r="H3857">
            <v>0</v>
          </cell>
        </row>
        <row r="3858">
          <cell r="A3858" t="str">
            <v>1;G;IB;B;PAQ26a28</v>
          </cell>
          <cell r="B3858">
            <v>730069</v>
          </cell>
          <cell r="C3858" t="str">
            <v>IB</v>
          </cell>
          <cell r="D3858" t="str">
            <v>INTER BALEARES</v>
          </cell>
          <cell r="E3858" t="str">
            <v>G</v>
          </cell>
          <cell r="F3858" t="str">
            <v>PAQ26a28</v>
          </cell>
          <cell r="G3858" t="str">
            <v>B</v>
          </cell>
          <cell r="H3858">
            <v>0</v>
          </cell>
        </row>
        <row r="3859">
          <cell r="A3859" t="str">
            <v>1;G;IB;B;PAQ28a30</v>
          </cell>
          <cell r="B3859">
            <v>730069</v>
          </cell>
          <cell r="C3859" t="str">
            <v>IB</v>
          </cell>
          <cell r="D3859" t="str">
            <v>INTER BALEARES</v>
          </cell>
          <cell r="E3859" t="str">
            <v>G</v>
          </cell>
          <cell r="F3859" t="str">
            <v>PAQ28a30</v>
          </cell>
          <cell r="G3859" t="str">
            <v>B</v>
          </cell>
          <cell r="H3859">
            <v>0</v>
          </cell>
        </row>
        <row r="3860">
          <cell r="A3860" t="str">
            <v>1;G;IB;B;PAQ30a32</v>
          </cell>
          <cell r="B3860">
            <v>730069</v>
          </cell>
          <cell r="C3860" t="str">
            <v>IB</v>
          </cell>
          <cell r="D3860" t="str">
            <v>INTER BALEARES</v>
          </cell>
          <cell r="E3860" t="str">
            <v>G</v>
          </cell>
          <cell r="F3860" t="str">
            <v>PAQ30a32</v>
          </cell>
          <cell r="G3860" t="str">
            <v>B</v>
          </cell>
          <cell r="H3860">
            <v>0</v>
          </cell>
        </row>
        <row r="3861">
          <cell r="A3861" t="str">
            <v>1;G;IB;B;PAQ32a34</v>
          </cell>
          <cell r="B3861">
            <v>730069</v>
          </cell>
          <cell r="C3861" t="str">
            <v>IB</v>
          </cell>
          <cell r="D3861" t="str">
            <v>INTER BALEARES</v>
          </cell>
          <cell r="E3861" t="str">
            <v>G</v>
          </cell>
          <cell r="F3861" t="str">
            <v>PAQ32a34</v>
          </cell>
          <cell r="G3861" t="str">
            <v>B</v>
          </cell>
          <cell r="H3861">
            <v>0</v>
          </cell>
        </row>
        <row r="3862">
          <cell r="A3862" t="str">
            <v>1;G;IB;B;PAQ34a36</v>
          </cell>
          <cell r="B3862">
            <v>730069</v>
          </cell>
          <cell r="C3862" t="str">
            <v>IB</v>
          </cell>
          <cell r="D3862" t="str">
            <v>INTER BALEARES</v>
          </cell>
          <cell r="E3862" t="str">
            <v>G</v>
          </cell>
          <cell r="F3862" t="str">
            <v>PAQ34a36</v>
          </cell>
          <cell r="G3862" t="str">
            <v>B</v>
          </cell>
          <cell r="H3862">
            <v>0</v>
          </cell>
        </row>
        <row r="3863">
          <cell r="A3863" t="str">
            <v>1;G;IB;B;PAQ36a38</v>
          </cell>
          <cell r="B3863">
            <v>730069</v>
          </cell>
          <cell r="C3863" t="str">
            <v>IB</v>
          </cell>
          <cell r="D3863" t="str">
            <v>INTER BALEARES</v>
          </cell>
          <cell r="E3863" t="str">
            <v>G</v>
          </cell>
          <cell r="F3863" t="str">
            <v>PAQ36a38</v>
          </cell>
          <cell r="G3863" t="str">
            <v>B</v>
          </cell>
          <cell r="H3863">
            <v>0</v>
          </cell>
        </row>
        <row r="3864">
          <cell r="A3864" t="str">
            <v>1;G;IB;B;PAQ38a40</v>
          </cell>
          <cell r="B3864">
            <v>730069</v>
          </cell>
          <cell r="C3864" t="str">
            <v>IB</v>
          </cell>
          <cell r="D3864" t="str">
            <v>INTER BALEARES</v>
          </cell>
          <cell r="E3864" t="str">
            <v>G</v>
          </cell>
          <cell r="F3864" t="str">
            <v>PAQ38a40</v>
          </cell>
          <cell r="G3864" t="str">
            <v>B</v>
          </cell>
          <cell r="H3864">
            <v>0</v>
          </cell>
        </row>
        <row r="3865">
          <cell r="A3865" t="str">
            <v>1;G;IB;F;</v>
          </cell>
          <cell r="B3865">
            <v>730069</v>
          </cell>
          <cell r="C3865" t="str">
            <v>IB</v>
          </cell>
          <cell r="D3865" t="str">
            <v>INTER BALEARES</v>
          </cell>
          <cell r="E3865" t="str">
            <v>G</v>
          </cell>
          <cell r="F3865" t="str">
            <v/>
          </cell>
          <cell r="G3865" t="str">
            <v>F</v>
          </cell>
          <cell r="H3865">
            <v>0</v>
          </cell>
        </row>
        <row r="3866">
          <cell r="A3866" t="str">
            <v>1;G;IB;P;</v>
          </cell>
          <cell r="B3866">
            <v>730069</v>
          </cell>
          <cell r="C3866" t="str">
            <v>IB</v>
          </cell>
          <cell r="D3866" t="str">
            <v>INTER BALEARES</v>
          </cell>
          <cell r="E3866" t="str">
            <v>G</v>
          </cell>
          <cell r="F3866" t="str">
            <v/>
          </cell>
          <cell r="G3866" t="str">
            <v>P</v>
          </cell>
          <cell r="H3866">
            <v>0</v>
          </cell>
        </row>
        <row r="3867">
          <cell r="A3867" t="str">
            <v>1;G;IB;E;</v>
          </cell>
          <cell r="B3867">
            <v>730069</v>
          </cell>
          <cell r="C3867" t="str">
            <v>IB</v>
          </cell>
          <cell r="D3867" t="str">
            <v>INTER BALEARES</v>
          </cell>
          <cell r="E3867" t="str">
            <v>G</v>
          </cell>
          <cell r="F3867" t="str">
            <v/>
          </cell>
          <cell r="G3867" t="str">
            <v>E</v>
          </cell>
          <cell r="H3867">
            <v>0</v>
          </cell>
        </row>
        <row r="3868">
          <cell r="A3868" t="str">
            <v>1;01;IB;B;BAG</v>
          </cell>
          <cell r="B3868">
            <v>730069</v>
          </cell>
          <cell r="C3868" t="str">
            <v>IB</v>
          </cell>
          <cell r="D3868" t="str">
            <v>INTER BALEARES</v>
          </cell>
          <cell r="E3868" t="str">
            <v>01</v>
          </cell>
          <cell r="F3868" t="str">
            <v>BAG</v>
          </cell>
          <cell r="G3868" t="str">
            <v>B</v>
          </cell>
          <cell r="H3868">
            <v>14.02</v>
          </cell>
        </row>
        <row r="3869">
          <cell r="A3869" t="str">
            <v>1;01;IB;B;DOCS</v>
          </cell>
          <cell r="B3869">
            <v>730069</v>
          </cell>
          <cell r="C3869" t="str">
            <v>IB</v>
          </cell>
          <cell r="D3869" t="str">
            <v>INTER BALEARES</v>
          </cell>
          <cell r="E3869" t="str">
            <v>01</v>
          </cell>
          <cell r="F3869" t="str">
            <v>DOCS</v>
          </cell>
          <cell r="G3869" t="str">
            <v>B</v>
          </cell>
          <cell r="H3869">
            <v>11.66</v>
          </cell>
        </row>
        <row r="3870">
          <cell r="A3870" t="str">
            <v>1;01;IB;B;PAQ00a02</v>
          </cell>
          <cell r="B3870">
            <v>730069</v>
          </cell>
          <cell r="C3870" t="str">
            <v>IB</v>
          </cell>
          <cell r="D3870" t="str">
            <v>INTER BALEARES</v>
          </cell>
          <cell r="E3870" t="str">
            <v>01</v>
          </cell>
          <cell r="F3870" t="str">
            <v>PAQ00a02</v>
          </cell>
          <cell r="G3870" t="str">
            <v>B</v>
          </cell>
          <cell r="H3870">
            <v>14.02</v>
          </cell>
        </row>
        <row r="3871">
          <cell r="A3871" t="str">
            <v>1;01;IB;B;PAQ02a04</v>
          </cell>
          <cell r="B3871">
            <v>730069</v>
          </cell>
          <cell r="C3871" t="str">
            <v>IB</v>
          </cell>
          <cell r="D3871" t="str">
            <v>INTER BALEARES</v>
          </cell>
          <cell r="E3871" t="str">
            <v>01</v>
          </cell>
          <cell r="F3871" t="str">
            <v>PAQ02a04</v>
          </cell>
          <cell r="G3871" t="str">
            <v>B</v>
          </cell>
          <cell r="H3871">
            <v>24.02</v>
          </cell>
        </row>
        <row r="3872">
          <cell r="A3872" t="str">
            <v>1;01;IB;B;PAQ04a06</v>
          </cell>
          <cell r="B3872">
            <v>730069</v>
          </cell>
          <cell r="C3872" t="str">
            <v>IB</v>
          </cell>
          <cell r="D3872" t="str">
            <v>INTER BALEARES</v>
          </cell>
          <cell r="E3872" t="str">
            <v>01</v>
          </cell>
          <cell r="F3872" t="str">
            <v>PAQ04a06</v>
          </cell>
          <cell r="G3872" t="str">
            <v>B</v>
          </cell>
          <cell r="H3872">
            <v>38.04</v>
          </cell>
        </row>
        <row r="3873">
          <cell r="A3873" t="str">
            <v>1;01;IB;B;PAQ06a08</v>
          </cell>
          <cell r="B3873">
            <v>730069</v>
          </cell>
          <cell r="C3873" t="str">
            <v>IB</v>
          </cell>
          <cell r="D3873" t="str">
            <v>INTER BALEARES</v>
          </cell>
          <cell r="E3873" t="str">
            <v>01</v>
          </cell>
          <cell r="F3873" t="str">
            <v>PAQ06a08</v>
          </cell>
          <cell r="G3873" t="str">
            <v>B</v>
          </cell>
          <cell r="H3873">
            <v>52.05</v>
          </cell>
        </row>
        <row r="3874">
          <cell r="A3874" t="str">
            <v>1;01;IB;B;PAQ08a10</v>
          </cell>
          <cell r="B3874">
            <v>730069</v>
          </cell>
          <cell r="C3874" t="str">
            <v>IB</v>
          </cell>
          <cell r="D3874" t="str">
            <v>INTER BALEARES</v>
          </cell>
          <cell r="E3874" t="str">
            <v>01</v>
          </cell>
          <cell r="F3874" t="str">
            <v>PAQ08a10</v>
          </cell>
          <cell r="G3874" t="str">
            <v>B</v>
          </cell>
          <cell r="H3874">
            <v>66.069999999999993</v>
          </cell>
        </row>
        <row r="3875">
          <cell r="A3875" t="str">
            <v>1;01;IB;B;PAQ10a12</v>
          </cell>
          <cell r="B3875">
            <v>730069</v>
          </cell>
          <cell r="C3875" t="str">
            <v>IB</v>
          </cell>
          <cell r="D3875" t="str">
            <v>INTER BALEARES</v>
          </cell>
          <cell r="E3875" t="str">
            <v>01</v>
          </cell>
          <cell r="F3875" t="str">
            <v>PAQ10a12</v>
          </cell>
          <cell r="G3875" t="str">
            <v>B</v>
          </cell>
          <cell r="H3875">
            <v>80.069999999999993</v>
          </cell>
        </row>
        <row r="3876">
          <cell r="A3876" t="str">
            <v>1;01;IB;B;PAQ12a14</v>
          </cell>
          <cell r="B3876">
            <v>730069</v>
          </cell>
          <cell r="C3876" t="str">
            <v>IB</v>
          </cell>
          <cell r="D3876" t="str">
            <v>INTER BALEARES</v>
          </cell>
          <cell r="E3876" t="str">
            <v>01</v>
          </cell>
          <cell r="F3876" t="str">
            <v>PAQ12a14</v>
          </cell>
          <cell r="G3876" t="str">
            <v>B</v>
          </cell>
          <cell r="H3876">
            <v>94.09</v>
          </cell>
        </row>
        <row r="3877">
          <cell r="A3877" t="str">
            <v>1;01;IB;B;PAQ14a16</v>
          </cell>
          <cell r="B3877">
            <v>730069</v>
          </cell>
          <cell r="C3877" t="str">
            <v>IB</v>
          </cell>
          <cell r="D3877" t="str">
            <v>INTER BALEARES</v>
          </cell>
          <cell r="E3877" t="str">
            <v>01</v>
          </cell>
          <cell r="F3877" t="str">
            <v>PAQ14a16</v>
          </cell>
          <cell r="G3877" t="str">
            <v>B</v>
          </cell>
          <cell r="H3877">
            <v>108.1</v>
          </cell>
        </row>
        <row r="3878">
          <cell r="A3878" t="str">
            <v>1;01;IB;B;PAQ16a18</v>
          </cell>
          <cell r="B3878">
            <v>730069</v>
          </cell>
          <cell r="C3878" t="str">
            <v>IB</v>
          </cell>
          <cell r="D3878" t="str">
            <v>INTER BALEARES</v>
          </cell>
          <cell r="E3878" t="str">
            <v>01</v>
          </cell>
          <cell r="F3878" t="str">
            <v>PAQ16a18</v>
          </cell>
          <cell r="G3878" t="str">
            <v>B</v>
          </cell>
          <cell r="H3878">
            <v>122.12</v>
          </cell>
        </row>
        <row r="3879">
          <cell r="A3879" t="str">
            <v>1;01;IB;B;PAQ18a20</v>
          </cell>
          <cell r="B3879">
            <v>730069</v>
          </cell>
          <cell r="C3879" t="str">
            <v>IB</v>
          </cell>
          <cell r="D3879" t="str">
            <v>INTER BALEARES</v>
          </cell>
          <cell r="E3879" t="str">
            <v>01</v>
          </cell>
          <cell r="F3879" t="str">
            <v>PAQ18a20</v>
          </cell>
          <cell r="G3879" t="str">
            <v>B</v>
          </cell>
          <cell r="H3879">
            <v>136.12</v>
          </cell>
        </row>
        <row r="3880">
          <cell r="A3880" t="str">
            <v>1;01;IB;B;PAQ20a22</v>
          </cell>
          <cell r="B3880">
            <v>730069</v>
          </cell>
          <cell r="C3880" t="str">
            <v>IB</v>
          </cell>
          <cell r="D3880" t="str">
            <v>INTER BALEARES</v>
          </cell>
          <cell r="E3880" t="str">
            <v>01</v>
          </cell>
          <cell r="F3880" t="str">
            <v>PAQ20a22</v>
          </cell>
          <cell r="G3880" t="str">
            <v>B</v>
          </cell>
          <cell r="H3880">
            <v>150.13999999999999</v>
          </cell>
        </row>
        <row r="3881">
          <cell r="A3881" t="str">
            <v>1;01;IB;B;PAQ22a24</v>
          </cell>
          <cell r="B3881">
            <v>730069</v>
          </cell>
          <cell r="C3881" t="str">
            <v>IB</v>
          </cell>
          <cell r="D3881" t="str">
            <v>INTER BALEARES</v>
          </cell>
          <cell r="E3881" t="str">
            <v>01</v>
          </cell>
          <cell r="F3881" t="str">
            <v>PAQ22a24</v>
          </cell>
          <cell r="G3881" t="str">
            <v>B</v>
          </cell>
          <cell r="H3881">
            <v>164.15</v>
          </cell>
        </row>
        <row r="3882">
          <cell r="A3882" t="str">
            <v>1;01;IB;B;PAQ24a26</v>
          </cell>
          <cell r="B3882">
            <v>730069</v>
          </cell>
          <cell r="C3882" t="str">
            <v>IB</v>
          </cell>
          <cell r="D3882" t="str">
            <v>INTER BALEARES</v>
          </cell>
          <cell r="E3882" t="str">
            <v>01</v>
          </cell>
          <cell r="F3882" t="str">
            <v>PAQ24a26</v>
          </cell>
          <cell r="G3882" t="str">
            <v>B</v>
          </cell>
          <cell r="H3882">
            <v>178.16</v>
          </cell>
        </row>
        <row r="3883">
          <cell r="A3883" t="str">
            <v>1;01;IB;B;PAQ26a28</v>
          </cell>
          <cell r="B3883">
            <v>730069</v>
          </cell>
          <cell r="C3883" t="str">
            <v>IB</v>
          </cell>
          <cell r="D3883" t="str">
            <v>INTER BALEARES</v>
          </cell>
          <cell r="E3883" t="str">
            <v>01</v>
          </cell>
          <cell r="F3883" t="str">
            <v>PAQ26a28</v>
          </cell>
          <cell r="G3883" t="str">
            <v>B</v>
          </cell>
          <cell r="H3883">
            <v>192.18</v>
          </cell>
        </row>
        <row r="3884">
          <cell r="A3884" t="str">
            <v>1;01;IB;B;PAQ28a30</v>
          </cell>
          <cell r="B3884">
            <v>730069</v>
          </cell>
          <cell r="C3884" t="str">
            <v>IB</v>
          </cell>
          <cell r="D3884" t="str">
            <v>INTER BALEARES</v>
          </cell>
          <cell r="E3884" t="str">
            <v>01</v>
          </cell>
          <cell r="F3884" t="str">
            <v>PAQ28a30</v>
          </cell>
          <cell r="G3884" t="str">
            <v>B</v>
          </cell>
          <cell r="H3884">
            <v>206.19</v>
          </cell>
        </row>
        <row r="3885">
          <cell r="A3885" t="str">
            <v>1;01;IB;B;PAQ30a32</v>
          </cell>
          <cell r="B3885">
            <v>730069</v>
          </cell>
          <cell r="C3885" t="str">
            <v>IB</v>
          </cell>
          <cell r="D3885" t="str">
            <v>INTER BALEARES</v>
          </cell>
          <cell r="E3885" t="str">
            <v>01</v>
          </cell>
          <cell r="F3885" t="str">
            <v>PAQ30a32</v>
          </cell>
          <cell r="G3885" t="str">
            <v>B</v>
          </cell>
          <cell r="H3885">
            <v>220.21</v>
          </cell>
        </row>
        <row r="3886">
          <cell r="A3886" t="str">
            <v>1;01;IB;B;PAQ32a34</v>
          </cell>
          <cell r="B3886">
            <v>730069</v>
          </cell>
          <cell r="C3886" t="str">
            <v>IB</v>
          </cell>
          <cell r="D3886" t="str">
            <v>INTER BALEARES</v>
          </cell>
          <cell r="E3886" t="str">
            <v>01</v>
          </cell>
          <cell r="F3886" t="str">
            <v>PAQ32a34</v>
          </cell>
          <cell r="G3886" t="str">
            <v>B</v>
          </cell>
          <cell r="H3886">
            <v>234.21</v>
          </cell>
        </row>
        <row r="3887">
          <cell r="A3887" t="str">
            <v>1;01;IB;B;PAQ34a36</v>
          </cell>
          <cell r="B3887">
            <v>730069</v>
          </cell>
          <cell r="C3887" t="str">
            <v>IB</v>
          </cell>
          <cell r="D3887" t="str">
            <v>INTER BALEARES</v>
          </cell>
          <cell r="E3887" t="str">
            <v>01</v>
          </cell>
          <cell r="F3887" t="str">
            <v>PAQ34a36</v>
          </cell>
          <cell r="G3887" t="str">
            <v>B</v>
          </cell>
          <cell r="H3887">
            <v>248.23</v>
          </cell>
        </row>
        <row r="3888">
          <cell r="A3888" t="str">
            <v>1;01;IB;B;PAQ36a38</v>
          </cell>
          <cell r="B3888">
            <v>730069</v>
          </cell>
          <cell r="C3888" t="str">
            <v>IB</v>
          </cell>
          <cell r="D3888" t="str">
            <v>INTER BALEARES</v>
          </cell>
          <cell r="E3888" t="str">
            <v>01</v>
          </cell>
          <cell r="F3888" t="str">
            <v>PAQ36a38</v>
          </cell>
          <cell r="G3888" t="str">
            <v>B</v>
          </cell>
          <cell r="H3888">
            <v>262.24</v>
          </cell>
        </row>
        <row r="3889">
          <cell r="A3889" t="str">
            <v>1;01;IB;F;</v>
          </cell>
          <cell r="B3889">
            <v>730069</v>
          </cell>
          <cell r="C3889" t="str">
            <v>IB</v>
          </cell>
          <cell r="D3889" t="str">
            <v>INTER BALEARES</v>
          </cell>
          <cell r="E3889" t="str">
            <v>01</v>
          </cell>
          <cell r="F3889" t="str">
            <v/>
          </cell>
          <cell r="G3889" t="str">
            <v>F</v>
          </cell>
          <cell r="H3889">
            <v>14.02</v>
          </cell>
        </row>
        <row r="3890">
          <cell r="A3890" t="str">
            <v>1;01;IB;B;PAQ38a40</v>
          </cell>
          <cell r="B3890">
            <v>730069</v>
          </cell>
          <cell r="C3890" t="str">
            <v>IB</v>
          </cell>
          <cell r="D3890" t="str">
            <v>INTER BALEARES</v>
          </cell>
          <cell r="E3890" t="str">
            <v>01</v>
          </cell>
          <cell r="F3890" t="str">
            <v>PAQ38a40</v>
          </cell>
          <cell r="G3890" t="str">
            <v>B</v>
          </cell>
          <cell r="H3890">
            <v>276.26</v>
          </cell>
        </row>
        <row r="3891">
          <cell r="A3891" t="str">
            <v>1;01;IB;E;</v>
          </cell>
          <cell r="B3891">
            <v>730069</v>
          </cell>
          <cell r="C3891" t="str">
            <v>IB</v>
          </cell>
          <cell r="D3891" t="str">
            <v>INTER BALEARES</v>
          </cell>
          <cell r="E3891" t="str">
            <v>01</v>
          </cell>
          <cell r="F3891" t="str">
            <v/>
          </cell>
          <cell r="G3891" t="str">
            <v>E</v>
          </cell>
          <cell r="H3891">
            <v>0</v>
          </cell>
        </row>
        <row r="3892">
          <cell r="A3892" t="str">
            <v>1;01;IB;P;</v>
          </cell>
          <cell r="B3892">
            <v>730069</v>
          </cell>
          <cell r="C3892" t="str">
            <v>IB</v>
          </cell>
          <cell r="D3892" t="str">
            <v>INTER BALEARES</v>
          </cell>
          <cell r="E3892" t="str">
            <v>01</v>
          </cell>
          <cell r="F3892" t="str">
            <v/>
          </cell>
          <cell r="G3892" t="str">
            <v>P</v>
          </cell>
          <cell r="H3892">
            <v>0</v>
          </cell>
        </row>
        <row r="3893">
          <cell r="A3893" t="str">
            <v>1;02;IB;B;BAG</v>
          </cell>
          <cell r="B3893">
            <v>730069</v>
          </cell>
          <cell r="C3893" t="str">
            <v>IB</v>
          </cell>
          <cell r="D3893" t="str">
            <v>INTER BALEARES</v>
          </cell>
          <cell r="E3893" t="str">
            <v>02</v>
          </cell>
          <cell r="F3893" t="str">
            <v>BAG</v>
          </cell>
          <cell r="G3893" t="str">
            <v>B</v>
          </cell>
          <cell r="H3893">
            <v>10.7</v>
          </cell>
        </row>
        <row r="3894">
          <cell r="A3894" t="str">
            <v>1;02;IB;B;DOCS</v>
          </cell>
          <cell r="B3894">
            <v>730069</v>
          </cell>
          <cell r="C3894" t="str">
            <v>IB</v>
          </cell>
          <cell r="D3894" t="str">
            <v>INTER BALEARES</v>
          </cell>
          <cell r="E3894" t="str">
            <v>02</v>
          </cell>
          <cell r="F3894" t="str">
            <v>DOCS</v>
          </cell>
          <cell r="G3894" t="str">
            <v>B</v>
          </cell>
          <cell r="H3894">
            <v>9.1</v>
          </cell>
        </row>
        <row r="3895">
          <cell r="A3895" t="str">
            <v>1;02;IB;B;PAQ00a02</v>
          </cell>
          <cell r="B3895">
            <v>730069</v>
          </cell>
          <cell r="C3895" t="str">
            <v>IB</v>
          </cell>
          <cell r="D3895" t="str">
            <v>INTER BALEARES</v>
          </cell>
          <cell r="E3895" t="str">
            <v>02</v>
          </cell>
          <cell r="F3895" t="str">
            <v>PAQ00a02</v>
          </cell>
          <cell r="G3895" t="str">
            <v>B</v>
          </cell>
          <cell r="H3895">
            <v>10.7</v>
          </cell>
        </row>
        <row r="3896">
          <cell r="A3896" t="str">
            <v>1;02;IB;B;PAQ02a04</v>
          </cell>
          <cell r="B3896">
            <v>730069</v>
          </cell>
          <cell r="C3896" t="str">
            <v>IB</v>
          </cell>
          <cell r="D3896" t="str">
            <v>INTER BALEARES</v>
          </cell>
          <cell r="E3896" t="str">
            <v>02</v>
          </cell>
          <cell r="F3896" t="str">
            <v>PAQ02a04</v>
          </cell>
          <cell r="G3896" t="str">
            <v>B</v>
          </cell>
          <cell r="H3896">
            <v>16.010000000000002</v>
          </cell>
        </row>
        <row r="3897">
          <cell r="A3897" t="str">
            <v>1;02;IB;B;PAQ04a06</v>
          </cell>
          <cell r="B3897">
            <v>730069</v>
          </cell>
          <cell r="C3897" t="str">
            <v>IB</v>
          </cell>
          <cell r="D3897" t="str">
            <v>INTER BALEARES</v>
          </cell>
          <cell r="E3897" t="str">
            <v>02</v>
          </cell>
          <cell r="F3897" t="str">
            <v>PAQ04a06</v>
          </cell>
          <cell r="G3897" t="str">
            <v>B</v>
          </cell>
          <cell r="H3897">
            <v>22.21</v>
          </cell>
        </row>
        <row r="3898">
          <cell r="A3898" t="str">
            <v>1;02;IB;B;PAQ06a08</v>
          </cell>
          <cell r="B3898">
            <v>730069</v>
          </cell>
          <cell r="C3898" t="str">
            <v>IB</v>
          </cell>
          <cell r="D3898" t="str">
            <v>INTER BALEARES</v>
          </cell>
          <cell r="E3898" t="str">
            <v>02</v>
          </cell>
          <cell r="F3898" t="str">
            <v>PAQ06a08</v>
          </cell>
          <cell r="G3898" t="str">
            <v>B</v>
          </cell>
          <cell r="H3898">
            <v>28.4</v>
          </cell>
        </row>
        <row r="3899">
          <cell r="A3899" t="str">
            <v>1;02;IB;B;PAQ08a10</v>
          </cell>
          <cell r="B3899">
            <v>730069</v>
          </cell>
          <cell r="C3899" t="str">
            <v>IB</v>
          </cell>
          <cell r="D3899" t="str">
            <v>INTER BALEARES</v>
          </cell>
          <cell r="E3899" t="str">
            <v>02</v>
          </cell>
          <cell r="F3899" t="str">
            <v>PAQ08a10</v>
          </cell>
          <cell r="G3899" t="str">
            <v>B</v>
          </cell>
          <cell r="H3899">
            <v>34.6</v>
          </cell>
        </row>
        <row r="3900">
          <cell r="A3900" t="str">
            <v>1;02;IB;B;PAQ10a12</v>
          </cell>
          <cell r="B3900">
            <v>730069</v>
          </cell>
          <cell r="C3900" t="str">
            <v>IB</v>
          </cell>
          <cell r="D3900" t="str">
            <v>INTER BALEARES</v>
          </cell>
          <cell r="E3900" t="str">
            <v>02</v>
          </cell>
          <cell r="F3900" t="str">
            <v>PAQ10a12</v>
          </cell>
          <cell r="G3900" t="str">
            <v>B</v>
          </cell>
          <cell r="H3900">
            <v>40.79</v>
          </cell>
        </row>
        <row r="3901">
          <cell r="A3901" t="str">
            <v>1;02;IB;B;PAQ12a14</v>
          </cell>
          <cell r="B3901">
            <v>730069</v>
          </cell>
          <cell r="C3901" t="str">
            <v>IB</v>
          </cell>
          <cell r="D3901" t="str">
            <v>INTER BALEARES</v>
          </cell>
          <cell r="E3901" t="str">
            <v>02</v>
          </cell>
          <cell r="F3901" t="str">
            <v>PAQ12a14</v>
          </cell>
          <cell r="G3901" t="str">
            <v>B</v>
          </cell>
          <cell r="H3901">
            <v>46.99</v>
          </cell>
        </row>
        <row r="3902">
          <cell r="A3902" t="str">
            <v>1;02;IB;B;PAQ14a16</v>
          </cell>
          <cell r="B3902">
            <v>730069</v>
          </cell>
          <cell r="C3902" t="str">
            <v>IB</v>
          </cell>
          <cell r="D3902" t="str">
            <v>INTER BALEARES</v>
          </cell>
          <cell r="E3902" t="str">
            <v>02</v>
          </cell>
          <cell r="F3902" t="str">
            <v>PAQ14a16</v>
          </cell>
          <cell r="G3902" t="str">
            <v>B</v>
          </cell>
          <cell r="H3902">
            <v>53.18</v>
          </cell>
        </row>
        <row r="3903">
          <cell r="A3903" t="str">
            <v>1;02;IB;B;PAQ16a18</v>
          </cell>
          <cell r="B3903">
            <v>730069</v>
          </cell>
          <cell r="C3903" t="str">
            <v>IB</v>
          </cell>
          <cell r="D3903" t="str">
            <v>INTER BALEARES</v>
          </cell>
          <cell r="E3903" t="str">
            <v>02</v>
          </cell>
          <cell r="F3903" t="str">
            <v>PAQ16a18</v>
          </cell>
          <cell r="G3903" t="str">
            <v>B</v>
          </cell>
          <cell r="H3903">
            <v>59.38</v>
          </cell>
        </row>
        <row r="3904">
          <cell r="A3904" t="str">
            <v>1;02;IB;B;PAQ18a20</v>
          </cell>
          <cell r="B3904">
            <v>730069</v>
          </cell>
          <cell r="C3904" t="str">
            <v>IB</v>
          </cell>
          <cell r="D3904" t="str">
            <v>INTER BALEARES</v>
          </cell>
          <cell r="E3904" t="str">
            <v>02</v>
          </cell>
          <cell r="F3904" t="str">
            <v>PAQ18a20</v>
          </cell>
          <cell r="G3904" t="str">
            <v>B</v>
          </cell>
          <cell r="H3904">
            <v>65.569999999999993</v>
          </cell>
        </row>
        <row r="3905">
          <cell r="A3905" t="str">
            <v>1;02;IB;B;PAQ20a22</v>
          </cell>
          <cell r="B3905">
            <v>730069</v>
          </cell>
          <cell r="C3905" t="str">
            <v>IB</v>
          </cell>
          <cell r="D3905" t="str">
            <v>INTER BALEARES</v>
          </cell>
          <cell r="E3905" t="str">
            <v>02</v>
          </cell>
          <cell r="F3905" t="str">
            <v>PAQ20a22</v>
          </cell>
          <cell r="G3905" t="str">
            <v>B</v>
          </cell>
          <cell r="H3905">
            <v>71.78</v>
          </cell>
        </row>
        <row r="3906">
          <cell r="A3906" t="str">
            <v>1;02;IB;B;PAQ22a24</v>
          </cell>
          <cell r="B3906">
            <v>730069</v>
          </cell>
          <cell r="C3906" t="str">
            <v>IB</v>
          </cell>
          <cell r="D3906" t="str">
            <v>INTER BALEARES</v>
          </cell>
          <cell r="E3906" t="str">
            <v>02</v>
          </cell>
          <cell r="F3906" t="str">
            <v>PAQ22a24</v>
          </cell>
          <cell r="G3906" t="str">
            <v>B</v>
          </cell>
          <cell r="H3906">
            <v>77.97</v>
          </cell>
        </row>
        <row r="3907">
          <cell r="A3907" t="str">
            <v>1;02;IB;B;PAQ24a26</v>
          </cell>
          <cell r="B3907">
            <v>730069</v>
          </cell>
          <cell r="C3907" t="str">
            <v>IB</v>
          </cell>
          <cell r="D3907" t="str">
            <v>INTER BALEARES</v>
          </cell>
          <cell r="E3907" t="str">
            <v>02</v>
          </cell>
          <cell r="F3907" t="str">
            <v>PAQ24a26</v>
          </cell>
          <cell r="G3907" t="str">
            <v>B</v>
          </cell>
          <cell r="H3907">
            <v>84.17</v>
          </cell>
        </row>
        <row r="3908">
          <cell r="A3908" t="str">
            <v>1;02;IB;B;PAQ26a28</v>
          </cell>
          <cell r="B3908">
            <v>730069</v>
          </cell>
          <cell r="C3908" t="str">
            <v>IB</v>
          </cell>
          <cell r="D3908" t="str">
            <v>INTER BALEARES</v>
          </cell>
          <cell r="E3908" t="str">
            <v>02</v>
          </cell>
          <cell r="F3908" t="str">
            <v>PAQ26a28</v>
          </cell>
          <cell r="G3908" t="str">
            <v>B</v>
          </cell>
          <cell r="H3908">
            <v>90.36</v>
          </cell>
        </row>
        <row r="3909">
          <cell r="A3909" t="str">
            <v>1;02;IB;B;PAQ28a30</v>
          </cell>
          <cell r="B3909">
            <v>730069</v>
          </cell>
          <cell r="C3909" t="str">
            <v>IB</v>
          </cell>
          <cell r="D3909" t="str">
            <v>INTER BALEARES</v>
          </cell>
          <cell r="E3909" t="str">
            <v>02</v>
          </cell>
          <cell r="F3909" t="str">
            <v>PAQ28a30</v>
          </cell>
          <cell r="G3909" t="str">
            <v>B</v>
          </cell>
          <cell r="H3909">
            <v>96.56</v>
          </cell>
        </row>
        <row r="3910">
          <cell r="A3910" t="str">
            <v>1;02;IB;B;PAQ30a32</v>
          </cell>
          <cell r="B3910">
            <v>730069</v>
          </cell>
          <cell r="C3910" t="str">
            <v>IB</v>
          </cell>
          <cell r="D3910" t="str">
            <v>INTER BALEARES</v>
          </cell>
          <cell r="E3910" t="str">
            <v>02</v>
          </cell>
          <cell r="F3910" t="str">
            <v>PAQ30a32</v>
          </cell>
          <cell r="G3910" t="str">
            <v>B</v>
          </cell>
          <cell r="H3910">
            <v>102.75</v>
          </cell>
        </row>
        <row r="3911">
          <cell r="A3911" t="str">
            <v>1;02;IB;B;PAQ32a34</v>
          </cell>
          <cell r="B3911">
            <v>730069</v>
          </cell>
          <cell r="C3911" t="str">
            <v>IB</v>
          </cell>
          <cell r="D3911" t="str">
            <v>INTER BALEARES</v>
          </cell>
          <cell r="E3911" t="str">
            <v>02</v>
          </cell>
          <cell r="F3911" t="str">
            <v>PAQ32a34</v>
          </cell>
          <cell r="G3911" t="str">
            <v>B</v>
          </cell>
          <cell r="H3911">
            <v>108.95</v>
          </cell>
        </row>
        <row r="3912">
          <cell r="A3912" t="str">
            <v>1;02;IB;B;PAQ34a36</v>
          </cell>
          <cell r="B3912">
            <v>730069</v>
          </cell>
          <cell r="C3912" t="str">
            <v>IB</v>
          </cell>
          <cell r="D3912" t="str">
            <v>INTER BALEARES</v>
          </cell>
          <cell r="E3912" t="str">
            <v>02</v>
          </cell>
          <cell r="F3912" t="str">
            <v>PAQ34a36</v>
          </cell>
          <cell r="G3912" t="str">
            <v>B</v>
          </cell>
          <cell r="H3912">
            <v>115.14</v>
          </cell>
        </row>
        <row r="3913">
          <cell r="A3913" t="str">
            <v>1;02;IB;B;PAQ36a38</v>
          </cell>
          <cell r="B3913">
            <v>730069</v>
          </cell>
          <cell r="C3913" t="str">
            <v>IB</v>
          </cell>
          <cell r="D3913" t="str">
            <v>INTER BALEARES</v>
          </cell>
          <cell r="E3913" t="str">
            <v>02</v>
          </cell>
          <cell r="F3913" t="str">
            <v>PAQ36a38</v>
          </cell>
          <cell r="G3913" t="str">
            <v>B</v>
          </cell>
          <cell r="H3913">
            <v>121.34</v>
          </cell>
        </row>
        <row r="3914">
          <cell r="A3914" t="str">
            <v>1;02;IB;B;PAQ38a40</v>
          </cell>
          <cell r="B3914">
            <v>730069</v>
          </cell>
          <cell r="C3914" t="str">
            <v>IB</v>
          </cell>
          <cell r="D3914" t="str">
            <v>INTER BALEARES</v>
          </cell>
          <cell r="E3914" t="str">
            <v>02</v>
          </cell>
          <cell r="F3914" t="str">
            <v>PAQ38a40</v>
          </cell>
          <cell r="G3914" t="str">
            <v>B</v>
          </cell>
          <cell r="H3914">
            <v>127.53</v>
          </cell>
        </row>
        <row r="3915">
          <cell r="A3915" t="str">
            <v>1;02;IB;F;</v>
          </cell>
          <cell r="B3915">
            <v>730069</v>
          </cell>
          <cell r="C3915" t="str">
            <v>IB</v>
          </cell>
          <cell r="D3915" t="str">
            <v>INTER BALEARES</v>
          </cell>
          <cell r="E3915" t="str">
            <v>02</v>
          </cell>
          <cell r="F3915" t="str">
            <v/>
          </cell>
          <cell r="G3915" t="str">
            <v>F</v>
          </cell>
          <cell r="H3915">
            <v>6.2</v>
          </cell>
        </row>
        <row r="3916">
          <cell r="A3916" t="str">
            <v>1;02;IB;E;</v>
          </cell>
          <cell r="B3916">
            <v>730069</v>
          </cell>
          <cell r="C3916" t="str">
            <v>IB</v>
          </cell>
          <cell r="D3916" t="str">
            <v>INTER BALEARES</v>
          </cell>
          <cell r="E3916" t="str">
            <v>02</v>
          </cell>
          <cell r="F3916" t="str">
            <v/>
          </cell>
          <cell r="G3916" t="str">
            <v>E</v>
          </cell>
          <cell r="H3916">
            <v>0</v>
          </cell>
        </row>
        <row r="3917">
          <cell r="A3917" t="str">
            <v>1;02;IB;P;</v>
          </cell>
          <cell r="B3917">
            <v>730069</v>
          </cell>
          <cell r="C3917" t="str">
            <v>IB</v>
          </cell>
          <cell r="D3917" t="str">
            <v>INTER BALEARES</v>
          </cell>
          <cell r="E3917" t="str">
            <v>02</v>
          </cell>
          <cell r="F3917" t="str">
            <v/>
          </cell>
          <cell r="G3917" t="str">
            <v>P</v>
          </cell>
          <cell r="H3917">
            <v>0</v>
          </cell>
        </row>
        <row r="3918">
          <cell r="A3918" t="str">
            <v>1;04;IB;B;BAG</v>
          </cell>
          <cell r="B3918">
            <v>730069</v>
          </cell>
          <cell r="C3918" t="str">
            <v>IB</v>
          </cell>
          <cell r="D3918" t="str">
            <v>INTER BALEARES</v>
          </cell>
          <cell r="E3918" t="str">
            <v>04</v>
          </cell>
          <cell r="F3918" t="str">
            <v>BAG</v>
          </cell>
          <cell r="G3918" t="str">
            <v>B</v>
          </cell>
          <cell r="H3918">
            <v>5.76</v>
          </cell>
        </row>
        <row r="3919">
          <cell r="A3919" t="str">
            <v>1;05;IB;B;BAG</v>
          </cell>
          <cell r="B3919">
            <v>730069</v>
          </cell>
          <cell r="C3919" t="str">
            <v>IB</v>
          </cell>
          <cell r="D3919" t="str">
            <v>INTER BALEARES</v>
          </cell>
          <cell r="E3919" t="str">
            <v>05</v>
          </cell>
          <cell r="F3919" t="str">
            <v>BAG</v>
          </cell>
          <cell r="G3919" t="str">
            <v>B</v>
          </cell>
          <cell r="H3919">
            <v>5.76</v>
          </cell>
        </row>
        <row r="3920">
          <cell r="A3920" t="str">
            <v>1;06;IB;B;BAG</v>
          </cell>
          <cell r="B3920">
            <v>730069</v>
          </cell>
          <cell r="C3920" t="str">
            <v>IB</v>
          </cell>
          <cell r="D3920" t="str">
            <v>INTER BALEARES</v>
          </cell>
          <cell r="E3920" t="str">
            <v>06</v>
          </cell>
          <cell r="F3920" t="str">
            <v>BAG</v>
          </cell>
          <cell r="G3920" t="str">
            <v>B</v>
          </cell>
          <cell r="H3920">
            <v>0</v>
          </cell>
        </row>
        <row r="3921">
          <cell r="A3921" t="str">
            <v>1;06;IB;B;DOCS</v>
          </cell>
          <cell r="B3921">
            <v>730069</v>
          </cell>
          <cell r="C3921" t="str">
            <v>IB</v>
          </cell>
          <cell r="D3921" t="str">
            <v>INTER BALEARES</v>
          </cell>
          <cell r="E3921" t="str">
            <v>06</v>
          </cell>
          <cell r="F3921" t="str">
            <v>DOCS</v>
          </cell>
          <cell r="G3921" t="str">
            <v>B</v>
          </cell>
          <cell r="H3921">
            <v>0</v>
          </cell>
        </row>
        <row r="3922">
          <cell r="A3922" t="str">
            <v>1;06;IB;B;PAQ00a02</v>
          </cell>
          <cell r="B3922">
            <v>730069</v>
          </cell>
          <cell r="C3922" t="str">
            <v>IB</v>
          </cell>
          <cell r="D3922" t="str">
            <v>INTER BALEARES</v>
          </cell>
          <cell r="E3922" t="str">
            <v>06</v>
          </cell>
          <cell r="F3922" t="str">
            <v>PAQ00a02</v>
          </cell>
          <cell r="G3922" t="str">
            <v>B</v>
          </cell>
          <cell r="H3922">
            <v>0</v>
          </cell>
        </row>
        <row r="3923">
          <cell r="A3923" t="str">
            <v>1;06;IB;B;PAQ02a04</v>
          </cell>
          <cell r="B3923">
            <v>730069</v>
          </cell>
          <cell r="C3923" t="str">
            <v>IB</v>
          </cell>
          <cell r="D3923" t="str">
            <v>INTER BALEARES</v>
          </cell>
          <cell r="E3923" t="str">
            <v>06</v>
          </cell>
          <cell r="F3923" t="str">
            <v>PAQ02a04</v>
          </cell>
          <cell r="G3923" t="str">
            <v>B</v>
          </cell>
          <cell r="H3923">
            <v>0</v>
          </cell>
        </row>
        <row r="3924">
          <cell r="A3924" t="str">
            <v>1;06;IB;B;PAQ04a06</v>
          </cell>
          <cell r="B3924">
            <v>730069</v>
          </cell>
          <cell r="C3924" t="str">
            <v>IB</v>
          </cell>
          <cell r="D3924" t="str">
            <v>INTER BALEARES</v>
          </cell>
          <cell r="E3924" t="str">
            <v>06</v>
          </cell>
          <cell r="F3924" t="str">
            <v>PAQ04a06</v>
          </cell>
          <cell r="G3924" t="str">
            <v>B</v>
          </cell>
          <cell r="H3924">
            <v>0</v>
          </cell>
        </row>
        <row r="3925">
          <cell r="A3925" t="str">
            <v>1;06;IB;B;PAQ06a08</v>
          </cell>
          <cell r="B3925">
            <v>730069</v>
          </cell>
          <cell r="C3925" t="str">
            <v>IB</v>
          </cell>
          <cell r="D3925" t="str">
            <v>INTER BALEARES</v>
          </cell>
          <cell r="E3925" t="str">
            <v>06</v>
          </cell>
          <cell r="F3925" t="str">
            <v>PAQ06a08</v>
          </cell>
          <cell r="G3925" t="str">
            <v>B</v>
          </cell>
          <cell r="H3925">
            <v>0</v>
          </cell>
        </row>
        <row r="3926">
          <cell r="A3926" t="str">
            <v>1;06;IB;B;PAQ08a10</v>
          </cell>
          <cell r="B3926">
            <v>730069</v>
          </cell>
          <cell r="C3926" t="str">
            <v>IB</v>
          </cell>
          <cell r="D3926" t="str">
            <v>INTER BALEARES</v>
          </cell>
          <cell r="E3926" t="str">
            <v>06</v>
          </cell>
          <cell r="F3926" t="str">
            <v>PAQ08a10</v>
          </cell>
          <cell r="G3926" t="str">
            <v>B</v>
          </cell>
          <cell r="H3926">
            <v>0</v>
          </cell>
        </row>
        <row r="3927">
          <cell r="A3927" t="str">
            <v>1;06;IB;B;PAQ10a12</v>
          </cell>
          <cell r="B3927">
            <v>730069</v>
          </cell>
          <cell r="C3927" t="str">
            <v>IB</v>
          </cell>
          <cell r="D3927" t="str">
            <v>INTER BALEARES</v>
          </cell>
          <cell r="E3927" t="str">
            <v>06</v>
          </cell>
          <cell r="F3927" t="str">
            <v>PAQ10a12</v>
          </cell>
          <cell r="G3927" t="str">
            <v>B</v>
          </cell>
          <cell r="H3927">
            <v>0</v>
          </cell>
        </row>
        <row r="3928">
          <cell r="A3928" t="str">
            <v>1;06;IB;B;PAQ12a14</v>
          </cell>
          <cell r="B3928">
            <v>730069</v>
          </cell>
          <cell r="C3928" t="str">
            <v>IB</v>
          </cell>
          <cell r="D3928" t="str">
            <v>INTER BALEARES</v>
          </cell>
          <cell r="E3928" t="str">
            <v>06</v>
          </cell>
          <cell r="F3928" t="str">
            <v>PAQ12a14</v>
          </cell>
          <cell r="G3928" t="str">
            <v>B</v>
          </cell>
          <cell r="H3928">
            <v>0</v>
          </cell>
        </row>
        <row r="3929">
          <cell r="A3929" t="str">
            <v>1;06;IB;B;PAQ14a16</v>
          </cell>
          <cell r="B3929">
            <v>730069</v>
          </cell>
          <cell r="C3929" t="str">
            <v>IB</v>
          </cell>
          <cell r="D3929" t="str">
            <v>INTER BALEARES</v>
          </cell>
          <cell r="E3929" t="str">
            <v>06</v>
          </cell>
          <cell r="F3929" t="str">
            <v>PAQ14a16</v>
          </cell>
          <cell r="G3929" t="str">
            <v>B</v>
          </cell>
          <cell r="H3929">
            <v>0</v>
          </cell>
        </row>
        <row r="3930">
          <cell r="A3930" t="str">
            <v>1;06;IB;B;PAQ16a18</v>
          </cell>
          <cell r="B3930">
            <v>730069</v>
          </cell>
          <cell r="C3930" t="str">
            <v>IB</v>
          </cell>
          <cell r="D3930" t="str">
            <v>INTER BALEARES</v>
          </cell>
          <cell r="E3930" t="str">
            <v>06</v>
          </cell>
          <cell r="F3930" t="str">
            <v>PAQ16a18</v>
          </cell>
          <cell r="G3930" t="str">
            <v>B</v>
          </cell>
          <cell r="H3930">
            <v>0</v>
          </cell>
        </row>
        <row r="3931">
          <cell r="A3931" t="str">
            <v>1;06;IB;B;PAQ18a20</v>
          </cell>
          <cell r="B3931">
            <v>730069</v>
          </cell>
          <cell r="C3931" t="str">
            <v>IB</v>
          </cell>
          <cell r="D3931" t="str">
            <v>INTER BALEARES</v>
          </cell>
          <cell r="E3931" t="str">
            <v>06</v>
          </cell>
          <cell r="F3931" t="str">
            <v>PAQ18a20</v>
          </cell>
          <cell r="G3931" t="str">
            <v>B</v>
          </cell>
          <cell r="H3931">
            <v>0</v>
          </cell>
        </row>
        <row r="3932">
          <cell r="A3932" t="str">
            <v>1;06;IB;B;PAQ20a22</v>
          </cell>
          <cell r="B3932">
            <v>730069</v>
          </cell>
          <cell r="C3932" t="str">
            <v>IB</v>
          </cell>
          <cell r="D3932" t="str">
            <v>INTER BALEARES</v>
          </cell>
          <cell r="E3932" t="str">
            <v>06</v>
          </cell>
          <cell r="F3932" t="str">
            <v>PAQ20a22</v>
          </cell>
          <cell r="G3932" t="str">
            <v>B</v>
          </cell>
          <cell r="H3932">
            <v>0</v>
          </cell>
        </row>
        <row r="3933">
          <cell r="A3933" t="str">
            <v>1;06;IB;B;PAQ22a24</v>
          </cell>
          <cell r="B3933">
            <v>730069</v>
          </cell>
          <cell r="C3933" t="str">
            <v>IB</v>
          </cell>
          <cell r="D3933" t="str">
            <v>INTER BALEARES</v>
          </cell>
          <cell r="E3933" t="str">
            <v>06</v>
          </cell>
          <cell r="F3933" t="str">
            <v>PAQ22a24</v>
          </cell>
          <cell r="G3933" t="str">
            <v>B</v>
          </cell>
          <cell r="H3933">
            <v>0</v>
          </cell>
        </row>
        <row r="3934">
          <cell r="A3934" t="str">
            <v>1;06;IB;B;PAQ24a26</v>
          </cell>
          <cell r="B3934">
            <v>730069</v>
          </cell>
          <cell r="C3934" t="str">
            <v>IB</v>
          </cell>
          <cell r="D3934" t="str">
            <v>INTER BALEARES</v>
          </cell>
          <cell r="E3934" t="str">
            <v>06</v>
          </cell>
          <cell r="F3934" t="str">
            <v>PAQ24a26</v>
          </cell>
          <cell r="G3934" t="str">
            <v>B</v>
          </cell>
          <cell r="H3934">
            <v>0</v>
          </cell>
        </row>
        <row r="3935">
          <cell r="A3935" t="str">
            <v>1;06;IB;B;PAQ26a28</v>
          </cell>
          <cell r="B3935">
            <v>730069</v>
          </cell>
          <cell r="C3935" t="str">
            <v>IB</v>
          </cell>
          <cell r="D3935" t="str">
            <v>INTER BALEARES</v>
          </cell>
          <cell r="E3935" t="str">
            <v>06</v>
          </cell>
          <cell r="F3935" t="str">
            <v>PAQ26a28</v>
          </cell>
          <cell r="G3935" t="str">
            <v>B</v>
          </cell>
          <cell r="H3935">
            <v>0</v>
          </cell>
        </row>
        <row r="3936">
          <cell r="A3936" t="str">
            <v>1;06;IB;B;PAQ28a30</v>
          </cell>
          <cell r="B3936">
            <v>730069</v>
          </cell>
          <cell r="C3936" t="str">
            <v>IB</v>
          </cell>
          <cell r="D3936" t="str">
            <v>INTER BALEARES</v>
          </cell>
          <cell r="E3936" t="str">
            <v>06</v>
          </cell>
          <cell r="F3936" t="str">
            <v>PAQ28a30</v>
          </cell>
          <cell r="G3936" t="str">
            <v>B</v>
          </cell>
          <cell r="H3936">
            <v>0</v>
          </cell>
        </row>
        <row r="3937">
          <cell r="A3937" t="str">
            <v>1;06;IB;B;PAQ30a32</v>
          </cell>
          <cell r="B3937">
            <v>730069</v>
          </cell>
          <cell r="C3937" t="str">
            <v>IB</v>
          </cell>
          <cell r="D3937" t="str">
            <v>INTER BALEARES</v>
          </cell>
          <cell r="E3937" t="str">
            <v>06</v>
          </cell>
          <cell r="F3937" t="str">
            <v>PAQ30a32</v>
          </cell>
          <cell r="G3937" t="str">
            <v>B</v>
          </cell>
          <cell r="H3937">
            <v>0</v>
          </cell>
        </row>
        <row r="3938">
          <cell r="A3938" t="str">
            <v>1;06;IB;B;PAQ32a34</v>
          </cell>
          <cell r="B3938">
            <v>730069</v>
          </cell>
          <cell r="C3938" t="str">
            <v>IB</v>
          </cell>
          <cell r="D3938" t="str">
            <v>INTER BALEARES</v>
          </cell>
          <cell r="E3938" t="str">
            <v>06</v>
          </cell>
          <cell r="F3938" t="str">
            <v>PAQ32a34</v>
          </cell>
          <cell r="G3938" t="str">
            <v>B</v>
          </cell>
          <cell r="H3938">
            <v>0</v>
          </cell>
        </row>
        <row r="3939">
          <cell r="A3939" t="str">
            <v>1;06;IB;B;PAQ34a36</v>
          </cell>
          <cell r="B3939">
            <v>730069</v>
          </cell>
          <cell r="C3939" t="str">
            <v>IB</v>
          </cell>
          <cell r="D3939" t="str">
            <v>INTER BALEARES</v>
          </cell>
          <cell r="E3939" t="str">
            <v>06</v>
          </cell>
          <cell r="F3939" t="str">
            <v>PAQ34a36</v>
          </cell>
          <cell r="G3939" t="str">
            <v>B</v>
          </cell>
          <cell r="H3939">
            <v>0</v>
          </cell>
        </row>
        <row r="3940">
          <cell r="A3940" t="str">
            <v>1;06;IB;B;PAQ36a38</v>
          </cell>
          <cell r="B3940">
            <v>730069</v>
          </cell>
          <cell r="C3940" t="str">
            <v>IB</v>
          </cell>
          <cell r="D3940" t="str">
            <v>INTER BALEARES</v>
          </cell>
          <cell r="E3940" t="str">
            <v>06</v>
          </cell>
          <cell r="F3940" t="str">
            <v>PAQ36a38</v>
          </cell>
          <cell r="G3940" t="str">
            <v>B</v>
          </cell>
          <cell r="H3940">
            <v>0</v>
          </cell>
        </row>
        <row r="3941">
          <cell r="A3941" t="str">
            <v>1;06;IB;B;PAQ38a40</v>
          </cell>
          <cell r="B3941">
            <v>730069</v>
          </cell>
          <cell r="C3941" t="str">
            <v>IB</v>
          </cell>
          <cell r="D3941" t="str">
            <v>INTER BALEARES</v>
          </cell>
          <cell r="E3941" t="str">
            <v>06</v>
          </cell>
          <cell r="F3941" t="str">
            <v>PAQ38a40</v>
          </cell>
          <cell r="G3941" t="str">
            <v>B</v>
          </cell>
          <cell r="H3941">
            <v>0</v>
          </cell>
        </row>
        <row r="3942">
          <cell r="A3942" t="str">
            <v>1;06;IB;F;</v>
          </cell>
          <cell r="B3942">
            <v>730069</v>
          </cell>
          <cell r="C3942" t="str">
            <v>IB</v>
          </cell>
          <cell r="D3942" t="str">
            <v>INTER BALEARES</v>
          </cell>
          <cell r="E3942" t="str">
            <v>06</v>
          </cell>
          <cell r="F3942" t="str">
            <v/>
          </cell>
          <cell r="G3942" t="str">
            <v>F</v>
          </cell>
          <cell r="H3942">
            <v>0</v>
          </cell>
        </row>
        <row r="3943">
          <cell r="A3943" t="str">
            <v>1;06;IB;P;</v>
          </cell>
          <cell r="B3943">
            <v>730069</v>
          </cell>
          <cell r="C3943" t="str">
            <v>IB</v>
          </cell>
          <cell r="D3943" t="str">
            <v>INTER BALEARES</v>
          </cell>
          <cell r="E3943" t="str">
            <v>06</v>
          </cell>
          <cell r="F3943" t="str">
            <v/>
          </cell>
          <cell r="G3943" t="str">
            <v>P</v>
          </cell>
          <cell r="H3943">
            <v>0</v>
          </cell>
        </row>
        <row r="3944">
          <cell r="A3944" t="str">
            <v>1;06;IB;E;</v>
          </cell>
          <cell r="B3944">
            <v>730069</v>
          </cell>
          <cell r="C3944" t="str">
            <v>IB</v>
          </cell>
          <cell r="D3944" t="str">
            <v>INTER BALEARES</v>
          </cell>
          <cell r="E3944" t="str">
            <v>06</v>
          </cell>
          <cell r="F3944" t="str">
            <v/>
          </cell>
          <cell r="G3944" t="str">
            <v>E</v>
          </cell>
          <cell r="H3944">
            <v>0</v>
          </cell>
        </row>
        <row r="3945">
          <cell r="A3945" t="str">
            <v>1;07;IB;B;BAG</v>
          </cell>
          <cell r="B3945">
            <v>730069</v>
          </cell>
          <cell r="C3945" t="str">
            <v>IB</v>
          </cell>
          <cell r="D3945" t="str">
            <v>INTER BALEARES</v>
          </cell>
          <cell r="E3945" t="str">
            <v>07</v>
          </cell>
          <cell r="F3945" t="str">
            <v>BAG</v>
          </cell>
          <cell r="G3945" t="str">
            <v>B</v>
          </cell>
          <cell r="H3945">
            <v>0</v>
          </cell>
        </row>
        <row r="3946">
          <cell r="A3946" t="str">
            <v>1;07;IB;B;DOCS</v>
          </cell>
          <cell r="B3946">
            <v>730069</v>
          </cell>
          <cell r="C3946" t="str">
            <v>IB</v>
          </cell>
          <cell r="D3946" t="str">
            <v>INTER BALEARES</v>
          </cell>
          <cell r="E3946" t="str">
            <v>07</v>
          </cell>
          <cell r="F3946" t="str">
            <v>DOCS</v>
          </cell>
          <cell r="G3946" t="str">
            <v>B</v>
          </cell>
          <cell r="H3946">
            <v>0</v>
          </cell>
        </row>
        <row r="3947">
          <cell r="A3947" t="str">
            <v>1;07;IB;B;PAQ00a02</v>
          </cell>
          <cell r="B3947">
            <v>730069</v>
          </cell>
          <cell r="C3947" t="str">
            <v>IB</v>
          </cell>
          <cell r="D3947" t="str">
            <v>INTER BALEARES</v>
          </cell>
          <cell r="E3947" t="str">
            <v>07</v>
          </cell>
          <cell r="F3947" t="str">
            <v>PAQ00a02</v>
          </cell>
          <cell r="G3947" t="str">
            <v>B</v>
          </cell>
          <cell r="H3947">
            <v>0</v>
          </cell>
        </row>
        <row r="3948">
          <cell r="A3948" t="str">
            <v>1;07;IB;B;PAQ02a04</v>
          </cell>
          <cell r="B3948">
            <v>730069</v>
          </cell>
          <cell r="C3948" t="str">
            <v>IB</v>
          </cell>
          <cell r="D3948" t="str">
            <v>INTER BALEARES</v>
          </cell>
          <cell r="E3948" t="str">
            <v>07</v>
          </cell>
          <cell r="F3948" t="str">
            <v>PAQ02a04</v>
          </cell>
          <cell r="G3948" t="str">
            <v>B</v>
          </cell>
          <cell r="H3948">
            <v>0</v>
          </cell>
        </row>
        <row r="3949">
          <cell r="A3949" t="str">
            <v>1;07;IB;B;PAQ04a06</v>
          </cell>
          <cell r="B3949">
            <v>730069</v>
          </cell>
          <cell r="C3949" t="str">
            <v>IB</v>
          </cell>
          <cell r="D3949" t="str">
            <v>INTER BALEARES</v>
          </cell>
          <cell r="E3949" t="str">
            <v>07</v>
          </cell>
          <cell r="F3949" t="str">
            <v>PAQ04a06</v>
          </cell>
          <cell r="G3949" t="str">
            <v>B</v>
          </cell>
          <cell r="H3949">
            <v>0</v>
          </cell>
        </row>
        <row r="3950">
          <cell r="A3950" t="str">
            <v>1;07;IB;B;PAQ06a08</v>
          </cell>
          <cell r="B3950">
            <v>730069</v>
          </cell>
          <cell r="C3950" t="str">
            <v>IB</v>
          </cell>
          <cell r="D3950" t="str">
            <v>INTER BALEARES</v>
          </cell>
          <cell r="E3950" t="str">
            <v>07</v>
          </cell>
          <cell r="F3950" t="str">
            <v>PAQ06a08</v>
          </cell>
          <cell r="G3950" t="str">
            <v>B</v>
          </cell>
          <cell r="H3950">
            <v>0</v>
          </cell>
        </row>
        <row r="3951">
          <cell r="A3951" t="str">
            <v>1;07;IB;B;PAQ08a10</v>
          </cell>
          <cell r="B3951">
            <v>730069</v>
          </cell>
          <cell r="C3951" t="str">
            <v>IB</v>
          </cell>
          <cell r="D3951" t="str">
            <v>INTER BALEARES</v>
          </cell>
          <cell r="E3951" t="str">
            <v>07</v>
          </cell>
          <cell r="F3951" t="str">
            <v>PAQ08a10</v>
          </cell>
          <cell r="G3951" t="str">
            <v>B</v>
          </cell>
          <cell r="H3951">
            <v>0</v>
          </cell>
        </row>
        <row r="3952">
          <cell r="A3952" t="str">
            <v>1;07;IB;B;PAQ10a12</v>
          </cell>
          <cell r="B3952">
            <v>730069</v>
          </cell>
          <cell r="C3952" t="str">
            <v>IB</v>
          </cell>
          <cell r="D3952" t="str">
            <v>INTER BALEARES</v>
          </cell>
          <cell r="E3952" t="str">
            <v>07</v>
          </cell>
          <cell r="F3952" t="str">
            <v>PAQ10a12</v>
          </cell>
          <cell r="G3952" t="str">
            <v>B</v>
          </cell>
          <cell r="H3952">
            <v>0</v>
          </cell>
        </row>
        <row r="3953">
          <cell r="A3953" t="str">
            <v>1;07;IB;B;PAQ12a14</v>
          </cell>
          <cell r="B3953">
            <v>730069</v>
          </cell>
          <cell r="C3953" t="str">
            <v>IB</v>
          </cell>
          <cell r="D3953" t="str">
            <v>INTER BALEARES</v>
          </cell>
          <cell r="E3953" t="str">
            <v>07</v>
          </cell>
          <cell r="F3953" t="str">
            <v>PAQ12a14</v>
          </cell>
          <cell r="G3953" t="str">
            <v>B</v>
          </cell>
          <cell r="H3953">
            <v>0</v>
          </cell>
        </row>
        <row r="3954">
          <cell r="A3954" t="str">
            <v>1;07;IB;B;PAQ14a16</v>
          </cell>
          <cell r="B3954">
            <v>730069</v>
          </cell>
          <cell r="C3954" t="str">
            <v>IB</v>
          </cell>
          <cell r="D3954" t="str">
            <v>INTER BALEARES</v>
          </cell>
          <cell r="E3954" t="str">
            <v>07</v>
          </cell>
          <cell r="F3954" t="str">
            <v>PAQ14a16</v>
          </cell>
          <cell r="G3954" t="str">
            <v>B</v>
          </cell>
          <cell r="H3954">
            <v>0</v>
          </cell>
        </row>
        <row r="3955">
          <cell r="A3955" t="str">
            <v>1;07;IB;B;PAQ16a18</v>
          </cell>
          <cell r="B3955">
            <v>730069</v>
          </cell>
          <cell r="C3955" t="str">
            <v>IB</v>
          </cell>
          <cell r="D3955" t="str">
            <v>INTER BALEARES</v>
          </cell>
          <cell r="E3955" t="str">
            <v>07</v>
          </cell>
          <cell r="F3955" t="str">
            <v>PAQ16a18</v>
          </cell>
          <cell r="G3955" t="str">
            <v>B</v>
          </cell>
          <cell r="H3955">
            <v>0</v>
          </cell>
        </row>
        <row r="3956">
          <cell r="A3956" t="str">
            <v>1;07;IB;B;PAQ18a20</v>
          </cell>
          <cell r="B3956">
            <v>730069</v>
          </cell>
          <cell r="C3956" t="str">
            <v>IB</v>
          </cell>
          <cell r="D3956" t="str">
            <v>INTER BALEARES</v>
          </cell>
          <cell r="E3956" t="str">
            <v>07</v>
          </cell>
          <cell r="F3956" t="str">
            <v>PAQ18a20</v>
          </cell>
          <cell r="G3956" t="str">
            <v>B</v>
          </cell>
          <cell r="H3956">
            <v>0</v>
          </cell>
        </row>
        <row r="3957">
          <cell r="A3957" t="str">
            <v>1;07;IB;B;PAQ20a22</v>
          </cell>
          <cell r="B3957">
            <v>730069</v>
          </cell>
          <cell r="C3957" t="str">
            <v>IB</v>
          </cell>
          <cell r="D3957" t="str">
            <v>INTER BALEARES</v>
          </cell>
          <cell r="E3957" t="str">
            <v>07</v>
          </cell>
          <cell r="F3957" t="str">
            <v>PAQ20a22</v>
          </cell>
          <cell r="G3957" t="str">
            <v>B</v>
          </cell>
          <cell r="H3957">
            <v>0</v>
          </cell>
        </row>
        <row r="3958">
          <cell r="A3958" t="str">
            <v>1;07;IB;B;PAQ22a24</v>
          </cell>
          <cell r="B3958">
            <v>730069</v>
          </cell>
          <cell r="C3958" t="str">
            <v>IB</v>
          </cell>
          <cell r="D3958" t="str">
            <v>INTER BALEARES</v>
          </cell>
          <cell r="E3958" t="str">
            <v>07</v>
          </cell>
          <cell r="F3958" t="str">
            <v>PAQ22a24</v>
          </cell>
          <cell r="G3958" t="str">
            <v>B</v>
          </cell>
          <cell r="H3958">
            <v>0</v>
          </cell>
        </row>
        <row r="3959">
          <cell r="A3959" t="str">
            <v>1;07;IB;B;PAQ24a26</v>
          </cell>
          <cell r="B3959">
            <v>730069</v>
          </cell>
          <cell r="C3959" t="str">
            <v>IB</v>
          </cell>
          <cell r="D3959" t="str">
            <v>INTER BALEARES</v>
          </cell>
          <cell r="E3959" t="str">
            <v>07</v>
          </cell>
          <cell r="F3959" t="str">
            <v>PAQ24a26</v>
          </cell>
          <cell r="G3959" t="str">
            <v>B</v>
          </cell>
          <cell r="H3959">
            <v>0</v>
          </cell>
        </row>
        <row r="3960">
          <cell r="A3960" t="str">
            <v>1;07;IB;B;PAQ26a28</v>
          </cell>
          <cell r="B3960">
            <v>730069</v>
          </cell>
          <cell r="C3960" t="str">
            <v>IB</v>
          </cell>
          <cell r="D3960" t="str">
            <v>INTER BALEARES</v>
          </cell>
          <cell r="E3960" t="str">
            <v>07</v>
          </cell>
          <cell r="F3960" t="str">
            <v>PAQ26a28</v>
          </cell>
          <cell r="G3960" t="str">
            <v>B</v>
          </cell>
          <cell r="H3960">
            <v>0</v>
          </cell>
        </row>
        <row r="3961">
          <cell r="A3961" t="str">
            <v>1;07;IB;B;PAQ28a30</v>
          </cell>
          <cell r="B3961">
            <v>730069</v>
          </cell>
          <cell r="C3961" t="str">
            <v>IB</v>
          </cell>
          <cell r="D3961" t="str">
            <v>INTER BALEARES</v>
          </cell>
          <cell r="E3961" t="str">
            <v>07</v>
          </cell>
          <cell r="F3961" t="str">
            <v>PAQ28a30</v>
          </cell>
          <cell r="G3961" t="str">
            <v>B</v>
          </cell>
          <cell r="H3961">
            <v>0</v>
          </cell>
        </row>
        <row r="3962">
          <cell r="A3962" t="str">
            <v>1;07;IB;B;PAQ30a32</v>
          </cell>
          <cell r="B3962">
            <v>730069</v>
          </cell>
          <cell r="C3962" t="str">
            <v>IB</v>
          </cell>
          <cell r="D3962" t="str">
            <v>INTER BALEARES</v>
          </cell>
          <cell r="E3962" t="str">
            <v>07</v>
          </cell>
          <cell r="F3962" t="str">
            <v>PAQ30a32</v>
          </cell>
          <cell r="G3962" t="str">
            <v>B</v>
          </cell>
          <cell r="H3962">
            <v>0</v>
          </cell>
        </row>
        <row r="3963">
          <cell r="A3963" t="str">
            <v>1;07;IB;B;PAQ32a34</v>
          </cell>
          <cell r="B3963">
            <v>730069</v>
          </cell>
          <cell r="C3963" t="str">
            <v>IB</v>
          </cell>
          <cell r="D3963" t="str">
            <v>INTER BALEARES</v>
          </cell>
          <cell r="E3963" t="str">
            <v>07</v>
          </cell>
          <cell r="F3963" t="str">
            <v>PAQ32a34</v>
          </cell>
          <cell r="G3963" t="str">
            <v>B</v>
          </cell>
          <cell r="H3963">
            <v>0</v>
          </cell>
        </row>
        <row r="3964">
          <cell r="A3964" t="str">
            <v>1;07;IB;B;PAQ34a36</v>
          </cell>
          <cell r="B3964">
            <v>730069</v>
          </cell>
          <cell r="C3964" t="str">
            <v>IB</v>
          </cell>
          <cell r="D3964" t="str">
            <v>INTER BALEARES</v>
          </cell>
          <cell r="E3964" t="str">
            <v>07</v>
          </cell>
          <cell r="F3964" t="str">
            <v>PAQ34a36</v>
          </cell>
          <cell r="G3964" t="str">
            <v>B</v>
          </cell>
          <cell r="H3964">
            <v>0</v>
          </cell>
        </row>
        <row r="3965">
          <cell r="A3965" t="str">
            <v>1;07;IB;B;PAQ36a38</v>
          </cell>
          <cell r="B3965">
            <v>730069</v>
          </cell>
          <cell r="C3965" t="str">
            <v>IB</v>
          </cell>
          <cell r="D3965" t="str">
            <v>INTER BALEARES</v>
          </cell>
          <cell r="E3965" t="str">
            <v>07</v>
          </cell>
          <cell r="F3965" t="str">
            <v>PAQ36a38</v>
          </cell>
          <cell r="G3965" t="str">
            <v>B</v>
          </cell>
          <cell r="H3965">
            <v>0</v>
          </cell>
        </row>
        <row r="3966">
          <cell r="A3966" t="str">
            <v>1;07;IB;B;PAQ38a40</v>
          </cell>
          <cell r="B3966">
            <v>730069</v>
          </cell>
          <cell r="C3966" t="str">
            <v>IB</v>
          </cell>
          <cell r="D3966" t="str">
            <v>INTER BALEARES</v>
          </cell>
          <cell r="E3966" t="str">
            <v>07</v>
          </cell>
          <cell r="F3966" t="str">
            <v>PAQ38a40</v>
          </cell>
          <cell r="G3966" t="str">
            <v>B</v>
          </cell>
          <cell r="H3966">
            <v>0</v>
          </cell>
        </row>
        <row r="3967">
          <cell r="A3967" t="str">
            <v>1;07;IB;F;</v>
          </cell>
          <cell r="B3967">
            <v>730069</v>
          </cell>
          <cell r="C3967" t="str">
            <v>IB</v>
          </cell>
          <cell r="D3967" t="str">
            <v>INTER BALEARES</v>
          </cell>
          <cell r="E3967" t="str">
            <v>07</v>
          </cell>
          <cell r="F3967" t="str">
            <v/>
          </cell>
          <cell r="G3967" t="str">
            <v>F</v>
          </cell>
          <cell r="H3967">
            <v>0</v>
          </cell>
        </row>
        <row r="3968">
          <cell r="A3968" t="str">
            <v>1;07;IB;P;</v>
          </cell>
          <cell r="B3968">
            <v>730069</v>
          </cell>
          <cell r="C3968" t="str">
            <v>IB</v>
          </cell>
          <cell r="D3968" t="str">
            <v>INTER BALEARES</v>
          </cell>
          <cell r="E3968" t="str">
            <v>07</v>
          </cell>
          <cell r="F3968" t="str">
            <v/>
          </cell>
          <cell r="G3968" t="str">
            <v>P</v>
          </cell>
          <cell r="H3968">
            <v>0</v>
          </cell>
        </row>
        <row r="3969">
          <cell r="A3969" t="str">
            <v>1;07;IB;E;</v>
          </cell>
          <cell r="B3969">
            <v>730069</v>
          </cell>
          <cell r="C3969" t="str">
            <v>IB</v>
          </cell>
          <cell r="D3969" t="str">
            <v>INTER BALEARES</v>
          </cell>
          <cell r="E3969" t="str">
            <v>07</v>
          </cell>
          <cell r="F3969" t="str">
            <v/>
          </cell>
          <cell r="G3969" t="str">
            <v>E</v>
          </cell>
          <cell r="H3969">
            <v>0</v>
          </cell>
        </row>
        <row r="3970">
          <cell r="A3970" t="str">
            <v>1;10;IB;B;BAG</v>
          </cell>
          <cell r="B3970">
            <v>730069</v>
          </cell>
          <cell r="C3970" t="str">
            <v>IB</v>
          </cell>
          <cell r="D3970" t="str">
            <v>INTER BALEARES</v>
          </cell>
          <cell r="E3970" t="str">
            <v>10</v>
          </cell>
          <cell r="F3970" t="str">
            <v>BAG</v>
          </cell>
          <cell r="G3970" t="str">
            <v>B</v>
          </cell>
          <cell r="H3970">
            <v>1.7</v>
          </cell>
        </row>
        <row r="3971">
          <cell r="A3971" t="str">
            <v>1;10;IB;B;DOCS</v>
          </cell>
          <cell r="B3971">
            <v>730069</v>
          </cell>
          <cell r="C3971" t="str">
            <v>IB</v>
          </cell>
          <cell r="D3971" t="str">
            <v>INTER BALEARES</v>
          </cell>
          <cell r="E3971" t="str">
            <v>10</v>
          </cell>
          <cell r="F3971" t="str">
            <v>DOCS</v>
          </cell>
          <cell r="G3971" t="str">
            <v>B</v>
          </cell>
          <cell r="H3971">
            <v>1.7</v>
          </cell>
        </row>
        <row r="3972">
          <cell r="A3972" t="str">
            <v>1;14;IB;B;BAG</v>
          </cell>
          <cell r="B3972">
            <v>730069</v>
          </cell>
          <cell r="C3972" t="str">
            <v>IB</v>
          </cell>
          <cell r="D3972" t="str">
            <v>INTER BALEARES</v>
          </cell>
          <cell r="E3972" t="str">
            <v>14</v>
          </cell>
          <cell r="F3972" t="str">
            <v>BAG</v>
          </cell>
          <cell r="G3972" t="str">
            <v>B</v>
          </cell>
          <cell r="H3972">
            <v>1.79</v>
          </cell>
        </row>
        <row r="3973">
          <cell r="A3973" t="str">
            <v>1;15;IB;B;BAG</v>
          </cell>
          <cell r="B3973">
            <v>730069</v>
          </cell>
          <cell r="C3973" t="str">
            <v>IB</v>
          </cell>
          <cell r="D3973" t="str">
            <v>INTER BALEARES</v>
          </cell>
          <cell r="E3973" t="str">
            <v>15</v>
          </cell>
          <cell r="F3973" t="str">
            <v>BAG</v>
          </cell>
          <cell r="G3973" t="str">
            <v>B</v>
          </cell>
          <cell r="H3973">
            <v>1.79</v>
          </cell>
        </row>
        <row r="3974">
          <cell r="A3974" t="str">
            <v>1;21;IB;B;BAG</v>
          </cell>
          <cell r="B3974">
            <v>730069</v>
          </cell>
          <cell r="C3974" t="str">
            <v>IB</v>
          </cell>
          <cell r="D3974" t="str">
            <v>INTER BALEARES</v>
          </cell>
          <cell r="E3974" t="str">
            <v>21</v>
          </cell>
          <cell r="F3974" t="str">
            <v>BAG</v>
          </cell>
          <cell r="G3974" t="str">
            <v>B</v>
          </cell>
          <cell r="H3974">
            <v>18.100000000000001</v>
          </cell>
        </row>
        <row r="3975">
          <cell r="A3975" t="str">
            <v>1;21;IB;B;DOCS</v>
          </cell>
          <cell r="B3975">
            <v>730069</v>
          </cell>
          <cell r="C3975" t="str">
            <v>IB</v>
          </cell>
          <cell r="D3975" t="str">
            <v>INTER BALEARES</v>
          </cell>
          <cell r="E3975" t="str">
            <v>21</v>
          </cell>
          <cell r="F3975" t="str">
            <v>DOCS</v>
          </cell>
          <cell r="G3975" t="str">
            <v>B</v>
          </cell>
          <cell r="H3975">
            <v>18.100000000000001</v>
          </cell>
        </row>
        <row r="3976">
          <cell r="A3976" t="str">
            <v>1;21;IB;B;PAQ00a02</v>
          </cell>
          <cell r="B3976">
            <v>730069</v>
          </cell>
          <cell r="C3976" t="str">
            <v>IB</v>
          </cell>
          <cell r="D3976" t="str">
            <v>INTER BALEARES</v>
          </cell>
          <cell r="E3976" t="str">
            <v>21</v>
          </cell>
          <cell r="F3976" t="str">
            <v>PAQ00a02</v>
          </cell>
          <cell r="G3976" t="str">
            <v>B</v>
          </cell>
          <cell r="H3976">
            <v>18.100000000000001</v>
          </cell>
        </row>
        <row r="3977">
          <cell r="A3977" t="str">
            <v>1;21;IB;B;PAQ02a04</v>
          </cell>
          <cell r="B3977">
            <v>730069</v>
          </cell>
          <cell r="C3977" t="str">
            <v>IB</v>
          </cell>
          <cell r="D3977" t="str">
            <v>INTER BALEARES</v>
          </cell>
          <cell r="E3977" t="str">
            <v>21</v>
          </cell>
          <cell r="F3977" t="str">
            <v>PAQ02a04</v>
          </cell>
          <cell r="G3977" t="str">
            <v>B</v>
          </cell>
          <cell r="H3977">
            <v>23.42</v>
          </cell>
        </row>
        <row r="3978">
          <cell r="A3978" t="str">
            <v>1;21;IB;B;PAQ04a06</v>
          </cell>
          <cell r="B3978">
            <v>730069</v>
          </cell>
          <cell r="C3978" t="str">
            <v>IB</v>
          </cell>
          <cell r="D3978" t="str">
            <v>INTER BALEARES</v>
          </cell>
          <cell r="E3978" t="str">
            <v>21</v>
          </cell>
          <cell r="F3978" t="str">
            <v>PAQ04a06</v>
          </cell>
          <cell r="G3978" t="str">
            <v>B</v>
          </cell>
          <cell r="H3978">
            <v>29.61</v>
          </cell>
        </row>
        <row r="3979">
          <cell r="A3979" t="str">
            <v>1;21;IB;B;PAQ06a08</v>
          </cell>
          <cell r="B3979">
            <v>730069</v>
          </cell>
          <cell r="C3979" t="str">
            <v>IB</v>
          </cell>
          <cell r="D3979" t="str">
            <v>INTER BALEARES</v>
          </cell>
          <cell r="E3979" t="str">
            <v>21</v>
          </cell>
          <cell r="F3979" t="str">
            <v>PAQ06a08</v>
          </cell>
          <cell r="G3979" t="str">
            <v>B</v>
          </cell>
          <cell r="H3979">
            <v>35.81</v>
          </cell>
        </row>
        <row r="3980">
          <cell r="A3980" t="str">
            <v>1;21;IB;B;PAQ08a10</v>
          </cell>
          <cell r="B3980">
            <v>730069</v>
          </cell>
          <cell r="C3980" t="str">
            <v>IB</v>
          </cell>
          <cell r="D3980" t="str">
            <v>INTER BALEARES</v>
          </cell>
          <cell r="E3980" t="str">
            <v>21</v>
          </cell>
          <cell r="F3980" t="str">
            <v>PAQ08a10</v>
          </cell>
          <cell r="G3980" t="str">
            <v>B</v>
          </cell>
          <cell r="H3980">
            <v>42.01</v>
          </cell>
        </row>
        <row r="3981">
          <cell r="A3981" t="str">
            <v>1;21;IB;B;PAQ10a12</v>
          </cell>
          <cell r="B3981">
            <v>730069</v>
          </cell>
          <cell r="C3981" t="str">
            <v>IB</v>
          </cell>
          <cell r="D3981" t="str">
            <v>INTER BALEARES</v>
          </cell>
          <cell r="E3981" t="str">
            <v>21</v>
          </cell>
          <cell r="F3981" t="str">
            <v>PAQ10a12</v>
          </cell>
          <cell r="G3981" t="str">
            <v>B</v>
          </cell>
          <cell r="H3981">
            <v>48.21</v>
          </cell>
        </row>
        <row r="3982">
          <cell r="A3982" t="str">
            <v>1;21;IB;B;PAQ12a14</v>
          </cell>
          <cell r="B3982">
            <v>730069</v>
          </cell>
          <cell r="C3982" t="str">
            <v>IB</v>
          </cell>
          <cell r="D3982" t="str">
            <v>INTER BALEARES</v>
          </cell>
          <cell r="E3982" t="str">
            <v>21</v>
          </cell>
          <cell r="F3982" t="str">
            <v>PAQ12a14</v>
          </cell>
          <cell r="G3982" t="str">
            <v>B</v>
          </cell>
          <cell r="H3982">
            <v>54.4</v>
          </cell>
        </row>
        <row r="3983">
          <cell r="A3983" t="str">
            <v>1;21;IB;B;PAQ14a16</v>
          </cell>
          <cell r="B3983">
            <v>730069</v>
          </cell>
          <cell r="C3983" t="str">
            <v>IB</v>
          </cell>
          <cell r="D3983" t="str">
            <v>INTER BALEARES</v>
          </cell>
          <cell r="E3983" t="str">
            <v>21</v>
          </cell>
          <cell r="F3983" t="str">
            <v>PAQ14a16</v>
          </cell>
          <cell r="G3983" t="str">
            <v>B</v>
          </cell>
          <cell r="H3983">
            <v>60.6</v>
          </cell>
        </row>
        <row r="3984">
          <cell r="A3984" t="str">
            <v>1;21;IB;B;PAQ16a18</v>
          </cell>
          <cell r="B3984">
            <v>730069</v>
          </cell>
          <cell r="C3984" t="str">
            <v>IB</v>
          </cell>
          <cell r="D3984" t="str">
            <v>INTER BALEARES</v>
          </cell>
          <cell r="E3984" t="str">
            <v>21</v>
          </cell>
          <cell r="F3984" t="str">
            <v>PAQ16a18</v>
          </cell>
          <cell r="G3984" t="str">
            <v>B</v>
          </cell>
          <cell r="H3984">
            <v>66.790000000000006</v>
          </cell>
        </row>
        <row r="3985">
          <cell r="A3985" t="str">
            <v>1;21;IB;B;PAQ18a20</v>
          </cell>
          <cell r="B3985">
            <v>730069</v>
          </cell>
          <cell r="C3985" t="str">
            <v>IB</v>
          </cell>
          <cell r="D3985" t="str">
            <v>INTER BALEARES</v>
          </cell>
          <cell r="E3985" t="str">
            <v>21</v>
          </cell>
          <cell r="F3985" t="str">
            <v>PAQ18a20</v>
          </cell>
          <cell r="G3985" t="str">
            <v>B</v>
          </cell>
          <cell r="H3985">
            <v>72.989999999999995</v>
          </cell>
        </row>
        <row r="3986">
          <cell r="A3986" t="str">
            <v>1;21;IB;B;PAQ20a22</v>
          </cell>
          <cell r="B3986">
            <v>730069</v>
          </cell>
          <cell r="C3986" t="str">
            <v>IB</v>
          </cell>
          <cell r="D3986" t="str">
            <v>INTER BALEARES</v>
          </cell>
          <cell r="E3986" t="str">
            <v>21</v>
          </cell>
          <cell r="F3986" t="str">
            <v>PAQ20a22</v>
          </cell>
          <cell r="G3986" t="str">
            <v>B</v>
          </cell>
          <cell r="H3986">
            <v>79.180000000000007</v>
          </cell>
        </row>
        <row r="3987">
          <cell r="A3987" t="str">
            <v>1;21;IB;B;PAQ22a24</v>
          </cell>
          <cell r="B3987">
            <v>730069</v>
          </cell>
          <cell r="C3987" t="str">
            <v>IB</v>
          </cell>
          <cell r="D3987" t="str">
            <v>INTER BALEARES</v>
          </cell>
          <cell r="E3987" t="str">
            <v>21</v>
          </cell>
          <cell r="F3987" t="str">
            <v>PAQ22a24</v>
          </cell>
          <cell r="G3987" t="str">
            <v>B</v>
          </cell>
          <cell r="H3987">
            <v>85.38</v>
          </cell>
        </row>
        <row r="3988">
          <cell r="A3988" t="str">
            <v>1;21;IB;B;PAQ24a26</v>
          </cell>
          <cell r="B3988">
            <v>730069</v>
          </cell>
          <cell r="C3988" t="str">
            <v>IB</v>
          </cell>
          <cell r="D3988" t="str">
            <v>INTER BALEARES</v>
          </cell>
          <cell r="E3988" t="str">
            <v>21</v>
          </cell>
          <cell r="F3988" t="str">
            <v>PAQ24a26</v>
          </cell>
          <cell r="G3988" t="str">
            <v>B</v>
          </cell>
          <cell r="H3988">
            <v>91.57</v>
          </cell>
        </row>
        <row r="3989">
          <cell r="A3989" t="str">
            <v>1;21;IB;B;PAQ26a28</v>
          </cell>
          <cell r="B3989">
            <v>730069</v>
          </cell>
          <cell r="C3989" t="str">
            <v>IB</v>
          </cell>
          <cell r="D3989" t="str">
            <v>INTER BALEARES</v>
          </cell>
          <cell r="E3989" t="str">
            <v>21</v>
          </cell>
          <cell r="F3989" t="str">
            <v>PAQ26a28</v>
          </cell>
          <cell r="G3989" t="str">
            <v>B</v>
          </cell>
          <cell r="H3989">
            <v>97.77</v>
          </cell>
        </row>
        <row r="3990">
          <cell r="A3990" t="str">
            <v>1;21;IB;B;PAQ28a30</v>
          </cell>
          <cell r="B3990">
            <v>730069</v>
          </cell>
          <cell r="C3990" t="str">
            <v>IB</v>
          </cell>
          <cell r="D3990" t="str">
            <v>INTER BALEARES</v>
          </cell>
          <cell r="E3990" t="str">
            <v>21</v>
          </cell>
          <cell r="F3990" t="str">
            <v>PAQ28a30</v>
          </cell>
          <cell r="G3990" t="str">
            <v>B</v>
          </cell>
          <cell r="H3990">
            <v>103.97</v>
          </cell>
        </row>
        <row r="3991">
          <cell r="A3991" t="str">
            <v>1;21;IB;B;PAQ30a32</v>
          </cell>
          <cell r="B3991">
            <v>730069</v>
          </cell>
          <cell r="C3991" t="str">
            <v>IB</v>
          </cell>
          <cell r="D3991" t="str">
            <v>INTER BALEARES</v>
          </cell>
          <cell r="E3991" t="str">
            <v>21</v>
          </cell>
          <cell r="F3991" t="str">
            <v>PAQ30a32</v>
          </cell>
          <cell r="G3991" t="str">
            <v>B</v>
          </cell>
          <cell r="H3991">
            <v>110.17</v>
          </cell>
        </row>
        <row r="3992">
          <cell r="A3992" t="str">
            <v>1;21;IB;B;PAQ32a34</v>
          </cell>
          <cell r="B3992">
            <v>730069</v>
          </cell>
          <cell r="C3992" t="str">
            <v>IB</v>
          </cell>
          <cell r="D3992" t="str">
            <v>INTER BALEARES</v>
          </cell>
          <cell r="E3992" t="str">
            <v>21</v>
          </cell>
          <cell r="F3992" t="str">
            <v>PAQ32a34</v>
          </cell>
          <cell r="G3992" t="str">
            <v>B</v>
          </cell>
          <cell r="H3992">
            <v>116.36</v>
          </cell>
        </row>
        <row r="3993">
          <cell r="A3993" t="str">
            <v>1;21;IB;B;PAQ34a36</v>
          </cell>
          <cell r="B3993">
            <v>730069</v>
          </cell>
          <cell r="C3993" t="str">
            <v>IB</v>
          </cell>
          <cell r="D3993" t="str">
            <v>INTER BALEARES</v>
          </cell>
          <cell r="E3993" t="str">
            <v>21</v>
          </cell>
          <cell r="F3993" t="str">
            <v>PAQ34a36</v>
          </cell>
          <cell r="G3993" t="str">
            <v>B</v>
          </cell>
          <cell r="H3993">
            <v>122.56</v>
          </cell>
        </row>
        <row r="3994">
          <cell r="A3994" t="str">
            <v>1;21;IB;B;PAQ36a38</v>
          </cell>
          <cell r="B3994">
            <v>730069</v>
          </cell>
          <cell r="C3994" t="str">
            <v>IB</v>
          </cell>
          <cell r="D3994" t="str">
            <v>INTER BALEARES</v>
          </cell>
          <cell r="E3994" t="str">
            <v>21</v>
          </cell>
          <cell r="F3994" t="str">
            <v>PAQ36a38</v>
          </cell>
          <cell r="G3994" t="str">
            <v>B</v>
          </cell>
          <cell r="H3994">
            <v>128.75</v>
          </cell>
        </row>
        <row r="3995">
          <cell r="A3995" t="str">
            <v>1;21;IB;B;PAQ38a40</v>
          </cell>
          <cell r="B3995">
            <v>730069</v>
          </cell>
          <cell r="C3995" t="str">
            <v>IB</v>
          </cell>
          <cell r="D3995" t="str">
            <v>INTER BALEARES</v>
          </cell>
          <cell r="E3995" t="str">
            <v>21</v>
          </cell>
          <cell r="F3995" t="str">
            <v>PAQ38a40</v>
          </cell>
          <cell r="G3995" t="str">
            <v>B</v>
          </cell>
          <cell r="H3995">
            <v>134.94999999999999</v>
          </cell>
        </row>
        <row r="3996">
          <cell r="A3996" t="str">
            <v>1;21;IB;F;</v>
          </cell>
          <cell r="B3996">
            <v>730069</v>
          </cell>
          <cell r="C3996" t="str">
            <v>IB</v>
          </cell>
          <cell r="D3996" t="str">
            <v>INTER BALEARES</v>
          </cell>
          <cell r="E3996" t="str">
            <v>21</v>
          </cell>
          <cell r="F3996" t="str">
            <v/>
          </cell>
          <cell r="G3996" t="str">
            <v>F</v>
          </cell>
          <cell r="H3996">
            <v>6.2</v>
          </cell>
        </row>
        <row r="3997">
          <cell r="A3997" t="str">
            <v>1;21;IB;E;</v>
          </cell>
          <cell r="B3997">
            <v>730069</v>
          </cell>
          <cell r="C3997" t="str">
            <v>IB</v>
          </cell>
          <cell r="D3997" t="str">
            <v>INTER BALEARES</v>
          </cell>
          <cell r="E3997" t="str">
            <v>21</v>
          </cell>
          <cell r="F3997" t="str">
            <v/>
          </cell>
          <cell r="G3997" t="str">
            <v>E</v>
          </cell>
          <cell r="H3997">
            <v>0</v>
          </cell>
        </row>
        <row r="3998">
          <cell r="A3998" t="str">
            <v>1;21;IB;P;</v>
          </cell>
          <cell r="B3998">
            <v>730069</v>
          </cell>
          <cell r="C3998" t="str">
            <v>IB</v>
          </cell>
          <cell r="D3998" t="str">
            <v>INTER BALEARES</v>
          </cell>
          <cell r="E3998" t="str">
            <v>21</v>
          </cell>
          <cell r="F3998" t="str">
            <v/>
          </cell>
          <cell r="G3998" t="str">
            <v>P</v>
          </cell>
          <cell r="H3998">
            <v>0</v>
          </cell>
        </row>
        <row r="3999">
          <cell r="A3999" t="str">
            <v>1;61;IB;B;BAG</v>
          </cell>
          <cell r="B3999">
            <v>730069</v>
          </cell>
          <cell r="C3999" t="str">
            <v>IB</v>
          </cell>
          <cell r="D3999" t="str">
            <v>INTER BALEARES</v>
          </cell>
          <cell r="E3999" t="str">
            <v>61</v>
          </cell>
          <cell r="F3999" t="str">
            <v>BAG</v>
          </cell>
          <cell r="G3999" t="str">
            <v>B</v>
          </cell>
          <cell r="H3999">
            <v>15.49</v>
          </cell>
        </row>
        <row r="4000">
          <cell r="A4000" t="str">
            <v>1;61;IB;B;PAQ00a02</v>
          </cell>
          <cell r="B4000">
            <v>730069</v>
          </cell>
          <cell r="C4000" t="str">
            <v>IB</v>
          </cell>
          <cell r="D4000" t="str">
            <v>INTER BALEARES</v>
          </cell>
          <cell r="E4000" t="str">
            <v>61</v>
          </cell>
          <cell r="F4000" t="str">
            <v>PAQ00a02</v>
          </cell>
          <cell r="G4000" t="str">
            <v>B</v>
          </cell>
          <cell r="H4000">
            <v>15.49</v>
          </cell>
        </row>
        <row r="4001">
          <cell r="A4001" t="str">
            <v>1;61;IB;B;PAQ02a04</v>
          </cell>
          <cell r="B4001">
            <v>730069</v>
          </cell>
          <cell r="C4001" t="str">
            <v>IB</v>
          </cell>
          <cell r="D4001" t="str">
            <v>INTER BALEARES</v>
          </cell>
          <cell r="E4001" t="str">
            <v>61</v>
          </cell>
          <cell r="F4001" t="str">
            <v>PAQ02a04</v>
          </cell>
          <cell r="G4001" t="str">
            <v>B</v>
          </cell>
          <cell r="H4001">
            <v>25.49</v>
          </cell>
        </row>
        <row r="4002">
          <cell r="A4002" t="str">
            <v>1;61;IB;B;PAQ04a06</v>
          </cell>
          <cell r="B4002">
            <v>730069</v>
          </cell>
          <cell r="C4002" t="str">
            <v>IB</v>
          </cell>
          <cell r="D4002" t="str">
            <v>INTER BALEARES</v>
          </cell>
          <cell r="E4002" t="str">
            <v>61</v>
          </cell>
          <cell r="F4002" t="str">
            <v>PAQ04a06</v>
          </cell>
          <cell r="G4002" t="str">
            <v>B</v>
          </cell>
          <cell r="H4002">
            <v>39.5</v>
          </cell>
        </row>
        <row r="4003">
          <cell r="A4003" t="str">
            <v>1;61;IB;B;PAQ06a08</v>
          </cell>
          <cell r="B4003">
            <v>730069</v>
          </cell>
          <cell r="C4003" t="str">
            <v>IB</v>
          </cell>
          <cell r="D4003" t="str">
            <v>INTER BALEARES</v>
          </cell>
          <cell r="E4003" t="str">
            <v>61</v>
          </cell>
          <cell r="F4003" t="str">
            <v>PAQ06a08</v>
          </cell>
          <cell r="G4003" t="str">
            <v>B</v>
          </cell>
          <cell r="H4003">
            <v>53.52</v>
          </cell>
        </row>
        <row r="4004">
          <cell r="A4004" t="str">
            <v>1;61;IB;B;PAQ08a10</v>
          </cell>
          <cell r="B4004">
            <v>730069</v>
          </cell>
          <cell r="C4004" t="str">
            <v>IB</v>
          </cell>
          <cell r="D4004" t="str">
            <v>INTER BALEARES</v>
          </cell>
          <cell r="E4004" t="str">
            <v>61</v>
          </cell>
          <cell r="F4004" t="str">
            <v>PAQ08a10</v>
          </cell>
          <cell r="G4004" t="str">
            <v>B</v>
          </cell>
          <cell r="H4004">
            <v>67.53</v>
          </cell>
        </row>
        <row r="4005">
          <cell r="A4005" t="str">
            <v>1;61;IB;B;PAQ10a12</v>
          </cell>
          <cell r="B4005">
            <v>730069</v>
          </cell>
          <cell r="C4005" t="str">
            <v>IB</v>
          </cell>
          <cell r="D4005" t="str">
            <v>INTER BALEARES</v>
          </cell>
          <cell r="E4005" t="str">
            <v>61</v>
          </cell>
          <cell r="F4005" t="str">
            <v>PAQ10a12</v>
          </cell>
          <cell r="G4005" t="str">
            <v>B</v>
          </cell>
          <cell r="H4005">
            <v>81.540000000000006</v>
          </cell>
        </row>
        <row r="4006">
          <cell r="A4006" t="str">
            <v>1;61;IB;B;PAQ12a14</v>
          </cell>
          <cell r="B4006">
            <v>730069</v>
          </cell>
          <cell r="C4006" t="str">
            <v>IB</v>
          </cell>
          <cell r="D4006" t="str">
            <v>INTER BALEARES</v>
          </cell>
          <cell r="E4006" t="str">
            <v>61</v>
          </cell>
          <cell r="F4006" t="str">
            <v>PAQ12a14</v>
          </cell>
          <cell r="G4006" t="str">
            <v>B</v>
          </cell>
          <cell r="H4006">
            <v>95.55</v>
          </cell>
        </row>
        <row r="4007">
          <cell r="A4007" t="str">
            <v>1;61;IB;B;PAQ14a16</v>
          </cell>
          <cell r="B4007">
            <v>730069</v>
          </cell>
          <cell r="C4007" t="str">
            <v>IB</v>
          </cell>
          <cell r="D4007" t="str">
            <v>INTER BALEARES</v>
          </cell>
          <cell r="E4007" t="str">
            <v>61</v>
          </cell>
          <cell r="F4007" t="str">
            <v>PAQ14a16</v>
          </cell>
          <cell r="G4007" t="str">
            <v>B</v>
          </cell>
          <cell r="H4007">
            <v>109.57</v>
          </cell>
        </row>
        <row r="4008">
          <cell r="A4008" t="str">
            <v>1;61;IB;B;PAQ16a18</v>
          </cell>
          <cell r="B4008">
            <v>730069</v>
          </cell>
          <cell r="C4008" t="str">
            <v>IB</v>
          </cell>
          <cell r="D4008" t="str">
            <v>INTER BALEARES</v>
          </cell>
          <cell r="E4008" t="str">
            <v>61</v>
          </cell>
          <cell r="F4008" t="str">
            <v>PAQ16a18</v>
          </cell>
          <cell r="G4008" t="str">
            <v>B</v>
          </cell>
          <cell r="H4008">
            <v>123.57</v>
          </cell>
        </row>
        <row r="4009">
          <cell r="A4009" t="str">
            <v>1;61;IB;B;PAQ18a20</v>
          </cell>
          <cell r="B4009">
            <v>730069</v>
          </cell>
          <cell r="C4009" t="str">
            <v>IB</v>
          </cell>
          <cell r="D4009" t="str">
            <v>INTER BALEARES</v>
          </cell>
          <cell r="E4009" t="str">
            <v>61</v>
          </cell>
          <cell r="F4009" t="str">
            <v>PAQ18a20</v>
          </cell>
          <cell r="G4009" t="str">
            <v>B</v>
          </cell>
          <cell r="H4009">
            <v>137.59</v>
          </cell>
        </row>
        <row r="4010">
          <cell r="A4010" t="str">
            <v>1;61;IB;B;PAQ20a22</v>
          </cell>
          <cell r="B4010">
            <v>730069</v>
          </cell>
          <cell r="C4010" t="str">
            <v>IB</v>
          </cell>
          <cell r="D4010" t="str">
            <v>INTER BALEARES</v>
          </cell>
          <cell r="E4010" t="str">
            <v>61</v>
          </cell>
          <cell r="F4010" t="str">
            <v>PAQ20a22</v>
          </cell>
          <cell r="G4010" t="str">
            <v>B</v>
          </cell>
          <cell r="H4010">
            <v>151.61000000000001</v>
          </cell>
        </row>
        <row r="4011">
          <cell r="A4011" t="str">
            <v>1;61;IB;B;PAQ22a24</v>
          </cell>
          <cell r="B4011">
            <v>730069</v>
          </cell>
          <cell r="C4011" t="str">
            <v>IB</v>
          </cell>
          <cell r="D4011" t="str">
            <v>INTER BALEARES</v>
          </cell>
          <cell r="E4011" t="str">
            <v>61</v>
          </cell>
          <cell r="F4011" t="str">
            <v>PAQ22a24</v>
          </cell>
          <cell r="G4011" t="str">
            <v>B</v>
          </cell>
          <cell r="H4011">
            <v>165.62</v>
          </cell>
        </row>
        <row r="4012">
          <cell r="A4012" t="str">
            <v>1;61;IB;B;PAQ24a26</v>
          </cell>
          <cell r="B4012">
            <v>730069</v>
          </cell>
          <cell r="C4012" t="str">
            <v>IB</v>
          </cell>
          <cell r="D4012" t="str">
            <v>INTER BALEARES</v>
          </cell>
          <cell r="E4012" t="str">
            <v>61</v>
          </cell>
          <cell r="F4012" t="str">
            <v>PAQ24a26</v>
          </cell>
          <cell r="G4012" t="str">
            <v>B</v>
          </cell>
          <cell r="H4012">
            <v>179.63</v>
          </cell>
        </row>
        <row r="4013">
          <cell r="A4013" t="str">
            <v>1;61;IB;B;PAQ26a28</v>
          </cell>
          <cell r="B4013">
            <v>730069</v>
          </cell>
          <cell r="C4013" t="str">
            <v>IB</v>
          </cell>
          <cell r="D4013" t="str">
            <v>INTER BALEARES</v>
          </cell>
          <cell r="E4013" t="str">
            <v>61</v>
          </cell>
          <cell r="F4013" t="str">
            <v>PAQ26a28</v>
          </cell>
          <cell r="G4013" t="str">
            <v>B</v>
          </cell>
          <cell r="H4013">
            <v>193.64</v>
          </cell>
        </row>
        <row r="4014">
          <cell r="A4014" t="str">
            <v>1;61;IB;B;PAQ28a30</v>
          </cell>
          <cell r="B4014">
            <v>730069</v>
          </cell>
          <cell r="C4014" t="str">
            <v>IB</v>
          </cell>
          <cell r="D4014" t="str">
            <v>INTER BALEARES</v>
          </cell>
          <cell r="E4014" t="str">
            <v>61</v>
          </cell>
          <cell r="F4014" t="str">
            <v>PAQ28a30</v>
          </cell>
          <cell r="G4014" t="str">
            <v>B</v>
          </cell>
          <cell r="H4014">
            <v>207.66</v>
          </cell>
        </row>
        <row r="4015">
          <cell r="A4015" t="str">
            <v>1;61;IB;B;PAQ30a32</v>
          </cell>
          <cell r="B4015">
            <v>730069</v>
          </cell>
          <cell r="C4015" t="str">
            <v>IB</v>
          </cell>
          <cell r="D4015" t="str">
            <v>INTER BALEARES</v>
          </cell>
          <cell r="E4015" t="str">
            <v>61</v>
          </cell>
          <cell r="F4015" t="str">
            <v>PAQ30a32</v>
          </cell>
          <cell r="G4015" t="str">
            <v>B</v>
          </cell>
          <cell r="H4015">
            <v>221.67</v>
          </cell>
        </row>
        <row r="4016">
          <cell r="A4016" t="str">
            <v>1;61;IB;B;PAQ32a34</v>
          </cell>
          <cell r="B4016">
            <v>730069</v>
          </cell>
          <cell r="C4016" t="str">
            <v>IB</v>
          </cell>
          <cell r="D4016" t="str">
            <v>INTER BALEARES</v>
          </cell>
          <cell r="E4016" t="str">
            <v>61</v>
          </cell>
          <cell r="F4016" t="str">
            <v>PAQ32a34</v>
          </cell>
          <cell r="G4016" t="str">
            <v>B</v>
          </cell>
          <cell r="H4016">
            <v>235.68</v>
          </cell>
        </row>
        <row r="4017">
          <cell r="A4017" t="str">
            <v>1;61;IB;B;PAQ34a36</v>
          </cell>
          <cell r="B4017">
            <v>730069</v>
          </cell>
          <cell r="C4017" t="str">
            <v>IB</v>
          </cell>
          <cell r="D4017" t="str">
            <v>INTER BALEARES</v>
          </cell>
          <cell r="E4017" t="str">
            <v>61</v>
          </cell>
          <cell r="F4017" t="str">
            <v>PAQ34a36</v>
          </cell>
          <cell r="G4017" t="str">
            <v>B</v>
          </cell>
          <cell r="H4017">
            <v>249.69</v>
          </cell>
        </row>
        <row r="4018">
          <cell r="A4018" t="str">
            <v>1;61;IB;B;PAQ36a38</v>
          </cell>
          <cell r="B4018">
            <v>730069</v>
          </cell>
          <cell r="C4018" t="str">
            <v>IB</v>
          </cell>
          <cell r="D4018" t="str">
            <v>INTER BALEARES</v>
          </cell>
          <cell r="E4018" t="str">
            <v>61</v>
          </cell>
          <cell r="F4018" t="str">
            <v>PAQ36a38</v>
          </cell>
          <cell r="G4018" t="str">
            <v>B</v>
          </cell>
          <cell r="H4018">
            <v>263.70999999999998</v>
          </cell>
        </row>
        <row r="4019">
          <cell r="A4019" t="str">
            <v>1;61;IB;F;</v>
          </cell>
          <cell r="B4019">
            <v>730069</v>
          </cell>
          <cell r="C4019" t="str">
            <v>IB</v>
          </cell>
          <cell r="D4019" t="str">
            <v>INTER BALEARES</v>
          </cell>
          <cell r="E4019" t="str">
            <v>61</v>
          </cell>
          <cell r="F4019" t="str">
            <v/>
          </cell>
          <cell r="G4019" t="str">
            <v>F</v>
          </cell>
          <cell r="H4019">
            <v>14.02</v>
          </cell>
        </row>
        <row r="4020">
          <cell r="A4020" t="str">
            <v>1;61;IB;B;PAQ38a40</v>
          </cell>
          <cell r="B4020">
            <v>730069</v>
          </cell>
          <cell r="C4020" t="str">
            <v>IB</v>
          </cell>
          <cell r="D4020" t="str">
            <v>INTER BALEARES</v>
          </cell>
          <cell r="E4020" t="str">
            <v>61</v>
          </cell>
          <cell r="F4020" t="str">
            <v>PAQ38a40</v>
          </cell>
          <cell r="G4020" t="str">
            <v>B</v>
          </cell>
          <cell r="H4020">
            <v>277.73</v>
          </cell>
        </row>
        <row r="4021">
          <cell r="A4021" t="str">
            <v>1;61;IB;E;</v>
          </cell>
          <cell r="B4021">
            <v>730069</v>
          </cell>
          <cell r="C4021" t="str">
            <v>IB</v>
          </cell>
          <cell r="D4021" t="str">
            <v>INTER BALEARES</v>
          </cell>
          <cell r="E4021" t="str">
            <v>61</v>
          </cell>
          <cell r="F4021" t="str">
            <v/>
          </cell>
          <cell r="G4021" t="str">
            <v>E</v>
          </cell>
          <cell r="H4021">
            <v>0</v>
          </cell>
        </row>
        <row r="4022">
          <cell r="A4022" t="str">
            <v>1;61;IB;P;</v>
          </cell>
          <cell r="B4022">
            <v>730069</v>
          </cell>
          <cell r="C4022" t="str">
            <v>IB</v>
          </cell>
          <cell r="D4022" t="str">
            <v>INTER BALEARES</v>
          </cell>
          <cell r="E4022" t="str">
            <v>61</v>
          </cell>
          <cell r="F4022" t="str">
            <v/>
          </cell>
          <cell r="G4022" t="str">
            <v>P</v>
          </cell>
          <cell r="H4022">
            <v>0</v>
          </cell>
        </row>
        <row r="4023">
          <cell r="A4023" t="str">
            <v>1;62;IB;B;BAG</v>
          </cell>
          <cell r="B4023">
            <v>730069</v>
          </cell>
          <cell r="C4023" t="str">
            <v>IB</v>
          </cell>
          <cell r="D4023" t="str">
            <v>INTER BALEARES</v>
          </cell>
          <cell r="E4023" t="str">
            <v>62</v>
          </cell>
          <cell r="F4023" t="str">
            <v>BAG</v>
          </cell>
          <cell r="G4023" t="str">
            <v>B</v>
          </cell>
          <cell r="H4023">
            <v>12.18</v>
          </cell>
        </row>
        <row r="4024">
          <cell r="A4024" t="str">
            <v>1;62;IB;B;PAQ00a02</v>
          </cell>
          <cell r="B4024">
            <v>730069</v>
          </cell>
          <cell r="C4024" t="str">
            <v>IB</v>
          </cell>
          <cell r="D4024" t="str">
            <v>INTER BALEARES</v>
          </cell>
          <cell r="E4024" t="str">
            <v>62</v>
          </cell>
          <cell r="F4024" t="str">
            <v>PAQ00a02</v>
          </cell>
          <cell r="G4024" t="str">
            <v>B</v>
          </cell>
          <cell r="H4024">
            <v>12.18</v>
          </cell>
        </row>
        <row r="4025">
          <cell r="A4025" t="str">
            <v>1;62;IB;B;PAQ02a04</v>
          </cell>
          <cell r="B4025">
            <v>730069</v>
          </cell>
          <cell r="C4025" t="str">
            <v>IB</v>
          </cell>
          <cell r="D4025" t="str">
            <v>INTER BALEARES</v>
          </cell>
          <cell r="E4025" t="str">
            <v>62</v>
          </cell>
          <cell r="F4025" t="str">
            <v>PAQ02a04</v>
          </cell>
          <cell r="G4025" t="str">
            <v>B</v>
          </cell>
          <cell r="H4025">
            <v>17.489999999999998</v>
          </cell>
        </row>
        <row r="4026">
          <cell r="A4026" t="str">
            <v>1;62;IB;B;PAQ04a06</v>
          </cell>
          <cell r="B4026">
            <v>730069</v>
          </cell>
          <cell r="C4026" t="str">
            <v>IB</v>
          </cell>
          <cell r="D4026" t="str">
            <v>INTER BALEARES</v>
          </cell>
          <cell r="E4026" t="str">
            <v>62</v>
          </cell>
          <cell r="F4026" t="str">
            <v>PAQ04a06</v>
          </cell>
          <cell r="G4026" t="str">
            <v>B</v>
          </cell>
          <cell r="H4026">
            <v>23.69</v>
          </cell>
        </row>
        <row r="4027">
          <cell r="A4027" t="str">
            <v>1;62;IB;B;PAQ06a08</v>
          </cell>
          <cell r="B4027">
            <v>730069</v>
          </cell>
          <cell r="C4027" t="str">
            <v>IB</v>
          </cell>
          <cell r="D4027" t="str">
            <v>INTER BALEARES</v>
          </cell>
          <cell r="E4027" t="str">
            <v>62</v>
          </cell>
          <cell r="F4027" t="str">
            <v>PAQ06a08</v>
          </cell>
          <cell r="G4027" t="str">
            <v>B</v>
          </cell>
          <cell r="H4027">
            <v>29.89</v>
          </cell>
        </row>
        <row r="4028">
          <cell r="A4028" t="str">
            <v>1;62;IB;B;PAQ08a10</v>
          </cell>
          <cell r="B4028">
            <v>730069</v>
          </cell>
          <cell r="C4028" t="str">
            <v>IB</v>
          </cell>
          <cell r="D4028" t="str">
            <v>INTER BALEARES</v>
          </cell>
          <cell r="E4028" t="str">
            <v>62</v>
          </cell>
          <cell r="F4028" t="str">
            <v>PAQ08a10</v>
          </cell>
          <cell r="G4028" t="str">
            <v>B</v>
          </cell>
          <cell r="H4028">
            <v>36.090000000000003</v>
          </cell>
        </row>
        <row r="4029">
          <cell r="A4029" t="str">
            <v>1;62;IB;B;PAQ10a12</v>
          </cell>
          <cell r="B4029">
            <v>730069</v>
          </cell>
          <cell r="C4029" t="str">
            <v>IB</v>
          </cell>
          <cell r="D4029" t="str">
            <v>INTER BALEARES</v>
          </cell>
          <cell r="E4029" t="str">
            <v>62</v>
          </cell>
          <cell r="F4029" t="str">
            <v>PAQ10a12</v>
          </cell>
          <cell r="G4029" t="str">
            <v>B</v>
          </cell>
          <cell r="H4029">
            <v>42.28</v>
          </cell>
        </row>
        <row r="4030">
          <cell r="A4030" t="str">
            <v>1;62;IB;B;PAQ12a14</v>
          </cell>
          <cell r="B4030">
            <v>730069</v>
          </cell>
          <cell r="C4030" t="str">
            <v>IB</v>
          </cell>
          <cell r="D4030" t="str">
            <v>INTER BALEARES</v>
          </cell>
          <cell r="E4030" t="str">
            <v>62</v>
          </cell>
          <cell r="F4030" t="str">
            <v>PAQ12a14</v>
          </cell>
          <cell r="G4030" t="str">
            <v>B</v>
          </cell>
          <cell r="H4030">
            <v>48.48</v>
          </cell>
        </row>
        <row r="4031">
          <cell r="A4031" t="str">
            <v>1;62;IB;B;PAQ14a16</v>
          </cell>
          <cell r="B4031">
            <v>730069</v>
          </cell>
          <cell r="C4031" t="str">
            <v>IB</v>
          </cell>
          <cell r="D4031" t="str">
            <v>INTER BALEARES</v>
          </cell>
          <cell r="E4031" t="str">
            <v>62</v>
          </cell>
          <cell r="F4031" t="str">
            <v>PAQ14a16</v>
          </cell>
          <cell r="G4031" t="str">
            <v>B</v>
          </cell>
          <cell r="H4031">
            <v>54.67</v>
          </cell>
        </row>
        <row r="4032">
          <cell r="A4032" t="str">
            <v>1;62;IB;B;PAQ16a18</v>
          </cell>
          <cell r="B4032">
            <v>730069</v>
          </cell>
          <cell r="C4032" t="str">
            <v>IB</v>
          </cell>
          <cell r="D4032" t="str">
            <v>INTER BALEARES</v>
          </cell>
          <cell r="E4032" t="str">
            <v>62</v>
          </cell>
          <cell r="F4032" t="str">
            <v>PAQ16a18</v>
          </cell>
          <cell r="G4032" t="str">
            <v>B</v>
          </cell>
          <cell r="H4032">
            <v>60.87</v>
          </cell>
        </row>
        <row r="4033">
          <cell r="A4033" t="str">
            <v>1;62;IB;B;PAQ18a20</v>
          </cell>
          <cell r="B4033">
            <v>730069</v>
          </cell>
          <cell r="C4033" t="str">
            <v>IB</v>
          </cell>
          <cell r="D4033" t="str">
            <v>INTER BALEARES</v>
          </cell>
          <cell r="E4033" t="str">
            <v>62</v>
          </cell>
          <cell r="F4033" t="str">
            <v>PAQ18a20</v>
          </cell>
          <cell r="G4033" t="str">
            <v>B</v>
          </cell>
          <cell r="H4033">
            <v>67.06</v>
          </cell>
        </row>
        <row r="4034">
          <cell r="A4034" t="str">
            <v>1;62;IB;B;PAQ20a22</v>
          </cell>
          <cell r="B4034">
            <v>730069</v>
          </cell>
          <cell r="C4034" t="str">
            <v>IB</v>
          </cell>
          <cell r="D4034" t="str">
            <v>INTER BALEARES</v>
          </cell>
          <cell r="E4034" t="str">
            <v>62</v>
          </cell>
          <cell r="F4034" t="str">
            <v>PAQ20a22</v>
          </cell>
          <cell r="G4034" t="str">
            <v>B</v>
          </cell>
          <cell r="H4034">
            <v>73.260000000000005</v>
          </cell>
        </row>
        <row r="4035">
          <cell r="A4035" t="str">
            <v>1;62;IB;B;PAQ22a24</v>
          </cell>
          <cell r="B4035">
            <v>730069</v>
          </cell>
          <cell r="C4035" t="str">
            <v>IB</v>
          </cell>
          <cell r="D4035" t="str">
            <v>INTER BALEARES</v>
          </cell>
          <cell r="E4035" t="str">
            <v>62</v>
          </cell>
          <cell r="F4035" t="str">
            <v>PAQ22a24</v>
          </cell>
          <cell r="G4035" t="str">
            <v>B</v>
          </cell>
          <cell r="H4035">
            <v>79.45</v>
          </cell>
        </row>
        <row r="4036">
          <cell r="A4036" t="str">
            <v>1;62;IB;B;PAQ24a26</v>
          </cell>
          <cell r="B4036">
            <v>730069</v>
          </cell>
          <cell r="C4036" t="str">
            <v>IB</v>
          </cell>
          <cell r="D4036" t="str">
            <v>INTER BALEARES</v>
          </cell>
          <cell r="E4036" t="str">
            <v>62</v>
          </cell>
          <cell r="F4036" t="str">
            <v>PAQ24a26</v>
          </cell>
          <cell r="G4036" t="str">
            <v>B</v>
          </cell>
          <cell r="H4036">
            <v>85.65</v>
          </cell>
        </row>
        <row r="4037">
          <cell r="A4037" t="str">
            <v>1;62;IB;B;PAQ26a28</v>
          </cell>
          <cell r="B4037">
            <v>730069</v>
          </cell>
          <cell r="C4037" t="str">
            <v>IB</v>
          </cell>
          <cell r="D4037" t="str">
            <v>INTER BALEARES</v>
          </cell>
          <cell r="E4037" t="str">
            <v>62</v>
          </cell>
          <cell r="F4037" t="str">
            <v>PAQ26a28</v>
          </cell>
          <cell r="G4037" t="str">
            <v>B</v>
          </cell>
          <cell r="H4037">
            <v>91.85</v>
          </cell>
        </row>
        <row r="4038">
          <cell r="A4038" t="str">
            <v>1;62;IB;B;PAQ28a30</v>
          </cell>
          <cell r="B4038">
            <v>730069</v>
          </cell>
          <cell r="C4038" t="str">
            <v>IB</v>
          </cell>
          <cell r="D4038" t="str">
            <v>INTER BALEARES</v>
          </cell>
          <cell r="E4038" t="str">
            <v>62</v>
          </cell>
          <cell r="F4038" t="str">
            <v>PAQ28a30</v>
          </cell>
          <cell r="G4038" t="str">
            <v>B</v>
          </cell>
          <cell r="H4038">
            <v>98.05</v>
          </cell>
        </row>
        <row r="4039">
          <cell r="A4039" t="str">
            <v>1;62;IB;B;PAQ30a32</v>
          </cell>
          <cell r="B4039">
            <v>730069</v>
          </cell>
          <cell r="C4039" t="str">
            <v>IB</v>
          </cell>
          <cell r="D4039" t="str">
            <v>INTER BALEARES</v>
          </cell>
          <cell r="E4039" t="str">
            <v>62</v>
          </cell>
          <cell r="F4039" t="str">
            <v>PAQ30a32</v>
          </cell>
          <cell r="G4039" t="str">
            <v>B</v>
          </cell>
          <cell r="H4039">
            <v>104.24</v>
          </cell>
        </row>
        <row r="4040">
          <cell r="A4040" t="str">
            <v>1;62;IB;B;PAQ32a34</v>
          </cell>
          <cell r="B4040">
            <v>730069</v>
          </cell>
          <cell r="C4040" t="str">
            <v>IB</v>
          </cell>
          <cell r="D4040" t="str">
            <v>INTER BALEARES</v>
          </cell>
          <cell r="E4040" t="str">
            <v>62</v>
          </cell>
          <cell r="F4040" t="str">
            <v>PAQ32a34</v>
          </cell>
          <cell r="G4040" t="str">
            <v>B</v>
          </cell>
          <cell r="H4040">
            <v>110.44</v>
          </cell>
        </row>
        <row r="4041">
          <cell r="A4041" t="str">
            <v>1;62;IB;B;PAQ34a36</v>
          </cell>
          <cell r="B4041">
            <v>730069</v>
          </cell>
          <cell r="C4041" t="str">
            <v>IB</v>
          </cell>
          <cell r="D4041" t="str">
            <v>INTER BALEARES</v>
          </cell>
          <cell r="E4041" t="str">
            <v>62</v>
          </cell>
          <cell r="F4041" t="str">
            <v>PAQ34a36</v>
          </cell>
          <cell r="G4041" t="str">
            <v>B</v>
          </cell>
          <cell r="H4041">
            <v>116.63</v>
          </cell>
        </row>
        <row r="4042">
          <cell r="A4042" t="str">
            <v>1;62;IB;B;PAQ36a38</v>
          </cell>
          <cell r="B4042">
            <v>730069</v>
          </cell>
          <cell r="C4042" t="str">
            <v>IB</v>
          </cell>
          <cell r="D4042" t="str">
            <v>INTER BALEARES</v>
          </cell>
          <cell r="E4042" t="str">
            <v>62</v>
          </cell>
          <cell r="F4042" t="str">
            <v>PAQ36a38</v>
          </cell>
          <cell r="G4042" t="str">
            <v>B</v>
          </cell>
          <cell r="H4042">
            <v>122.83</v>
          </cell>
        </row>
        <row r="4043">
          <cell r="A4043" t="str">
            <v>1;62;IB;B;PAQ38a40</v>
          </cell>
          <cell r="B4043">
            <v>730069</v>
          </cell>
          <cell r="C4043" t="str">
            <v>IB</v>
          </cell>
          <cell r="D4043" t="str">
            <v>INTER BALEARES</v>
          </cell>
          <cell r="E4043" t="str">
            <v>62</v>
          </cell>
          <cell r="F4043" t="str">
            <v>PAQ38a40</v>
          </cell>
          <cell r="G4043" t="str">
            <v>B</v>
          </cell>
          <cell r="H4043">
            <v>129.02000000000001</v>
          </cell>
        </row>
        <row r="4044">
          <cell r="A4044" t="str">
            <v>1;62;IB;F;</v>
          </cell>
          <cell r="B4044">
            <v>730069</v>
          </cell>
          <cell r="C4044" t="str">
            <v>IB</v>
          </cell>
          <cell r="D4044" t="str">
            <v>INTER BALEARES</v>
          </cell>
          <cell r="E4044" t="str">
            <v>62</v>
          </cell>
          <cell r="F4044" t="str">
            <v/>
          </cell>
          <cell r="G4044" t="str">
            <v>F</v>
          </cell>
          <cell r="H4044">
            <v>6.2</v>
          </cell>
        </row>
        <row r="4045">
          <cell r="A4045" t="str">
            <v>1;62;IB;E;</v>
          </cell>
          <cell r="B4045">
            <v>730069</v>
          </cell>
          <cell r="C4045" t="str">
            <v>IB</v>
          </cell>
          <cell r="D4045" t="str">
            <v>INTER BALEARES</v>
          </cell>
          <cell r="E4045" t="str">
            <v>62</v>
          </cell>
          <cell r="F4045" t="str">
            <v/>
          </cell>
          <cell r="G4045" t="str">
            <v>E</v>
          </cell>
          <cell r="H4045">
            <v>0</v>
          </cell>
        </row>
        <row r="4046">
          <cell r="A4046" t="str">
            <v>1;62;IB;P;</v>
          </cell>
          <cell r="B4046">
            <v>730069</v>
          </cell>
          <cell r="C4046" t="str">
            <v>IB</v>
          </cell>
          <cell r="D4046" t="str">
            <v>INTER BALEARES</v>
          </cell>
          <cell r="E4046" t="str">
            <v>62</v>
          </cell>
          <cell r="F4046" t="str">
            <v/>
          </cell>
          <cell r="G4046" t="str">
            <v>P</v>
          </cell>
          <cell r="H4046">
            <v>0</v>
          </cell>
        </row>
        <row r="4047">
          <cell r="A4047" t="str">
            <v>1;63;IB;B;BAG</v>
          </cell>
          <cell r="B4047">
            <v>730069</v>
          </cell>
          <cell r="C4047" t="str">
            <v>IB</v>
          </cell>
          <cell r="D4047" t="str">
            <v>INTER BALEARES</v>
          </cell>
          <cell r="E4047" t="str">
            <v>63</v>
          </cell>
          <cell r="F4047" t="str">
            <v>BAG</v>
          </cell>
          <cell r="G4047" t="str">
            <v>B</v>
          </cell>
          <cell r="H4047">
            <v>19.59</v>
          </cell>
        </row>
        <row r="4048">
          <cell r="A4048" t="str">
            <v>1;63;IB;B;PAQ00a02</v>
          </cell>
          <cell r="B4048">
            <v>730069</v>
          </cell>
          <cell r="C4048" t="str">
            <v>IB</v>
          </cell>
          <cell r="D4048" t="str">
            <v>INTER BALEARES</v>
          </cell>
          <cell r="E4048" t="str">
            <v>63</v>
          </cell>
          <cell r="F4048" t="str">
            <v>PAQ00a02</v>
          </cell>
          <cell r="G4048" t="str">
            <v>B</v>
          </cell>
          <cell r="H4048">
            <v>19.59</v>
          </cell>
        </row>
        <row r="4049">
          <cell r="A4049" t="str">
            <v>1;63;IB;B;PAQ02a04</v>
          </cell>
          <cell r="B4049">
            <v>730069</v>
          </cell>
          <cell r="C4049" t="str">
            <v>IB</v>
          </cell>
          <cell r="D4049" t="str">
            <v>INTER BALEARES</v>
          </cell>
          <cell r="E4049" t="str">
            <v>63</v>
          </cell>
          <cell r="F4049" t="str">
            <v>PAQ02a04</v>
          </cell>
          <cell r="G4049" t="str">
            <v>B</v>
          </cell>
          <cell r="H4049">
            <v>24.91</v>
          </cell>
        </row>
        <row r="4050">
          <cell r="A4050" t="str">
            <v>1;63;IB;B;PAQ04a06</v>
          </cell>
          <cell r="B4050">
            <v>730069</v>
          </cell>
          <cell r="C4050" t="str">
            <v>IB</v>
          </cell>
          <cell r="D4050" t="str">
            <v>INTER BALEARES</v>
          </cell>
          <cell r="E4050" t="str">
            <v>63</v>
          </cell>
          <cell r="F4050" t="str">
            <v>PAQ04a06</v>
          </cell>
          <cell r="G4050" t="str">
            <v>B</v>
          </cell>
          <cell r="H4050">
            <v>31.1</v>
          </cell>
        </row>
        <row r="4051">
          <cell r="A4051" t="str">
            <v>1;63;IB;B;PAQ06a08</v>
          </cell>
          <cell r="B4051">
            <v>730069</v>
          </cell>
          <cell r="C4051" t="str">
            <v>IB</v>
          </cell>
          <cell r="D4051" t="str">
            <v>INTER BALEARES</v>
          </cell>
          <cell r="E4051" t="str">
            <v>63</v>
          </cell>
          <cell r="F4051" t="str">
            <v>PAQ06a08</v>
          </cell>
          <cell r="G4051" t="str">
            <v>B</v>
          </cell>
          <cell r="H4051">
            <v>37.299999999999997</v>
          </cell>
        </row>
        <row r="4052">
          <cell r="A4052" t="str">
            <v>1;63;IB;B;PAQ08a10</v>
          </cell>
          <cell r="B4052">
            <v>730069</v>
          </cell>
          <cell r="C4052" t="str">
            <v>IB</v>
          </cell>
          <cell r="D4052" t="str">
            <v>INTER BALEARES</v>
          </cell>
          <cell r="E4052" t="str">
            <v>63</v>
          </cell>
          <cell r="F4052" t="str">
            <v>PAQ08a10</v>
          </cell>
          <cell r="G4052" t="str">
            <v>B</v>
          </cell>
          <cell r="H4052">
            <v>43.49</v>
          </cell>
        </row>
        <row r="4053">
          <cell r="A4053" t="str">
            <v>1;63;IB;B;PAQ10a12</v>
          </cell>
          <cell r="B4053">
            <v>730069</v>
          </cell>
          <cell r="C4053" t="str">
            <v>IB</v>
          </cell>
          <cell r="D4053" t="str">
            <v>INTER BALEARES</v>
          </cell>
          <cell r="E4053" t="str">
            <v>63</v>
          </cell>
          <cell r="F4053" t="str">
            <v>PAQ10a12</v>
          </cell>
          <cell r="G4053" t="str">
            <v>B</v>
          </cell>
          <cell r="H4053">
            <v>49.69</v>
          </cell>
        </row>
        <row r="4054">
          <cell r="A4054" t="str">
            <v>1;63;IB;B;PAQ12a14</v>
          </cell>
          <cell r="B4054">
            <v>730069</v>
          </cell>
          <cell r="C4054" t="str">
            <v>IB</v>
          </cell>
          <cell r="D4054" t="str">
            <v>INTER BALEARES</v>
          </cell>
          <cell r="E4054" t="str">
            <v>63</v>
          </cell>
          <cell r="F4054" t="str">
            <v>PAQ12a14</v>
          </cell>
          <cell r="G4054" t="str">
            <v>B</v>
          </cell>
          <cell r="H4054">
            <v>55.88</v>
          </cell>
        </row>
        <row r="4055">
          <cell r="A4055" t="str">
            <v>1;63;IB;B;PAQ14a16</v>
          </cell>
          <cell r="B4055">
            <v>730069</v>
          </cell>
          <cell r="C4055" t="str">
            <v>IB</v>
          </cell>
          <cell r="D4055" t="str">
            <v>INTER BALEARES</v>
          </cell>
          <cell r="E4055" t="str">
            <v>63</v>
          </cell>
          <cell r="F4055" t="str">
            <v>PAQ14a16</v>
          </cell>
          <cell r="G4055" t="str">
            <v>B</v>
          </cell>
          <cell r="H4055">
            <v>62.09</v>
          </cell>
        </row>
        <row r="4056">
          <cell r="A4056" t="str">
            <v>1;63;IB;B;PAQ16a18</v>
          </cell>
          <cell r="B4056">
            <v>730069</v>
          </cell>
          <cell r="C4056" t="str">
            <v>IB</v>
          </cell>
          <cell r="D4056" t="str">
            <v>INTER BALEARES</v>
          </cell>
          <cell r="E4056" t="str">
            <v>63</v>
          </cell>
          <cell r="F4056" t="str">
            <v>PAQ16a18</v>
          </cell>
          <cell r="G4056" t="str">
            <v>B</v>
          </cell>
          <cell r="H4056">
            <v>68.28</v>
          </cell>
        </row>
        <row r="4057">
          <cell r="A4057" t="str">
            <v>1;63;IB;B;PAQ18a20</v>
          </cell>
          <cell r="B4057">
            <v>730069</v>
          </cell>
          <cell r="C4057" t="str">
            <v>IB</v>
          </cell>
          <cell r="D4057" t="str">
            <v>INTER BALEARES</v>
          </cell>
          <cell r="E4057" t="str">
            <v>63</v>
          </cell>
          <cell r="F4057" t="str">
            <v>PAQ18a20</v>
          </cell>
          <cell r="G4057" t="str">
            <v>B</v>
          </cell>
          <cell r="H4057">
            <v>74.48</v>
          </cell>
        </row>
        <row r="4058">
          <cell r="A4058" t="str">
            <v>1;63;IB;B;PAQ20a22</v>
          </cell>
          <cell r="B4058">
            <v>730069</v>
          </cell>
          <cell r="C4058" t="str">
            <v>IB</v>
          </cell>
          <cell r="D4058" t="str">
            <v>INTER BALEARES</v>
          </cell>
          <cell r="E4058" t="str">
            <v>63</v>
          </cell>
          <cell r="F4058" t="str">
            <v>PAQ20a22</v>
          </cell>
          <cell r="G4058" t="str">
            <v>B</v>
          </cell>
          <cell r="H4058">
            <v>80.67</v>
          </cell>
        </row>
        <row r="4059">
          <cell r="A4059" t="str">
            <v>1;63;IB;B;PAQ22a24</v>
          </cell>
          <cell r="B4059">
            <v>730069</v>
          </cell>
          <cell r="C4059" t="str">
            <v>IB</v>
          </cell>
          <cell r="D4059" t="str">
            <v>INTER BALEARES</v>
          </cell>
          <cell r="E4059" t="str">
            <v>63</v>
          </cell>
          <cell r="F4059" t="str">
            <v>PAQ22a24</v>
          </cell>
          <cell r="G4059" t="str">
            <v>B</v>
          </cell>
          <cell r="H4059">
            <v>86.87</v>
          </cell>
        </row>
        <row r="4060">
          <cell r="A4060" t="str">
            <v>1;63;IB;B;PAQ24a26</v>
          </cell>
          <cell r="B4060">
            <v>730069</v>
          </cell>
          <cell r="C4060" t="str">
            <v>IB</v>
          </cell>
          <cell r="D4060" t="str">
            <v>INTER BALEARES</v>
          </cell>
          <cell r="E4060" t="str">
            <v>63</v>
          </cell>
          <cell r="F4060" t="str">
            <v>PAQ24a26</v>
          </cell>
          <cell r="G4060" t="str">
            <v>B</v>
          </cell>
          <cell r="H4060">
            <v>93.06</v>
          </cell>
        </row>
        <row r="4061">
          <cell r="A4061" t="str">
            <v>1;63;IB;B;PAQ26a28</v>
          </cell>
          <cell r="B4061">
            <v>730069</v>
          </cell>
          <cell r="C4061" t="str">
            <v>IB</v>
          </cell>
          <cell r="D4061" t="str">
            <v>INTER BALEARES</v>
          </cell>
          <cell r="E4061" t="str">
            <v>63</v>
          </cell>
          <cell r="F4061" t="str">
            <v>PAQ26a28</v>
          </cell>
          <cell r="G4061" t="str">
            <v>B</v>
          </cell>
          <cell r="H4061">
            <v>99.26</v>
          </cell>
        </row>
        <row r="4062">
          <cell r="A4062" t="str">
            <v>1;63;IB;B;PAQ28a30</v>
          </cell>
          <cell r="B4062">
            <v>730069</v>
          </cell>
          <cell r="C4062" t="str">
            <v>IB</v>
          </cell>
          <cell r="D4062" t="str">
            <v>INTER BALEARES</v>
          </cell>
          <cell r="E4062" t="str">
            <v>63</v>
          </cell>
          <cell r="F4062" t="str">
            <v>PAQ28a30</v>
          </cell>
          <cell r="G4062" t="str">
            <v>B</v>
          </cell>
          <cell r="H4062">
            <v>105.45</v>
          </cell>
        </row>
        <row r="4063">
          <cell r="A4063" t="str">
            <v>1;63;IB;B;PAQ30a32</v>
          </cell>
          <cell r="B4063">
            <v>730069</v>
          </cell>
          <cell r="C4063" t="str">
            <v>IB</v>
          </cell>
          <cell r="D4063" t="str">
            <v>INTER BALEARES</v>
          </cell>
          <cell r="E4063" t="str">
            <v>63</v>
          </cell>
          <cell r="F4063" t="str">
            <v>PAQ30a32</v>
          </cell>
          <cell r="G4063" t="str">
            <v>B</v>
          </cell>
          <cell r="H4063">
            <v>111.65</v>
          </cell>
        </row>
        <row r="4064">
          <cell r="A4064" t="str">
            <v>1;63;IB;B;PAQ32a34</v>
          </cell>
          <cell r="B4064">
            <v>730069</v>
          </cell>
          <cell r="C4064" t="str">
            <v>IB</v>
          </cell>
          <cell r="D4064" t="str">
            <v>INTER BALEARES</v>
          </cell>
          <cell r="E4064" t="str">
            <v>63</v>
          </cell>
          <cell r="F4064" t="str">
            <v>PAQ32a34</v>
          </cell>
          <cell r="G4064" t="str">
            <v>B</v>
          </cell>
          <cell r="H4064">
            <v>117.84</v>
          </cell>
        </row>
        <row r="4065">
          <cell r="A4065" t="str">
            <v>1;63;IB;B;PAQ34a36</v>
          </cell>
          <cell r="B4065">
            <v>730069</v>
          </cell>
          <cell r="C4065" t="str">
            <v>IB</v>
          </cell>
          <cell r="D4065" t="str">
            <v>INTER BALEARES</v>
          </cell>
          <cell r="E4065" t="str">
            <v>63</v>
          </cell>
          <cell r="F4065" t="str">
            <v>PAQ34a36</v>
          </cell>
          <cell r="G4065" t="str">
            <v>B</v>
          </cell>
          <cell r="H4065">
            <v>124.05</v>
          </cell>
        </row>
        <row r="4066">
          <cell r="A4066" t="str">
            <v>1;63;IB;B;PAQ36a38</v>
          </cell>
          <cell r="B4066">
            <v>730069</v>
          </cell>
          <cell r="C4066" t="str">
            <v>IB</v>
          </cell>
          <cell r="D4066" t="str">
            <v>INTER BALEARES</v>
          </cell>
          <cell r="E4066" t="str">
            <v>63</v>
          </cell>
          <cell r="F4066" t="str">
            <v>PAQ36a38</v>
          </cell>
          <cell r="G4066" t="str">
            <v>B</v>
          </cell>
          <cell r="H4066">
            <v>130.24</v>
          </cell>
        </row>
        <row r="4067">
          <cell r="A4067" t="str">
            <v>1;63;IB;F;</v>
          </cell>
          <cell r="B4067">
            <v>730069</v>
          </cell>
          <cell r="C4067" t="str">
            <v>IB</v>
          </cell>
          <cell r="D4067" t="str">
            <v>INTER BALEARES</v>
          </cell>
          <cell r="E4067" t="str">
            <v>63</v>
          </cell>
          <cell r="F4067" t="str">
            <v/>
          </cell>
          <cell r="G4067" t="str">
            <v>F</v>
          </cell>
          <cell r="H4067">
            <v>6.2</v>
          </cell>
        </row>
        <row r="4068">
          <cell r="A4068" t="str">
            <v>1;63;IB;B;PAQ38a40</v>
          </cell>
          <cell r="B4068">
            <v>730069</v>
          </cell>
          <cell r="C4068" t="str">
            <v>IB</v>
          </cell>
          <cell r="D4068" t="str">
            <v>INTER BALEARES</v>
          </cell>
          <cell r="E4068" t="str">
            <v>63</v>
          </cell>
          <cell r="F4068" t="str">
            <v>PAQ38a40</v>
          </cell>
          <cell r="G4068" t="str">
            <v>B</v>
          </cell>
          <cell r="H4068">
            <v>136.44</v>
          </cell>
        </row>
        <row r="4069">
          <cell r="A4069" t="str">
            <v>1;63;IB;P;</v>
          </cell>
          <cell r="B4069">
            <v>730069</v>
          </cell>
          <cell r="C4069" t="str">
            <v>IB</v>
          </cell>
          <cell r="D4069" t="str">
            <v>INTER BALEARES</v>
          </cell>
          <cell r="E4069" t="str">
            <v>63</v>
          </cell>
          <cell r="F4069" t="str">
            <v/>
          </cell>
          <cell r="G4069" t="str">
            <v>P</v>
          </cell>
          <cell r="H4069">
            <v>0</v>
          </cell>
        </row>
        <row r="4070">
          <cell r="A4070" t="str">
            <v>1;63;IB;E;</v>
          </cell>
          <cell r="B4070">
            <v>730069</v>
          </cell>
          <cell r="C4070" t="str">
            <v>IB</v>
          </cell>
          <cell r="D4070" t="str">
            <v>INTER BALEARES</v>
          </cell>
          <cell r="E4070" t="str">
            <v>63</v>
          </cell>
          <cell r="F4070" t="str">
            <v/>
          </cell>
          <cell r="G4070" t="str">
            <v>E</v>
          </cell>
          <cell r="H4070">
            <v>0</v>
          </cell>
        </row>
        <row r="4071">
          <cell r="A4071" t="str">
            <v>1;E;IC;B;BAG</v>
          </cell>
          <cell r="B4071">
            <v>730069</v>
          </cell>
          <cell r="C4071" t="str">
            <v>IC</v>
          </cell>
          <cell r="D4071" t="str">
            <v>INTER CANARIAS</v>
          </cell>
          <cell r="E4071" t="str">
            <v>E</v>
          </cell>
          <cell r="F4071" t="str">
            <v>BAG</v>
          </cell>
          <cell r="G4071" t="str">
            <v>B</v>
          </cell>
          <cell r="H4071">
            <v>0</v>
          </cell>
        </row>
        <row r="4072">
          <cell r="A4072" t="str">
            <v>1;E;IC;B;PAQ00a02</v>
          </cell>
          <cell r="B4072">
            <v>730069</v>
          </cell>
          <cell r="C4072" t="str">
            <v>IC</v>
          </cell>
          <cell r="D4072" t="str">
            <v>INTER CANARIAS</v>
          </cell>
          <cell r="E4072" t="str">
            <v>E</v>
          </cell>
          <cell r="F4072" t="str">
            <v>PAQ00a02</v>
          </cell>
          <cell r="G4072" t="str">
            <v>B</v>
          </cell>
          <cell r="H4072">
            <v>0</v>
          </cell>
        </row>
        <row r="4073">
          <cell r="A4073" t="str">
            <v>1;E;IC;B;PAQ02a04</v>
          </cell>
          <cell r="B4073">
            <v>730069</v>
          </cell>
          <cell r="C4073" t="str">
            <v>IC</v>
          </cell>
          <cell r="D4073" t="str">
            <v>INTER CANARIAS</v>
          </cell>
          <cell r="E4073" t="str">
            <v>E</v>
          </cell>
          <cell r="F4073" t="str">
            <v>PAQ02a04</v>
          </cell>
          <cell r="G4073" t="str">
            <v>B</v>
          </cell>
          <cell r="H4073">
            <v>0</v>
          </cell>
        </row>
        <row r="4074">
          <cell r="A4074" t="str">
            <v>1;E;IC;B;PAQ04a06</v>
          </cell>
          <cell r="B4074">
            <v>730069</v>
          </cell>
          <cell r="C4074" t="str">
            <v>IC</v>
          </cell>
          <cell r="D4074" t="str">
            <v>INTER CANARIAS</v>
          </cell>
          <cell r="E4074" t="str">
            <v>E</v>
          </cell>
          <cell r="F4074" t="str">
            <v>PAQ04a06</v>
          </cell>
          <cell r="G4074" t="str">
            <v>B</v>
          </cell>
          <cell r="H4074">
            <v>0</v>
          </cell>
        </row>
        <row r="4075">
          <cell r="A4075" t="str">
            <v>1;E;IC;B;PAQ06a08</v>
          </cell>
          <cell r="B4075">
            <v>730069</v>
          </cell>
          <cell r="C4075" t="str">
            <v>IC</v>
          </cell>
          <cell r="D4075" t="str">
            <v>INTER CANARIAS</v>
          </cell>
          <cell r="E4075" t="str">
            <v>E</v>
          </cell>
          <cell r="F4075" t="str">
            <v>PAQ06a08</v>
          </cell>
          <cell r="G4075" t="str">
            <v>B</v>
          </cell>
          <cell r="H4075">
            <v>0</v>
          </cell>
        </row>
        <row r="4076">
          <cell r="A4076" t="str">
            <v>1;E;IC;B;PAQ08a10</v>
          </cell>
          <cell r="B4076">
            <v>730069</v>
          </cell>
          <cell r="C4076" t="str">
            <v>IC</v>
          </cell>
          <cell r="D4076" t="str">
            <v>INTER CANARIAS</v>
          </cell>
          <cell r="E4076" t="str">
            <v>E</v>
          </cell>
          <cell r="F4076" t="str">
            <v>PAQ08a10</v>
          </cell>
          <cell r="G4076" t="str">
            <v>B</v>
          </cell>
          <cell r="H4076">
            <v>0</v>
          </cell>
        </row>
        <row r="4077">
          <cell r="A4077" t="str">
            <v>1;E;IC;B;PAQ10a12</v>
          </cell>
          <cell r="B4077">
            <v>730069</v>
          </cell>
          <cell r="C4077" t="str">
            <v>IC</v>
          </cell>
          <cell r="D4077" t="str">
            <v>INTER CANARIAS</v>
          </cell>
          <cell r="E4077" t="str">
            <v>E</v>
          </cell>
          <cell r="F4077" t="str">
            <v>PAQ10a12</v>
          </cell>
          <cell r="G4077" t="str">
            <v>B</v>
          </cell>
          <cell r="H4077">
            <v>0</v>
          </cell>
        </row>
        <row r="4078">
          <cell r="A4078" t="str">
            <v>1;E;IC;B;PAQ12a14</v>
          </cell>
          <cell r="B4078">
            <v>730069</v>
          </cell>
          <cell r="C4078" t="str">
            <v>IC</v>
          </cell>
          <cell r="D4078" t="str">
            <v>INTER CANARIAS</v>
          </cell>
          <cell r="E4078" t="str">
            <v>E</v>
          </cell>
          <cell r="F4078" t="str">
            <v>PAQ12a14</v>
          </cell>
          <cell r="G4078" t="str">
            <v>B</v>
          </cell>
          <cell r="H4078">
            <v>0</v>
          </cell>
        </row>
        <row r="4079">
          <cell r="A4079" t="str">
            <v>1;E;IC;B;PAQ14a16</v>
          </cell>
          <cell r="B4079">
            <v>730069</v>
          </cell>
          <cell r="C4079" t="str">
            <v>IC</v>
          </cell>
          <cell r="D4079" t="str">
            <v>INTER CANARIAS</v>
          </cell>
          <cell r="E4079" t="str">
            <v>E</v>
          </cell>
          <cell r="F4079" t="str">
            <v>PAQ14a16</v>
          </cell>
          <cell r="G4079" t="str">
            <v>B</v>
          </cell>
          <cell r="H4079">
            <v>0</v>
          </cell>
        </row>
        <row r="4080">
          <cell r="A4080" t="str">
            <v>1;E;IC;B;PAQ16a18</v>
          </cell>
          <cell r="B4080">
            <v>730069</v>
          </cell>
          <cell r="C4080" t="str">
            <v>IC</v>
          </cell>
          <cell r="D4080" t="str">
            <v>INTER CANARIAS</v>
          </cell>
          <cell r="E4080" t="str">
            <v>E</v>
          </cell>
          <cell r="F4080" t="str">
            <v>PAQ16a18</v>
          </cell>
          <cell r="G4080" t="str">
            <v>B</v>
          </cell>
          <cell r="H4080">
            <v>0</v>
          </cell>
        </row>
        <row r="4081">
          <cell r="A4081" t="str">
            <v>1;E;IC;B;PAQ18a20</v>
          </cell>
          <cell r="B4081">
            <v>730069</v>
          </cell>
          <cell r="C4081" t="str">
            <v>IC</v>
          </cell>
          <cell r="D4081" t="str">
            <v>INTER CANARIAS</v>
          </cell>
          <cell r="E4081" t="str">
            <v>E</v>
          </cell>
          <cell r="F4081" t="str">
            <v>PAQ18a20</v>
          </cell>
          <cell r="G4081" t="str">
            <v>B</v>
          </cell>
          <cell r="H4081">
            <v>0</v>
          </cell>
        </row>
        <row r="4082">
          <cell r="A4082" t="str">
            <v>1;E;IC;B;PAQ20a22</v>
          </cell>
          <cell r="B4082">
            <v>730069</v>
          </cell>
          <cell r="C4082" t="str">
            <v>IC</v>
          </cell>
          <cell r="D4082" t="str">
            <v>INTER CANARIAS</v>
          </cell>
          <cell r="E4082" t="str">
            <v>E</v>
          </cell>
          <cell r="F4082" t="str">
            <v>PAQ20a22</v>
          </cell>
          <cell r="G4082" t="str">
            <v>B</v>
          </cell>
          <cell r="H4082">
            <v>0</v>
          </cell>
        </row>
        <row r="4083">
          <cell r="A4083" t="str">
            <v>1;E;IC;B;PAQ22a24</v>
          </cell>
          <cell r="B4083">
            <v>730069</v>
          </cell>
          <cell r="C4083" t="str">
            <v>IC</v>
          </cell>
          <cell r="D4083" t="str">
            <v>INTER CANARIAS</v>
          </cell>
          <cell r="E4083" t="str">
            <v>E</v>
          </cell>
          <cell r="F4083" t="str">
            <v>PAQ22a24</v>
          </cell>
          <cell r="G4083" t="str">
            <v>B</v>
          </cell>
          <cell r="H4083">
            <v>0</v>
          </cell>
        </row>
        <row r="4084">
          <cell r="A4084" t="str">
            <v>1;E;IC;B;PAQ24a26</v>
          </cell>
          <cell r="B4084">
            <v>730069</v>
          </cell>
          <cell r="C4084" t="str">
            <v>IC</v>
          </cell>
          <cell r="D4084" t="str">
            <v>INTER CANARIAS</v>
          </cell>
          <cell r="E4084" t="str">
            <v>E</v>
          </cell>
          <cell r="F4084" t="str">
            <v>PAQ24a26</v>
          </cell>
          <cell r="G4084" t="str">
            <v>B</v>
          </cell>
          <cell r="H4084">
            <v>0</v>
          </cell>
        </row>
        <row r="4085">
          <cell r="A4085" t="str">
            <v>1;E;IC;B;PAQ26a28</v>
          </cell>
          <cell r="B4085">
            <v>730069</v>
          </cell>
          <cell r="C4085" t="str">
            <v>IC</v>
          </cell>
          <cell r="D4085" t="str">
            <v>INTER CANARIAS</v>
          </cell>
          <cell r="E4085" t="str">
            <v>E</v>
          </cell>
          <cell r="F4085" t="str">
            <v>PAQ26a28</v>
          </cell>
          <cell r="G4085" t="str">
            <v>B</v>
          </cell>
          <cell r="H4085">
            <v>0</v>
          </cell>
        </row>
        <row r="4086">
          <cell r="A4086" t="str">
            <v>1;E;IC;B;PAQ28a30</v>
          </cell>
          <cell r="B4086">
            <v>730069</v>
          </cell>
          <cell r="C4086" t="str">
            <v>IC</v>
          </cell>
          <cell r="D4086" t="str">
            <v>INTER CANARIAS</v>
          </cell>
          <cell r="E4086" t="str">
            <v>E</v>
          </cell>
          <cell r="F4086" t="str">
            <v>PAQ28a30</v>
          </cell>
          <cell r="G4086" t="str">
            <v>B</v>
          </cell>
          <cell r="H4086">
            <v>0</v>
          </cell>
        </row>
        <row r="4087">
          <cell r="A4087" t="str">
            <v>1;E;IC;B;PAQ30a32</v>
          </cell>
          <cell r="B4087">
            <v>730069</v>
          </cell>
          <cell r="C4087" t="str">
            <v>IC</v>
          </cell>
          <cell r="D4087" t="str">
            <v>INTER CANARIAS</v>
          </cell>
          <cell r="E4087" t="str">
            <v>E</v>
          </cell>
          <cell r="F4087" t="str">
            <v>PAQ30a32</v>
          </cell>
          <cell r="G4087" t="str">
            <v>B</v>
          </cell>
          <cell r="H4087">
            <v>0</v>
          </cell>
        </row>
        <row r="4088">
          <cell r="A4088" t="str">
            <v>1;E;IC;B;PAQ32a34</v>
          </cell>
          <cell r="B4088">
            <v>730069</v>
          </cell>
          <cell r="C4088" t="str">
            <v>IC</v>
          </cell>
          <cell r="D4088" t="str">
            <v>INTER CANARIAS</v>
          </cell>
          <cell r="E4088" t="str">
            <v>E</v>
          </cell>
          <cell r="F4088" t="str">
            <v>PAQ32a34</v>
          </cell>
          <cell r="G4088" t="str">
            <v>B</v>
          </cell>
          <cell r="H4088">
            <v>0</v>
          </cell>
        </row>
        <row r="4089">
          <cell r="A4089" t="str">
            <v>1;E;IC;B;PAQ34a36</v>
          </cell>
          <cell r="B4089">
            <v>730069</v>
          </cell>
          <cell r="C4089" t="str">
            <v>IC</v>
          </cell>
          <cell r="D4089" t="str">
            <v>INTER CANARIAS</v>
          </cell>
          <cell r="E4089" t="str">
            <v>E</v>
          </cell>
          <cell r="F4089" t="str">
            <v>PAQ34a36</v>
          </cell>
          <cell r="G4089" t="str">
            <v>B</v>
          </cell>
          <cell r="H4089">
            <v>0</v>
          </cell>
        </row>
        <row r="4090">
          <cell r="A4090" t="str">
            <v>1;E;IC;B;PAQ36a38</v>
          </cell>
          <cell r="B4090">
            <v>730069</v>
          </cell>
          <cell r="C4090" t="str">
            <v>IC</v>
          </cell>
          <cell r="D4090" t="str">
            <v>INTER CANARIAS</v>
          </cell>
          <cell r="E4090" t="str">
            <v>E</v>
          </cell>
          <cell r="F4090" t="str">
            <v>PAQ36a38</v>
          </cell>
          <cell r="G4090" t="str">
            <v>B</v>
          </cell>
          <cell r="H4090">
            <v>0</v>
          </cell>
        </row>
        <row r="4091">
          <cell r="A4091" t="str">
            <v>1;E;IC;B;PAQ38a40</v>
          </cell>
          <cell r="B4091">
            <v>730069</v>
          </cell>
          <cell r="C4091" t="str">
            <v>IC</v>
          </cell>
          <cell r="D4091" t="str">
            <v>INTER CANARIAS</v>
          </cell>
          <cell r="E4091" t="str">
            <v>E</v>
          </cell>
          <cell r="F4091" t="str">
            <v>PAQ38a40</v>
          </cell>
          <cell r="G4091" t="str">
            <v>B</v>
          </cell>
          <cell r="H4091">
            <v>0</v>
          </cell>
        </row>
        <row r="4092">
          <cell r="A4092" t="str">
            <v>1;E;IC;F;</v>
          </cell>
          <cell r="B4092">
            <v>730069</v>
          </cell>
          <cell r="C4092" t="str">
            <v>IC</v>
          </cell>
          <cell r="D4092" t="str">
            <v>INTER CANARIAS</v>
          </cell>
          <cell r="E4092" t="str">
            <v>E</v>
          </cell>
          <cell r="F4092" t="str">
            <v/>
          </cell>
          <cell r="G4092" t="str">
            <v>F</v>
          </cell>
          <cell r="H4092">
            <v>0</v>
          </cell>
        </row>
        <row r="4093">
          <cell r="A4093" t="str">
            <v>1;E;IC;E;</v>
          </cell>
          <cell r="B4093">
            <v>730069</v>
          </cell>
          <cell r="C4093" t="str">
            <v>IC</v>
          </cell>
          <cell r="D4093" t="str">
            <v>INTER CANARIAS</v>
          </cell>
          <cell r="E4093" t="str">
            <v>E</v>
          </cell>
          <cell r="F4093" t="str">
            <v/>
          </cell>
          <cell r="G4093" t="str">
            <v>E</v>
          </cell>
          <cell r="H4093">
            <v>0</v>
          </cell>
        </row>
        <row r="4094">
          <cell r="A4094" t="str">
            <v>1;E;IC;P;</v>
          </cell>
          <cell r="B4094">
            <v>730069</v>
          </cell>
          <cell r="C4094" t="str">
            <v>IC</v>
          </cell>
          <cell r="D4094" t="str">
            <v>INTER CANARIAS</v>
          </cell>
          <cell r="E4094" t="str">
            <v>E</v>
          </cell>
          <cell r="F4094" t="str">
            <v/>
          </cell>
          <cell r="G4094" t="str">
            <v>P</v>
          </cell>
          <cell r="H4094">
            <v>0</v>
          </cell>
        </row>
        <row r="4095">
          <cell r="A4095" t="str">
            <v>1;F;IC;B;BAG</v>
          </cell>
          <cell r="B4095">
            <v>730069</v>
          </cell>
          <cell r="C4095" t="str">
            <v>IC</v>
          </cell>
          <cell r="D4095" t="str">
            <v>INTER CANARIAS</v>
          </cell>
          <cell r="E4095" t="str">
            <v>F</v>
          </cell>
          <cell r="F4095" t="str">
            <v>BAG</v>
          </cell>
          <cell r="G4095" t="str">
            <v>B</v>
          </cell>
          <cell r="H4095">
            <v>0</v>
          </cell>
        </row>
        <row r="4096">
          <cell r="A4096" t="str">
            <v>1;F;IC;B;PAQ00a02</v>
          </cell>
          <cell r="B4096">
            <v>730069</v>
          </cell>
          <cell r="C4096" t="str">
            <v>IC</v>
          </cell>
          <cell r="D4096" t="str">
            <v>INTER CANARIAS</v>
          </cell>
          <cell r="E4096" t="str">
            <v>F</v>
          </cell>
          <cell r="F4096" t="str">
            <v>PAQ00a02</v>
          </cell>
          <cell r="G4096" t="str">
            <v>B</v>
          </cell>
          <cell r="H4096">
            <v>0</v>
          </cell>
        </row>
        <row r="4097">
          <cell r="A4097" t="str">
            <v>1;F;IC;B;PAQ02a04</v>
          </cell>
          <cell r="B4097">
            <v>730069</v>
          </cell>
          <cell r="C4097" t="str">
            <v>IC</v>
          </cell>
          <cell r="D4097" t="str">
            <v>INTER CANARIAS</v>
          </cell>
          <cell r="E4097" t="str">
            <v>F</v>
          </cell>
          <cell r="F4097" t="str">
            <v>PAQ02a04</v>
          </cell>
          <cell r="G4097" t="str">
            <v>B</v>
          </cell>
          <cell r="H4097">
            <v>0</v>
          </cell>
        </row>
        <row r="4098">
          <cell r="A4098" t="str">
            <v>1;F;IC;B;PAQ04a06</v>
          </cell>
          <cell r="B4098">
            <v>730069</v>
          </cell>
          <cell r="C4098" t="str">
            <v>IC</v>
          </cell>
          <cell r="D4098" t="str">
            <v>INTER CANARIAS</v>
          </cell>
          <cell r="E4098" t="str">
            <v>F</v>
          </cell>
          <cell r="F4098" t="str">
            <v>PAQ04a06</v>
          </cell>
          <cell r="G4098" t="str">
            <v>B</v>
          </cell>
          <cell r="H4098">
            <v>0</v>
          </cell>
        </row>
        <row r="4099">
          <cell r="A4099" t="str">
            <v>1;F;IC;B;PAQ06a08</v>
          </cell>
          <cell r="B4099">
            <v>730069</v>
          </cell>
          <cell r="C4099" t="str">
            <v>IC</v>
          </cell>
          <cell r="D4099" t="str">
            <v>INTER CANARIAS</v>
          </cell>
          <cell r="E4099" t="str">
            <v>F</v>
          </cell>
          <cell r="F4099" t="str">
            <v>PAQ06a08</v>
          </cell>
          <cell r="G4099" t="str">
            <v>B</v>
          </cell>
          <cell r="H4099">
            <v>0</v>
          </cell>
        </row>
        <row r="4100">
          <cell r="A4100" t="str">
            <v>1;F;IC;B;PAQ08a10</v>
          </cell>
          <cell r="B4100">
            <v>730069</v>
          </cell>
          <cell r="C4100" t="str">
            <v>IC</v>
          </cell>
          <cell r="D4100" t="str">
            <v>INTER CANARIAS</v>
          </cell>
          <cell r="E4100" t="str">
            <v>F</v>
          </cell>
          <cell r="F4100" t="str">
            <v>PAQ08a10</v>
          </cell>
          <cell r="G4100" t="str">
            <v>B</v>
          </cell>
          <cell r="H4100">
            <v>0</v>
          </cell>
        </row>
        <row r="4101">
          <cell r="A4101" t="str">
            <v>1;F;IC;B;PAQ10a12</v>
          </cell>
          <cell r="B4101">
            <v>730069</v>
          </cell>
          <cell r="C4101" t="str">
            <v>IC</v>
          </cell>
          <cell r="D4101" t="str">
            <v>INTER CANARIAS</v>
          </cell>
          <cell r="E4101" t="str">
            <v>F</v>
          </cell>
          <cell r="F4101" t="str">
            <v>PAQ10a12</v>
          </cell>
          <cell r="G4101" t="str">
            <v>B</v>
          </cell>
          <cell r="H4101">
            <v>0</v>
          </cell>
        </row>
        <row r="4102">
          <cell r="A4102" t="str">
            <v>1;F;IC;B;PAQ12a14</v>
          </cell>
          <cell r="B4102">
            <v>730069</v>
          </cell>
          <cell r="C4102" t="str">
            <v>IC</v>
          </cell>
          <cell r="D4102" t="str">
            <v>INTER CANARIAS</v>
          </cell>
          <cell r="E4102" t="str">
            <v>F</v>
          </cell>
          <cell r="F4102" t="str">
            <v>PAQ12a14</v>
          </cell>
          <cell r="G4102" t="str">
            <v>B</v>
          </cell>
          <cell r="H4102">
            <v>0</v>
          </cell>
        </row>
        <row r="4103">
          <cell r="A4103" t="str">
            <v>1;F;IC;B;PAQ14a16</v>
          </cell>
          <cell r="B4103">
            <v>730069</v>
          </cell>
          <cell r="C4103" t="str">
            <v>IC</v>
          </cell>
          <cell r="D4103" t="str">
            <v>INTER CANARIAS</v>
          </cell>
          <cell r="E4103" t="str">
            <v>F</v>
          </cell>
          <cell r="F4103" t="str">
            <v>PAQ14a16</v>
          </cell>
          <cell r="G4103" t="str">
            <v>B</v>
          </cell>
          <cell r="H4103">
            <v>0</v>
          </cell>
        </row>
        <row r="4104">
          <cell r="A4104" t="str">
            <v>1;F;IC;B;PAQ16a18</v>
          </cell>
          <cell r="B4104">
            <v>730069</v>
          </cell>
          <cell r="C4104" t="str">
            <v>IC</v>
          </cell>
          <cell r="D4104" t="str">
            <v>INTER CANARIAS</v>
          </cell>
          <cell r="E4104" t="str">
            <v>F</v>
          </cell>
          <cell r="F4104" t="str">
            <v>PAQ16a18</v>
          </cell>
          <cell r="G4104" t="str">
            <v>B</v>
          </cell>
          <cell r="H4104">
            <v>0</v>
          </cell>
        </row>
        <row r="4105">
          <cell r="A4105" t="str">
            <v>1;F;IC;B;PAQ18a20</v>
          </cell>
          <cell r="B4105">
            <v>730069</v>
          </cell>
          <cell r="C4105" t="str">
            <v>IC</v>
          </cell>
          <cell r="D4105" t="str">
            <v>INTER CANARIAS</v>
          </cell>
          <cell r="E4105" t="str">
            <v>F</v>
          </cell>
          <cell r="F4105" t="str">
            <v>PAQ18a20</v>
          </cell>
          <cell r="G4105" t="str">
            <v>B</v>
          </cell>
          <cell r="H4105">
            <v>0</v>
          </cell>
        </row>
        <row r="4106">
          <cell r="A4106" t="str">
            <v>1;F;IC;B;PAQ20a22</v>
          </cell>
          <cell r="B4106">
            <v>730069</v>
          </cell>
          <cell r="C4106" t="str">
            <v>IC</v>
          </cell>
          <cell r="D4106" t="str">
            <v>INTER CANARIAS</v>
          </cell>
          <cell r="E4106" t="str">
            <v>F</v>
          </cell>
          <cell r="F4106" t="str">
            <v>PAQ20a22</v>
          </cell>
          <cell r="G4106" t="str">
            <v>B</v>
          </cell>
          <cell r="H4106">
            <v>0</v>
          </cell>
        </row>
        <row r="4107">
          <cell r="A4107" t="str">
            <v>1;F;IC;B;PAQ22a24</v>
          </cell>
          <cell r="B4107">
            <v>730069</v>
          </cell>
          <cell r="C4107" t="str">
            <v>IC</v>
          </cell>
          <cell r="D4107" t="str">
            <v>INTER CANARIAS</v>
          </cell>
          <cell r="E4107" t="str">
            <v>F</v>
          </cell>
          <cell r="F4107" t="str">
            <v>PAQ22a24</v>
          </cell>
          <cell r="G4107" t="str">
            <v>B</v>
          </cell>
          <cell r="H4107">
            <v>0</v>
          </cell>
        </row>
        <row r="4108">
          <cell r="A4108" t="str">
            <v>1;F;IC;B;PAQ24a26</v>
          </cell>
          <cell r="B4108">
            <v>730069</v>
          </cell>
          <cell r="C4108" t="str">
            <v>IC</v>
          </cell>
          <cell r="D4108" t="str">
            <v>INTER CANARIAS</v>
          </cell>
          <cell r="E4108" t="str">
            <v>F</v>
          </cell>
          <cell r="F4108" t="str">
            <v>PAQ24a26</v>
          </cell>
          <cell r="G4108" t="str">
            <v>B</v>
          </cell>
          <cell r="H4108">
            <v>0</v>
          </cell>
        </row>
        <row r="4109">
          <cell r="A4109" t="str">
            <v>1;F;IC;B;PAQ26a28</v>
          </cell>
          <cell r="B4109">
            <v>730069</v>
          </cell>
          <cell r="C4109" t="str">
            <v>IC</v>
          </cell>
          <cell r="D4109" t="str">
            <v>INTER CANARIAS</v>
          </cell>
          <cell r="E4109" t="str">
            <v>F</v>
          </cell>
          <cell r="F4109" t="str">
            <v>PAQ26a28</v>
          </cell>
          <cell r="G4109" t="str">
            <v>B</v>
          </cell>
          <cell r="H4109">
            <v>0</v>
          </cell>
        </row>
        <row r="4110">
          <cell r="A4110" t="str">
            <v>1;F;IC;B;PAQ28a30</v>
          </cell>
          <cell r="B4110">
            <v>730069</v>
          </cell>
          <cell r="C4110" t="str">
            <v>IC</v>
          </cell>
          <cell r="D4110" t="str">
            <v>INTER CANARIAS</v>
          </cell>
          <cell r="E4110" t="str">
            <v>F</v>
          </cell>
          <cell r="F4110" t="str">
            <v>PAQ28a30</v>
          </cell>
          <cell r="G4110" t="str">
            <v>B</v>
          </cell>
          <cell r="H4110">
            <v>0</v>
          </cell>
        </row>
        <row r="4111">
          <cell r="A4111" t="str">
            <v>1;F;IC;B;PAQ30a32</v>
          </cell>
          <cell r="B4111">
            <v>730069</v>
          </cell>
          <cell r="C4111" t="str">
            <v>IC</v>
          </cell>
          <cell r="D4111" t="str">
            <v>INTER CANARIAS</v>
          </cell>
          <cell r="E4111" t="str">
            <v>F</v>
          </cell>
          <cell r="F4111" t="str">
            <v>PAQ30a32</v>
          </cell>
          <cell r="G4111" t="str">
            <v>B</v>
          </cell>
          <cell r="H4111">
            <v>0</v>
          </cell>
        </row>
        <row r="4112">
          <cell r="A4112" t="str">
            <v>1;F;IC;B;PAQ32a34</v>
          </cell>
          <cell r="B4112">
            <v>730069</v>
          </cell>
          <cell r="C4112" t="str">
            <v>IC</v>
          </cell>
          <cell r="D4112" t="str">
            <v>INTER CANARIAS</v>
          </cell>
          <cell r="E4112" t="str">
            <v>F</v>
          </cell>
          <cell r="F4112" t="str">
            <v>PAQ32a34</v>
          </cell>
          <cell r="G4112" t="str">
            <v>B</v>
          </cell>
          <cell r="H4112">
            <v>0</v>
          </cell>
        </row>
        <row r="4113">
          <cell r="A4113" t="str">
            <v>1;F;IC;B;PAQ34a36</v>
          </cell>
          <cell r="B4113">
            <v>730069</v>
          </cell>
          <cell r="C4113" t="str">
            <v>IC</v>
          </cell>
          <cell r="D4113" t="str">
            <v>INTER CANARIAS</v>
          </cell>
          <cell r="E4113" t="str">
            <v>F</v>
          </cell>
          <cell r="F4113" t="str">
            <v>PAQ34a36</v>
          </cell>
          <cell r="G4113" t="str">
            <v>B</v>
          </cell>
          <cell r="H4113">
            <v>0</v>
          </cell>
        </row>
        <row r="4114">
          <cell r="A4114" t="str">
            <v>1;F;IC;B;PAQ36a38</v>
          </cell>
          <cell r="B4114">
            <v>730069</v>
          </cell>
          <cell r="C4114" t="str">
            <v>IC</v>
          </cell>
          <cell r="D4114" t="str">
            <v>INTER CANARIAS</v>
          </cell>
          <cell r="E4114" t="str">
            <v>F</v>
          </cell>
          <cell r="F4114" t="str">
            <v>PAQ36a38</v>
          </cell>
          <cell r="G4114" t="str">
            <v>B</v>
          </cell>
          <cell r="H4114">
            <v>0</v>
          </cell>
        </row>
        <row r="4115">
          <cell r="A4115" t="str">
            <v>1;F;IC;F;</v>
          </cell>
          <cell r="B4115">
            <v>730069</v>
          </cell>
          <cell r="C4115" t="str">
            <v>IC</v>
          </cell>
          <cell r="D4115" t="str">
            <v>INTER CANARIAS</v>
          </cell>
          <cell r="E4115" t="str">
            <v>F</v>
          </cell>
          <cell r="F4115" t="str">
            <v/>
          </cell>
          <cell r="G4115" t="str">
            <v>F</v>
          </cell>
          <cell r="H4115">
            <v>0</v>
          </cell>
        </row>
        <row r="4116">
          <cell r="A4116" t="str">
            <v>1;F;IC;B;PAQ38a40</v>
          </cell>
          <cell r="B4116">
            <v>730069</v>
          </cell>
          <cell r="C4116" t="str">
            <v>IC</v>
          </cell>
          <cell r="D4116" t="str">
            <v>INTER CANARIAS</v>
          </cell>
          <cell r="E4116" t="str">
            <v>F</v>
          </cell>
          <cell r="F4116" t="str">
            <v>PAQ38a40</v>
          </cell>
          <cell r="G4116" t="str">
            <v>B</v>
          </cell>
          <cell r="H4116">
            <v>0</v>
          </cell>
        </row>
        <row r="4117">
          <cell r="A4117" t="str">
            <v>1;F;IC;P;</v>
          </cell>
          <cell r="B4117">
            <v>730069</v>
          </cell>
          <cell r="C4117" t="str">
            <v>IC</v>
          </cell>
          <cell r="D4117" t="str">
            <v>INTER CANARIAS</v>
          </cell>
          <cell r="E4117" t="str">
            <v>F</v>
          </cell>
          <cell r="F4117" t="str">
            <v/>
          </cell>
          <cell r="G4117" t="str">
            <v>P</v>
          </cell>
          <cell r="H4117">
            <v>0</v>
          </cell>
        </row>
        <row r="4118">
          <cell r="A4118" t="str">
            <v>1;F;IC;E;</v>
          </cell>
          <cell r="B4118">
            <v>730069</v>
          </cell>
          <cell r="C4118" t="str">
            <v>IC</v>
          </cell>
          <cell r="D4118" t="str">
            <v>INTER CANARIAS</v>
          </cell>
          <cell r="E4118" t="str">
            <v>F</v>
          </cell>
          <cell r="F4118" t="str">
            <v/>
          </cell>
          <cell r="G4118" t="str">
            <v>E</v>
          </cell>
          <cell r="H4118">
            <v>0</v>
          </cell>
        </row>
        <row r="4119">
          <cell r="A4119" t="str">
            <v>1;G;IC;B;BAG</v>
          </cell>
          <cell r="B4119">
            <v>730069</v>
          </cell>
          <cell r="C4119" t="str">
            <v>IC</v>
          </cell>
          <cell r="D4119" t="str">
            <v>INTER CANARIAS</v>
          </cell>
          <cell r="E4119" t="str">
            <v>G</v>
          </cell>
          <cell r="F4119" t="str">
            <v>BAG</v>
          </cell>
          <cell r="G4119" t="str">
            <v>B</v>
          </cell>
          <cell r="H4119">
            <v>0</v>
          </cell>
        </row>
        <row r="4120">
          <cell r="A4120" t="str">
            <v>1;G;IC;B;PAQ00a02</v>
          </cell>
          <cell r="B4120">
            <v>730069</v>
          </cell>
          <cell r="C4120" t="str">
            <v>IC</v>
          </cell>
          <cell r="D4120" t="str">
            <v>INTER CANARIAS</v>
          </cell>
          <cell r="E4120" t="str">
            <v>G</v>
          </cell>
          <cell r="F4120" t="str">
            <v>PAQ00a02</v>
          </cell>
          <cell r="G4120" t="str">
            <v>B</v>
          </cell>
          <cell r="H4120">
            <v>0</v>
          </cell>
        </row>
        <row r="4121">
          <cell r="A4121" t="str">
            <v>1;G;IC;B;PAQ02a04</v>
          </cell>
          <cell r="B4121">
            <v>730069</v>
          </cell>
          <cell r="C4121" t="str">
            <v>IC</v>
          </cell>
          <cell r="D4121" t="str">
            <v>INTER CANARIAS</v>
          </cell>
          <cell r="E4121" t="str">
            <v>G</v>
          </cell>
          <cell r="F4121" t="str">
            <v>PAQ02a04</v>
          </cell>
          <cell r="G4121" t="str">
            <v>B</v>
          </cell>
          <cell r="H4121">
            <v>0</v>
          </cell>
        </row>
        <row r="4122">
          <cell r="A4122" t="str">
            <v>1;G;IC;B;PAQ04a06</v>
          </cell>
          <cell r="B4122">
            <v>730069</v>
          </cell>
          <cell r="C4122" t="str">
            <v>IC</v>
          </cell>
          <cell r="D4122" t="str">
            <v>INTER CANARIAS</v>
          </cell>
          <cell r="E4122" t="str">
            <v>G</v>
          </cell>
          <cell r="F4122" t="str">
            <v>PAQ04a06</v>
          </cell>
          <cell r="G4122" t="str">
            <v>B</v>
          </cell>
          <cell r="H4122">
            <v>0</v>
          </cell>
        </row>
        <row r="4123">
          <cell r="A4123" t="str">
            <v>1;G;IC;B;PAQ06a08</v>
          </cell>
          <cell r="B4123">
            <v>730069</v>
          </cell>
          <cell r="C4123" t="str">
            <v>IC</v>
          </cell>
          <cell r="D4123" t="str">
            <v>INTER CANARIAS</v>
          </cell>
          <cell r="E4123" t="str">
            <v>G</v>
          </cell>
          <cell r="F4123" t="str">
            <v>PAQ06a08</v>
          </cell>
          <cell r="G4123" t="str">
            <v>B</v>
          </cell>
          <cell r="H4123">
            <v>0</v>
          </cell>
        </row>
        <row r="4124">
          <cell r="A4124" t="str">
            <v>1;G;IC;B;PAQ08a10</v>
          </cell>
          <cell r="B4124">
            <v>730069</v>
          </cell>
          <cell r="C4124" t="str">
            <v>IC</v>
          </cell>
          <cell r="D4124" t="str">
            <v>INTER CANARIAS</v>
          </cell>
          <cell r="E4124" t="str">
            <v>G</v>
          </cell>
          <cell r="F4124" t="str">
            <v>PAQ08a10</v>
          </cell>
          <cell r="G4124" t="str">
            <v>B</v>
          </cell>
          <cell r="H4124">
            <v>0</v>
          </cell>
        </row>
        <row r="4125">
          <cell r="A4125" t="str">
            <v>1;G;IC;B;PAQ10a12</v>
          </cell>
          <cell r="B4125">
            <v>730069</v>
          </cell>
          <cell r="C4125" t="str">
            <v>IC</v>
          </cell>
          <cell r="D4125" t="str">
            <v>INTER CANARIAS</v>
          </cell>
          <cell r="E4125" t="str">
            <v>G</v>
          </cell>
          <cell r="F4125" t="str">
            <v>PAQ10a12</v>
          </cell>
          <cell r="G4125" t="str">
            <v>B</v>
          </cell>
          <cell r="H4125">
            <v>0</v>
          </cell>
        </row>
        <row r="4126">
          <cell r="A4126" t="str">
            <v>1;G;IC;B;PAQ12a14</v>
          </cell>
          <cell r="B4126">
            <v>730069</v>
          </cell>
          <cell r="C4126" t="str">
            <v>IC</v>
          </cell>
          <cell r="D4126" t="str">
            <v>INTER CANARIAS</v>
          </cell>
          <cell r="E4126" t="str">
            <v>G</v>
          </cell>
          <cell r="F4126" t="str">
            <v>PAQ12a14</v>
          </cell>
          <cell r="G4126" t="str">
            <v>B</v>
          </cell>
          <cell r="H4126">
            <v>0</v>
          </cell>
        </row>
        <row r="4127">
          <cell r="A4127" t="str">
            <v>1;G;IC;B;PAQ14a16</v>
          </cell>
          <cell r="B4127">
            <v>730069</v>
          </cell>
          <cell r="C4127" t="str">
            <v>IC</v>
          </cell>
          <cell r="D4127" t="str">
            <v>INTER CANARIAS</v>
          </cell>
          <cell r="E4127" t="str">
            <v>G</v>
          </cell>
          <cell r="F4127" t="str">
            <v>PAQ14a16</v>
          </cell>
          <cell r="G4127" t="str">
            <v>B</v>
          </cell>
          <cell r="H4127">
            <v>0</v>
          </cell>
        </row>
        <row r="4128">
          <cell r="A4128" t="str">
            <v>1;G;IC;B;PAQ16a18</v>
          </cell>
          <cell r="B4128">
            <v>730069</v>
          </cell>
          <cell r="C4128" t="str">
            <v>IC</v>
          </cell>
          <cell r="D4128" t="str">
            <v>INTER CANARIAS</v>
          </cell>
          <cell r="E4128" t="str">
            <v>G</v>
          </cell>
          <cell r="F4128" t="str">
            <v>PAQ16a18</v>
          </cell>
          <cell r="G4128" t="str">
            <v>B</v>
          </cell>
          <cell r="H4128">
            <v>0</v>
          </cell>
        </row>
        <row r="4129">
          <cell r="A4129" t="str">
            <v>1;G;IC;B;PAQ18a20</v>
          </cell>
          <cell r="B4129">
            <v>730069</v>
          </cell>
          <cell r="C4129" t="str">
            <v>IC</v>
          </cell>
          <cell r="D4129" t="str">
            <v>INTER CANARIAS</v>
          </cell>
          <cell r="E4129" t="str">
            <v>G</v>
          </cell>
          <cell r="F4129" t="str">
            <v>PAQ18a20</v>
          </cell>
          <cell r="G4129" t="str">
            <v>B</v>
          </cell>
          <cell r="H4129">
            <v>0</v>
          </cell>
        </row>
        <row r="4130">
          <cell r="A4130" t="str">
            <v>1;G;IC;B;PAQ20a22</v>
          </cell>
          <cell r="B4130">
            <v>730069</v>
          </cell>
          <cell r="C4130" t="str">
            <v>IC</v>
          </cell>
          <cell r="D4130" t="str">
            <v>INTER CANARIAS</v>
          </cell>
          <cell r="E4130" t="str">
            <v>G</v>
          </cell>
          <cell r="F4130" t="str">
            <v>PAQ20a22</v>
          </cell>
          <cell r="G4130" t="str">
            <v>B</v>
          </cell>
          <cell r="H4130">
            <v>0</v>
          </cell>
        </row>
        <row r="4131">
          <cell r="A4131" t="str">
            <v>1;G;IC;B;PAQ22a24</v>
          </cell>
          <cell r="B4131">
            <v>730069</v>
          </cell>
          <cell r="C4131" t="str">
            <v>IC</v>
          </cell>
          <cell r="D4131" t="str">
            <v>INTER CANARIAS</v>
          </cell>
          <cell r="E4131" t="str">
            <v>G</v>
          </cell>
          <cell r="F4131" t="str">
            <v>PAQ22a24</v>
          </cell>
          <cell r="G4131" t="str">
            <v>B</v>
          </cell>
          <cell r="H4131">
            <v>0</v>
          </cell>
        </row>
        <row r="4132">
          <cell r="A4132" t="str">
            <v>1;G;IC;B;PAQ24a26</v>
          </cell>
          <cell r="B4132">
            <v>730069</v>
          </cell>
          <cell r="C4132" t="str">
            <v>IC</v>
          </cell>
          <cell r="D4132" t="str">
            <v>INTER CANARIAS</v>
          </cell>
          <cell r="E4132" t="str">
            <v>G</v>
          </cell>
          <cell r="F4132" t="str">
            <v>PAQ24a26</v>
          </cell>
          <cell r="G4132" t="str">
            <v>B</v>
          </cell>
          <cell r="H4132">
            <v>0</v>
          </cell>
        </row>
        <row r="4133">
          <cell r="A4133" t="str">
            <v>1;G;IC;B;PAQ26a28</v>
          </cell>
          <cell r="B4133">
            <v>730069</v>
          </cell>
          <cell r="C4133" t="str">
            <v>IC</v>
          </cell>
          <cell r="D4133" t="str">
            <v>INTER CANARIAS</v>
          </cell>
          <cell r="E4133" t="str">
            <v>G</v>
          </cell>
          <cell r="F4133" t="str">
            <v>PAQ26a28</v>
          </cell>
          <cell r="G4133" t="str">
            <v>B</v>
          </cell>
          <cell r="H4133">
            <v>0</v>
          </cell>
        </row>
        <row r="4134">
          <cell r="A4134" t="str">
            <v>1;G;IC;B;PAQ28a30</v>
          </cell>
          <cell r="B4134">
            <v>730069</v>
          </cell>
          <cell r="C4134" t="str">
            <v>IC</v>
          </cell>
          <cell r="D4134" t="str">
            <v>INTER CANARIAS</v>
          </cell>
          <cell r="E4134" t="str">
            <v>G</v>
          </cell>
          <cell r="F4134" t="str">
            <v>PAQ28a30</v>
          </cell>
          <cell r="G4134" t="str">
            <v>B</v>
          </cell>
          <cell r="H4134">
            <v>0</v>
          </cell>
        </row>
        <row r="4135">
          <cell r="A4135" t="str">
            <v>1;G;IC;B;PAQ30a32</v>
          </cell>
          <cell r="B4135">
            <v>730069</v>
          </cell>
          <cell r="C4135" t="str">
            <v>IC</v>
          </cell>
          <cell r="D4135" t="str">
            <v>INTER CANARIAS</v>
          </cell>
          <cell r="E4135" t="str">
            <v>G</v>
          </cell>
          <cell r="F4135" t="str">
            <v>PAQ30a32</v>
          </cell>
          <cell r="G4135" t="str">
            <v>B</v>
          </cell>
          <cell r="H4135">
            <v>0</v>
          </cell>
        </row>
        <row r="4136">
          <cell r="A4136" t="str">
            <v>1;G;IC;B;PAQ32a34</v>
          </cell>
          <cell r="B4136">
            <v>730069</v>
          </cell>
          <cell r="C4136" t="str">
            <v>IC</v>
          </cell>
          <cell r="D4136" t="str">
            <v>INTER CANARIAS</v>
          </cell>
          <cell r="E4136" t="str">
            <v>G</v>
          </cell>
          <cell r="F4136" t="str">
            <v>PAQ32a34</v>
          </cell>
          <cell r="G4136" t="str">
            <v>B</v>
          </cell>
          <cell r="H4136">
            <v>0</v>
          </cell>
        </row>
        <row r="4137">
          <cell r="A4137" t="str">
            <v>1;G;IC;B;PAQ34a36</v>
          </cell>
          <cell r="B4137">
            <v>730069</v>
          </cell>
          <cell r="C4137" t="str">
            <v>IC</v>
          </cell>
          <cell r="D4137" t="str">
            <v>INTER CANARIAS</v>
          </cell>
          <cell r="E4137" t="str">
            <v>G</v>
          </cell>
          <cell r="F4137" t="str">
            <v>PAQ34a36</v>
          </cell>
          <cell r="G4137" t="str">
            <v>B</v>
          </cell>
          <cell r="H4137">
            <v>0</v>
          </cell>
        </row>
        <row r="4138">
          <cell r="A4138" t="str">
            <v>1;G;IC;B;PAQ36a38</v>
          </cell>
          <cell r="B4138">
            <v>730069</v>
          </cell>
          <cell r="C4138" t="str">
            <v>IC</v>
          </cell>
          <cell r="D4138" t="str">
            <v>INTER CANARIAS</v>
          </cell>
          <cell r="E4138" t="str">
            <v>G</v>
          </cell>
          <cell r="F4138" t="str">
            <v>PAQ36a38</v>
          </cell>
          <cell r="G4138" t="str">
            <v>B</v>
          </cell>
          <cell r="H4138">
            <v>0</v>
          </cell>
        </row>
        <row r="4139">
          <cell r="A4139" t="str">
            <v>1;G;IC;F;</v>
          </cell>
          <cell r="B4139">
            <v>730069</v>
          </cell>
          <cell r="C4139" t="str">
            <v>IC</v>
          </cell>
          <cell r="D4139" t="str">
            <v>INTER CANARIAS</v>
          </cell>
          <cell r="E4139" t="str">
            <v>G</v>
          </cell>
          <cell r="F4139" t="str">
            <v/>
          </cell>
          <cell r="G4139" t="str">
            <v>F</v>
          </cell>
          <cell r="H4139">
            <v>0</v>
          </cell>
        </row>
        <row r="4140">
          <cell r="A4140" t="str">
            <v>1;G;IC;B;PAQ38a40</v>
          </cell>
          <cell r="B4140">
            <v>730069</v>
          </cell>
          <cell r="C4140" t="str">
            <v>IC</v>
          </cell>
          <cell r="D4140" t="str">
            <v>INTER CANARIAS</v>
          </cell>
          <cell r="E4140" t="str">
            <v>G</v>
          </cell>
          <cell r="F4140" t="str">
            <v>PAQ38a40</v>
          </cell>
          <cell r="G4140" t="str">
            <v>B</v>
          </cell>
          <cell r="H4140">
            <v>0</v>
          </cell>
        </row>
        <row r="4141">
          <cell r="A4141" t="str">
            <v>1;G;IC;E;</v>
          </cell>
          <cell r="B4141">
            <v>730069</v>
          </cell>
          <cell r="C4141" t="str">
            <v>IC</v>
          </cell>
          <cell r="D4141" t="str">
            <v>INTER CANARIAS</v>
          </cell>
          <cell r="E4141" t="str">
            <v>G</v>
          </cell>
          <cell r="F4141" t="str">
            <v/>
          </cell>
          <cell r="G4141" t="str">
            <v>E</v>
          </cell>
          <cell r="H4141">
            <v>0</v>
          </cell>
        </row>
        <row r="4142">
          <cell r="A4142" t="str">
            <v>1;G;IC;P;</v>
          </cell>
          <cell r="B4142">
            <v>730069</v>
          </cell>
          <cell r="C4142" t="str">
            <v>IC</v>
          </cell>
          <cell r="D4142" t="str">
            <v>INTER CANARIAS</v>
          </cell>
          <cell r="E4142" t="str">
            <v>G</v>
          </cell>
          <cell r="F4142" t="str">
            <v/>
          </cell>
          <cell r="G4142" t="str">
            <v>P</v>
          </cell>
          <cell r="H4142">
            <v>0</v>
          </cell>
        </row>
        <row r="4143">
          <cell r="A4143" t="str">
            <v>1;01;IC;B;BAG</v>
          </cell>
          <cell r="B4143">
            <v>730069</v>
          </cell>
          <cell r="C4143" t="str">
            <v>IC</v>
          </cell>
          <cell r="D4143" t="str">
            <v>INTER CANARIAS</v>
          </cell>
          <cell r="E4143" t="str">
            <v>01</v>
          </cell>
          <cell r="F4143" t="str">
            <v>BAG</v>
          </cell>
          <cell r="G4143" t="str">
            <v>B</v>
          </cell>
          <cell r="H4143">
            <v>16.7</v>
          </cell>
        </row>
        <row r="4144">
          <cell r="A4144" t="str">
            <v>1;01;IC;B;DOCS</v>
          </cell>
          <cell r="B4144">
            <v>730069</v>
          </cell>
          <cell r="C4144" t="str">
            <v>IC</v>
          </cell>
          <cell r="D4144" t="str">
            <v>INTER CANARIAS</v>
          </cell>
          <cell r="E4144" t="str">
            <v>01</v>
          </cell>
          <cell r="F4144" t="str">
            <v>DOCS</v>
          </cell>
          <cell r="G4144" t="str">
            <v>B</v>
          </cell>
          <cell r="H4144">
            <v>11.66</v>
          </cell>
        </row>
        <row r="4145">
          <cell r="A4145" t="str">
            <v>1;01;IC;B;PAQ00a02</v>
          </cell>
          <cell r="B4145">
            <v>730069</v>
          </cell>
          <cell r="C4145" t="str">
            <v>IC</v>
          </cell>
          <cell r="D4145" t="str">
            <v>INTER CANARIAS</v>
          </cell>
          <cell r="E4145" t="str">
            <v>01</v>
          </cell>
          <cell r="F4145" t="str">
            <v>PAQ00a02</v>
          </cell>
          <cell r="G4145" t="str">
            <v>B</v>
          </cell>
          <cell r="H4145">
            <v>17.86</v>
          </cell>
        </row>
        <row r="4146">
          <cell r="A4146" t="str">
            <v>1;01;IC;B;PAQ02a04</v>
          </cell>
          <cell r="B4146">
            <v>730069</v>
          </cell>
          <cell r="C4146" t="str">
            <v>IC</v>
          </cell>
          <cell r="D4146" t="str">
            <v>INTER CANARIAS</v>
          </cell>
          <cell r="E4146" t="str">
            <v>01</v>
          </cell>
          <cell r="F4146" t="str">
            <v>PAQ02a04</v>
          </cell>
          <cell r="G4146" t="str">
            <v>B</v>
          </cell>
          <cell r="H4146">
            <v>31.16</v>
          </cell>
        </row>
        <row r="4147">
          <cell r="A4147" t="str">
            <v>1;01;IC;B;PAQ04a06</v>
          </cell>
          <cell r="B4147">
            <v>730069</v>
          </cell>
          <cell r="C4147" t="str">
            <v>IC</v>
          </cell>
          <cell r="D4147" t="str">
            <v>INTER CANARIAS</v>
          </cell>
          <cell r="E4147" t="str">
            <v>01</v>
          </cell>
          <cell r="F4147" t="str">
            <v>PAQ04a06</v>
          </cell>
          <cell r="G4147" t="str">
            <v>B</v>
          </cell>
          <cell r="H4147">
            <v>45.8</v>
          </cell>
        </row>
        <row r="4148">
          <cell r="A4148" t="str">
            <v>1;01;IC;B;PAQ06a08</v>
          </cell>
          <cell r="B4148">
            <v>730069</v>
          </cell>
          <cell r="C4148" t="str">
            <v>IC</v>
          </cell>
          <cell r="D4148" t="str">
            <v>INTER CANARIAS</v>
          </cell>
          <cell r="E4148" t="str">
            <v>01</v>
          </cell>
          <cell r="F4148" t="str">
            <v>PAQ06a08</v>
          </cell>
          <cell r="G4148" t="str">
            <v>B</v>
          </cell>
          <cell r="H4148">
            <v>60.43</v>
          </cell>
        </row>
        <row r="4149">
          <cell r="A4149" t="str">
            <v>1;01;IC;B;PAQ08a10</v>
          </cell>
          <cell r="B4149">
            <v>730069</v>
          </cell>
          <cell r="C4149" t="str">
            <v>IC</v>
          </cell>
          <cell r="D4149" t="str">
            <v>INTER CANARIAS</v>
          </cell>
          <cell r="E4149" t="str">
            <v>01</v>
          </cell>
          <cell r="F4149" t="str">
            <v>PAQ08a10</v>
          </cell>
          <cell r="G4149" t="str">
            <v>B</v>
          </cell>
          <cell r="H4149">
            <v>75.05</v>
          </cell>
        </row>
        <row r="4150">
          <cell r="A4150" t="str">
            <v>1;01;IC;B;PAQ10a12</v>
          </cell>
          <cell r="B4150">
            <v>730069</v>
          </cell>
          <cell r="C4150" t="str">
            <v>IC</v>
          </cell>
          <cell r="D4150" t="str">
            <v>INTER CANARIAS</v>
          </cell>
          <cell r="E4150" t="str">
            <v>01</v>
          </cell>
          <cell r="F4150" t="str">
            <v>PAQ10a12</v>
          </cell>
          <cell r="G4150" t="str">
            <v>B</v>
          </cell>
          <cell r="H4150">
            <v>89.69</v>
          </cell>
        </row>
        <row r="4151">
          <cell r="A4151" t="str">
            <v>1;01;IC;B;PAQ12a14</v>
          </cell>
          <cell r="B4151">
            <v>730069</v>
          </cell>
          <cell r="C4151" t="str">
            <v>IC</v>
          </cell>
          <cell r="D4151" t="str">
            <v>INTER CANARIAS</v>
          </cell>
          <cell r="E4151" t="str">
            <v>01</v>
          </cell>
          <cell r="F4151" t="str">
            <v>PAQ12a14</v>
          </cell>
          <cell r="G4151" t="str">
            <v>B</v>
          </cell>
          <cell r="H4151">
            <v>104.32</v>
          </cell>
        </row>
        <row r="4152">
          <cell r="A4152" t="str">
            <v>1;01;IC;B;PAQ14a16</v>
          </cell>
          <cell r="B4152">
            <v>730069</v>
          </cell>
          <cell r="C4152" t="str">
            <v>IC</v>
          </cell>
          <cell r="D4152" t="str">
            <v>INTER CANARIAS</v>
          </cell>
          <cell r="E4152" t="str">
            <v>01</v>
          </cell>
          <cell r="F4152" t="str">
            <v>PAQ14a16</v>
          </cell>
          <cell r="G4152" t="str">
            <v>B</v>
          </cell>
          <cell r="H4152">
            <v>118.94</v>
          </cell>
        </row>
        <row r="4153">
          <cell r="A4153" t="str">
            <v>1;01;IC;B;PAQ16a18</v>
          </cell>
          <cell r="B4153">
            <v>730069</v>
          </cell>
          <cell r="C4153" t="str">
            <v>IC</v>
          </cell>
          <cell r="D4153" t="str">
            <v>INTER CANARIAS</v>
          </cell>
          <cell r="E4153" t="str">
            <v>01</v>
          </cell>
          <cell r="F4153" t="str">
            <v>PAQ16a18</v>
          </cell>
          <cell r="G4153" t="str">
            <v>B</v>
          </cell>
          <cell r="H4153">
            <v>133.58000000000001</v>
          </cell>
        </row>
        <row r="4154">
          <cell r="A4154" t="str">
            <v>1;01;IC;B;PAQ18a20</v>
          </cell>
          <cell r="B4154">
            <v>730069</v>
          </cell>
          <cell r="C4154" t="str">
            <v>IC</v>
          </cell>
          <cell r="D4154" t="str">
            <v>INTER CANARIAS</v>
          </cell>
          <cell r="E4154" t="str">
            <v>01</v>
          </cell>
          <cell r="F4154" t="str">
            <v>PAQ18a20</v>
          </cell>
          <cell r="G4154" t="str">
            <v>B</v>
          </cell>
          <cell r="H4154">
            <v>148.21</v>
          </cell>
        </row>
        <row r="4155">
          <cell r="A4155" t="str">
            <v>1;01;IC;B;PAQ20a22</v>
          </cell>
          <cell r="B4155">
            <v>730069</v>
          </cell>
          <cell r="C4155" t="str">
            <v>IC</v>
          </cell>
          <cell r="D4155" t="str">
            <v>INTER CANARIAS</v>
          </cell>
          <cell r="E4155" t="str">
            <v>01</v>
          </cell>
          <cell r="F4155" t="str">
            <v>PAQ20a22</v>
          </cell>
          <cell r="G4155" t="str">
            <v>B</v>
          </cell>
          <cell r="H4155">
            <v>162.84</v>
          </cell>
        </row>
        <row r="4156">
          <cell r="A4156" t="str">
            <v>1;01;IC;B;PAQ22a24</v>
          </cell>
          <cell r="B4156">
            <v>730069</v>
          </cell>
          <cell r="C4156" t="str">
            <v>IC</v>
          </cell>
          <cell r="D4156" t="str">
            <v>INTER CANARIAS</v>
          </cell>
          <cell r="E4156" t="str">
            <v>01</v>
          </cell>
          <cell r="F4156" t="str">
            <v>PAQ22a24</v>
          </cell>
          <cell r="G4156" t="str">
            <v>B</v>
          </cell>
          <cell r="H4156">
            <v>177.47</v>
          </cell>
        </row>
        <row r="4157">
          <cell r="A4157" t="str">
            <v>1;01;IC;B;PAQ24a26</v>
          </cell>
          <cell r="B4157">
            <v>730069</v>
          </cell>
          <cell r="C4157" t="str">
            <v>IC</v>
          </cell>
          <cell r="D4157" t="str">
            <v>INTER CANARIAS</v>
          </cell>
          <cell r="E4157" t="str">
            <v>01</v>
          </cell>
          <cell r="F4157" t="str">
            <v>PAQ24a26</v>
          </cell>
          <cell r="G4157" t="str">
            <v>B</v>
          </cell>
          <cell r="H4157">
            <v>192.1</v>
          </cell>
        </row>
        <row r="4158">
          <cell r="A4158" t="str">
            <v>1;01;IC;B;PAQ26a28</v>
          </cell>
          <cell r="B4158">
            <v>730069</v>
          </cell>
          <cell r="C4158" t="str">
            <v>IC</v>
          </cell>
          <cell r="D4158" t="str">
            <v>INTER CANARIAS</v>
          </cell>
          <cell r="E4158" t="str">
            <v>01</v>
          </cell>
          <cell r="F4158" t="str">
            <v>PAQ26a28</v>
          </cell>
          <cell r="G4158" t="str">
            <v>B</v>
          </cell>
          <cell r="H4158">
            <v>206.73</v>
          </cell>
        </row>
        <row r="4159">
          <cell r="A4159" t="str">
            <v>1;01;IC;B;PAQ28a30</v>
          </cell>
          <cell r="B4159">
            <v>730069</v>
          </cell>
          <cell r="C4159" t="str">
            <v>IC</v>
          </cell>
          <cell r="D4159" t="str">
            <v>INTER CANARIAS</v>
          </cell>
          <cell r="E4159" t="str">
            <v>01</v>
          </cell>
          <cell r="F4159" t="str">
            <v>PAQ28a30</v>
          </cell>
          <cell r="G4159" t="str">
            <v>B</v>
          </cell>
          <cell r="H4159">
            <v>221.36</v>
          </cell>
        </row>
        <row r="4160">
          <cell r="A4160" t="str">
            <v>1;01;IC;B;PAQ30a32</v>
          </cell>
          <cell r="B4160">
            <v>730069</v>
          </cell>
          <cell r="C4160" t="str">
            <v>IC</v>
          </cell>
          <cell r="D4160" t="str">
            <v>INTER CANARIAS</v>
          </cell>
          <cell r="E4160" t="str">
            <v>01</v>
          </cell>
          <cell r="F4160" t="str">
            <v>PAQ30a32</v>
          </cell>
          <cell r="G4160" t="str">
            <v>B</v>
          </cell>
          <cell r="H4160">
            <v>235.99</v>
          </cell>
        </row>
        <row r="4161">
          <cell r="A4161" t="str">
            <v>1;01;IC;B;PAQ32a34</v>
          </cell>
          <cell r="B4161">
            <v>730069</v>
          </cell>
          <cell r="C4161" t="str">
            <v>IC</v>
          </cell>
          <cell r="D4161" t="str">
            <v>INTER CANARIAS</v>
          </cell>
          <cell r="E4161" t="str">
            <v>01</v>
          </cell>
          <cell r="F4161" t="str">
            <v>PAQ32a34</v>
          </cell>
          <cell r="G4161" t="str">
            <v>B</v>
          </cell>
          <cell r="H4161">
            <v>250.62</v>
          </cell>
        </row>
        <row r="4162">
          <cell r="A4162" t="str">
            <v>1;01;IC;B;PAQ34a36</v>
          </cell>
          <cell r="B4162">
            <v>730069</v>
          </cell>
          <cell r="C4162" t="str">
            <v>IC</v>
          </cell>
          <cell r="D4162" t="str">
            <v>INTER CANARIAS</v>
          </cell>
          <cell r="E4162" t="str">
            <v>01</v>
          </cell>
          <cell r="F4162" t="str">
            <v>PAQ34a36</v>
          </cell>
          <cell r="G4162" t="str">
            <v>B</v>
          </cell>
          <cell r="H4162">
            <v>265.25</v>
          </cell>
        </row>
        <row r="4163">
          <cell r="A4163" t="str">
            <v>1;01;IC;B;PAQ36a38</v>
          </cell>
          <cell r="B4163">
            <v>730069</v>
          </cell>
          <cell r="C4163" t="str">
            <v>IC</v>
          </cell>
          <cell r="D4163" t="str">
            <v>INTER CANARIAS</v>
          </cell>
          <cell r="E4163" t="str">
            <v>01</v>
          </cell>
          <cell r="F4163" t="str">
            <v>PAQ36a38</v>
          </cell>
          <cell r="G4163" t="str">
            <v>B</v>
          </cell>
          <cell r="H4163">
            <v>279.88</v>
          </cell>
        </row>
        <row r="4164">
          <cell r="A4164" t="str">
            <v>1;01;IC;F;</v>
          </cell>
          <cell r="B4164">
            <v>730069</v>
          </cell>
          <cell r="C4164" t="str">
            <v>IC</v>
          </cell>
          <cell r="D4164" t="str">
            <v>INTER CANARIAS</v>
          </cell>
          <cell r="E4164" t="str">
            <v>01</v>
          </cell>
          <cell r="F4164" t="str">
            <v/>
          </cell>
          <cell r="G4164" t="str">
            <v>F</v>
          </cell>
          <cell r="H4164">
            <v>14.63</v>
          </cell>
        </row>
        <row r="4165">
          <cell r="A4165" t="str">
            <v>1;01;IC;B;PAQ38a40</v>
          </cell>
          <cell r="B4165">
            <v>730069</v>
          </cell>
          <cell r="C4165" t="str">
            <v>IC</v>
          </cell>
          <cell r="D4165" t="str">
            <v>INTER CANARIAS</v>
          </cell>
          <cell r="E4165" t="str">
            <v>01</v>
          </cell>
          <cell r="F4165" t="str">
            <v>PAQ38a40</v>
          </cell>
          <cell r="G4165" t="str">
            <v>B</v>
          </cell>
          <cell r="H4165">
            <v>294.51</v>
          </cell>
        </row>
        <row r="4166">
          <cell r="A4166" t="str">
            <v>1;01;IC;P;</v>
          </cell>
          <cell r="B4166">
            <v>730069</v>
          </cell>
          <cell r="C4166" t="str">
            <v>IC</v>
          </cell>
          <cell r="D4166" t="str">
            <v>INTER CANARIAS</v>
          </cell>
          <cell r="E4166" t="str">
            <v>01</v>
          </cell>
          <cell r="F4166" t="str">
            <v/>
          </cell>
          <cell r="G4166" t="str">
            <v>P</v>
          </cell>
          <cell r="H4166">
            <v>0</v>
          </cell>
        </row>
        <row r="4167">
          <cell r="A4167" t="str">
            <v>1;01;IC;E;</v>
          </cell>
          <cell r="B4167">
            <v>730069</v>
          </cell>
          <cell r="C4167" t="str">
            <v>IC</v>
          </cell>
          <cell r="D4167" t="str">
            <v>INTER CANARIAS</v>
          </cell>
          <cell r="E4167" t="str">
            <v>01</v>
          </cell>
          <cell r="F4167" t="str">
            <v/>
          </cell>
          <cell r="G4167" t="str">
            <v>E</v>
          </cell>
          <cell r="H4167">
            <v>0</v>
          </cell>
        </row>
        <row r="4168">
          <cell r="A4168" t="str">
            <v>1;02;IC;B;BAG</v>
          </cell>
          <cell r="B4168">
            <v>730069</v>
          </cell>
          <cell r="C4168" t="str">
            <v>IC</v>
          </cell>
          <cell r="D4168" t="str">
            <v>INTER CANARIAS</v>
          </cell>
          <cell r="E4168" t="str">
            <v>02</v>
          </cell>
          <cell r="F4168" t="str">
            <v>BAG</v>
          </cell>
          <cell r="G4168" t="str">
            <v>B</v>
          </cell>
          <cell r="H4168">
            <v>13.55</v>
          </cell>
        </row>
        <row r="4169">
          <cell r="A4169" t="str">
            <v>1;02;IC;B;DOCS</v>
          </cell>
          <cell r="B4169">
            <v>730069</v>
          </cell>
          <cell r="C4169" t="str">
            <v>IC</v>
          </cell>
          <cell r="D4169" t="str">
            <v>INTER CANARIAS</v>
          </cell>
          <cell r="E4169" t="str">
            <v>02</v>
          </cell>
          <cell r="F4169" t="str">
            <v>DOCS</v>
          </cell>
          <cell r="G4169" t="str">
            <v>B</v>
          </cell>
          <cell r="H4169">
            <v>9.1</v>
          </cell>
        </row>
        <row r="4170">
          <cell r="A4170" t="str">
            <v>1;02;IC;B;PAQ00a02</v>
          </cell>
          <cell r="B4170">
            <v>730069</v>
          </cell>
          <cell r="C4170" t="str">
            <v>IC</v>
          </cell>
          <cell r="D4170" t="str">
            <v>INTER CANARIAS</v>
          </cell>
          <cell r="E4170" t="str">
            <v>02</v>
          </cell>
          <cell r="F4170" t="str">
            <v>PAQ00a02</v>
          </cell>
          <cell r="G4170" t="str">
            <v>B</v>
          </cell>
          <cell r="H4170">
            <v>15.33</v>
          </cell>
        </row>
        <row r="4171">
          <cell r="A4171" t="str">
            <v>1;02;IC;B;PAQ02a04</v>
          </cell>
          <cell r="B4171">
            <v>730069</v>
          </cell>
          <cell r="C4171" t="str">
            <v>IC</v>
          </cell>
          <cell r="D4171" t="str">
            <v>INTER CANARIAS</v>
          </cell>
          <cell r="E4171" t="str">
            <v>02</v>
          </cell>
          <cell r="F4171" t="str">
            <v>PAQ02a04</v>
          </cell>
          <cell r="G4171" t="str">
            <v>B</v>
          </cell>
          <cell r="H4171">
            <v>25.38</v>
          </cell>
        </row>
        <row r="4172">
          <cell r="A4172" t="str">
            <v>1;02;IC;B;PAQ04a06</v>
          </cell>
          <cell r="B4172">
            <v>730069</v>
          </cell>
          <cell r="C4172" t="str">
            <v>IC</v>
          </cell>
          <cell r="D4172" t="str">
            <v>INTER CANARIAS</v>
          </cell>
          <cell r="E4172" t="str">
            <v>02</v>
          </cell>
          <cell r="F4172" t="str">
            <v>PAQ04a06</v>
          </cell>
          <cell r="G4172" t="str">
            <v>B</v>
          </cell>
          <cell r="H4172">
            <v>32.78</v>
          </cell>
        </row>
        <row r="4173">
          <cell r="A4173" t="str">
            <v>1;02;IC;B;PAQ06a08</v>
          </cell>
          <cell r="B4173">
            <v>730069</v>
          </cell>
          <cell r="C4173" t="str">
            <v>IC</v>
          </cell>
          <cell r="D4173" t="str">
            <v>INTER CANARIAS</v>
          </cell>
          <cell r="E4173" t="str">
            <v>02</v>
          </cell>
          <cell r="F4173" t="str">
            <v>PAQ06a08</v>
          </cell>
          <cell r="G4173" t="str">
            <v>B</v>
          </cell>
          <cell r="H4173">
            <v>40.17</v>
          </cell>
        </row>
        <row r="4174">
          <cell r="A4174" t="str">
            <v>1;02;IC;B;PAQ08a10</v>
          </cell>
          <cell r="B4174">
            <v>730069</v>
          </cell>
          <cell r="C4174" t="str">
            <v>IC</v>
          </cell>
          <cell r="D4174" t="str">
            <v>INTER CANARIAS</v>
          </cell>
          <cell r="E4174" t="str">
            <v>02</v>
          </cell>
          <cell r="F4174" t="str">
            <v>PAQ08a10</v>
          </cell>
          <cell r="G4174" t="str">
            <v>B</v>
          </cell>
          <cell r="H4174">
            <v>47.58</v>
          </cell>
        </row>
        <row r="4175">
          <cell r="A4175" t="str">
            <v>1;02;IC;B;PAQ10a12</v>
          </cell>
          <cell r="B4175">
            <v>730069</v>
          </cell>
          <cell r="C4175" t="str">
            <v>IC</v>
          </cell>
          <cell r="D4175" t="str">
            <v>INTER CANARIAS</v>
          </cell>
          <cell r="E4175" t="str">
            <v>02</v>
          </cell>
          <cell r="F4175" t="str">
            <v>PAQ10a12</v>
          </cell>
          <cell r="G4175" t="str">
            <v>B</v>
          </cell>
          <cell r="H4175">
            <v>54.97</v>
          </cell>
        </row>
        <row r="4176">
          <cell r="A4176" t="str">
            <v>1;02;IC;B;PAQ12a14</v>
          </cell>
          <cell r="B4176">
            <v>730069</v>
          </cell>
          <cell r="C4176" t="str">
            <v>IC</v>
          </cell>
          <cell r="D4176" t="str">
            <v>INTER CANARIAS</v>
          </cell>
          <cell r="E4176" t="str">
            <v>02</v>
          </cell>
          <cell r="F4176" t="str">
            <v>PAQ12a14</v>
          </cell>
          <cell r="G4176" t="str">
            <v>B</v>
          </cell>
          <cell r="H4176">
            <v>62.37</v>
          </cell>
        </row>
        <row r="4177">
          <cell r="A4177" t="str">
            <v>1;02;IC;B;PAQ14a16</v>
          </cell>
          <cell r="B4177">
            <v>730069</v>
          </cell>
          <cell r="C4177" t="str">
            <v>IC</v>
          </cell>
          <cell r="D4177" t="str">
            <v>INTER CANARIAS</v>
          </cell>
          <cell r="E4177" t="str">
            <v>02</v>
          </cell>
          <cell r="F4177" t="str">
            <v>PAQ14a16</v>
          </cell>
          <cell r="G4177" t="str">
            <v>B</v>
          </cell>
          <cell r="H4177">
            <v>69.760000000000005</v>
          </cell>
        </row>
        <row r="4178">
          <cell r="A4178" t="str">
            <v>1;02;IC;B;PAQ16a18</v>
          </cell>
          <cell r="B4178">
            <v>730069</v>
          </cell>
          <cell r="C4178" t="str">
            <v>IC</v>
          </cell>
          <cell r="D4178" t="str">
            <v>INTER CANARIAS</v>
          </cell>
          <cell r="E4178" t="str">
            <v>02</v>
          </cell>
          <cell r="F4178" t="str">
            <v>PAQ16a18</v>
          </cell>
          <cell r="G4178" t="str">
            <v>B</v>
          </cell>
          <cell r="H4178">
            <v>77.16</v>
          </cell>
        </row>
        <row r="4179">
          <cell r="A4179" t="str">
            <v>1;02;IC;B;PAQ18a20</v>
          </cell>
          <cell r="B4179">
            <v>730069</v>
          </cell>
          <cell r="C4179" t="str">
            <v>IC</v>
          </cell>
          <cell r="D4179" t="str">
            <v>INTER CANARIAS</v>
          </cell>
          <cell r="E4179" t="str">
            <v>02</v>
          </cell>
          <cell r="F4179" t="str">
            <v>PAQ18a20</v>
          </cell>
          <cell r="G4179" t="str">
            <v>B</v>
          </cell>
          <cell r="H4179">
            <v>84.57</v>
          </cell>
        </row>
        <row r="4180">
          <cell r="A4180" t="str">
            <v>1;02;IC;B;PAQ20a22</v>
          </cell>
          <cell r="B4180">
            <v>730069</v>
          </cell>
          <cell r="C4180" t="str">
            <v>IC</v>
          </cell>
          <cell r="D4180" t="str">
            <v>INTER CANARIAS</v>
          </cell>
          <cell r="E4180" t="str">
            <v>02</v>
          </cell>
          <cell r="F4180" t="str">
            <v>PAQ20a22</v>
          </cell>
          <cell r="G4180" t="str">
            <v>B</v>
          </cell>
          <cell r="H4180">
            <v>91.96</v>
          </cell>
        </row>
        <row r="4181">
          <cell r="A4181" t="str">
            <v>1;02;IC;B;PAQ22a24</v>
          </cell>
          <cell r="B4181">
            <v>730069</v>
          </cell>
          <cell r="C4181" t="str">
            <v>IC</v>
          </cell>
          <cell r="D4181" t="str">
            <v>INTER CANARIAS</v>
          </cell>
          <cell r="E4181" t="str">
            <v>02</v>
          </cell>
          <cell r="F4181" t="str">
            <v>PAQ22a24</v>
          </cell>
          <cell r="G4181" t="str">
            <v>B</v>
          </cell>
          <cell r="H4181">
            <v>99.36</v>
          </cell>
        </row>
        <row r="4182">
          <cell r="A4182" t="str">
            <v>1;02;IC;B;PAQ24a26</v>
          </cell>
          <cell r="B4182">
            <v>730069</v>
          </cell>
          <cell r="C4182" t="str">
            <v>IC</v>
          </cell>
          <cell r="D4182" t="str">
            <v>INTER CANARIAS</v>
          </cell>
          <cell r="E4182" t="str">
            <v>02</v>
          </cell>
          <cell r="F4182" t="str">
            <v>PAQ24a26</v>
          </cell>
          <cell r="G4182" t="str">
            <v>B</v>
          </cell>
          <cell r="H4182">
            <v>106.75</v>
          </cell>
        </row>
        <row r="4183">
          <cell r="A4183" t="str">
            <v>1;02;IC;B;PAQ26a28</v>
          </cell>
          <cell r="B4183">
            <v>730069</v>
          </cell>
          <cell r="C4183" t="str">
            <v>IC</v>
          </cell>
          <cell r="D4183" t="str">
            <v>INTER CANARIAS</v>
          </cell>
          <cell r="E4183" t="str">
            <v>02</v>
          </cell>
          <cell r="F4183" t="str">
            <v>PAQ26a28</v>
          </cell>
          <cell r="G4183" t="str">
            <v>B</v>
          </cell>
          <cell r="H4183">
            <v>114.16</v>
          </cell>
        </row>
        <row r="4184">
          <cell r="A4184" t="str">
            <v>1;02;IC;B;PAQ28a30</v>
          </cell>
          <cell r="B4184">
            <v>730069</v>
          </cell>
          <cell r="C4184" t="str">
            <v>IC</v>
          </cell>
          <cell r="D4184" t="str">
            <v>INTER CANARIAS</v>
          </cell>
          <cell r="E4184" t="str">
            <v>02</v>
          </cell>
          <cell r="F4184" t="str">
            <v>PAQ28a30</v>
          </cell>
          <cell r="G4184" t="str">
            <v>B</v>
          </cell>
          <cell r="H4184">
            <v>121.55</v>
          </cell>
        </row>
        <row r="4185">
          <cell r="A4185" t="str">
            <v>1;02;IC;B;PAQ30a32</v>
          </cell>
          <cell r="B4185">
            <v>730069</v>
          </cell>
          <cell r="C4185" t="str">
            <v>IC</v>
          </cell>
          <cell r="D4185" t="str">
            <v>INTER CANARIAS</v>
          </cell>
          <cell r="E4185" t="str">
            <v>02</v>
          </cell>
          <cell r="F4185" t="str">
            <v>PAQ30a32</v>
          </cell>
          <cell r="G4185" t="str">
            <v>B</v>
          </cell>
          <cell r="H4185">
            <v>128.94999999999999</v>
          </cell>
        </row>
        <row r="4186">
          <cell r="A4186" t="str">
            <v>1;02;IC;B;PAQ32a34</v>
          </cell>
          <cell r="B4186">
            <v>730069</v>
          </cell>
          <cell r="C4186" t="str">
            <v>IC</v>
          </cell>
          <cell r="D4186" t="str">
            <v>INTER CANARIAS</v>
          </cell>
          <cell r="E4186" t="str">
            <v>02</v>
          </cell>
          <cell r="F4186" t="str">
            <v>PAQ32a34</v>
          </cell>
          <cell r="G4186" t="str">
            <v>B</v>
          </cell>
          <cell r="H4186">
            <v>136.34</v>
          </cell>
        </row>
        <row r="4187">
          <cell r="A4187" t="str">
            <v>1;02;IC;B;PAQ34a36</v>
          </cell>
          <cell r="B4187">
            <v>730069</v>
          </cell>
          <cell r="C4187" t="str">
            <v>IC</v>
          </cell>
          <cell r="D4187" t="str">
            <v>INTER CANARIAS</v>
          </cell>
          <cell r="E4187" t="str">
            <v>02</v>
          </cell>
          <cell r="F4187" t="str">
            <v>PAQ34a36</v>
          </cell>
          <cell r="G4187" t="str">
            <v>B</v>
          </cell>
          <cell r="H4187">
            <v>143.75</v>
          </cell>
        </row>
        <row r="4188">
          <cell r="A4188" t="str">
            <v>1;02;IC;B;PAQ36a38</v>
          </cell>
          <cell r="B4188">
            <v>730069</v>
          </cell>
          <cell r="C4188" t="str">
            <v>IC</v>
          </cell>
          <cell r="D4188" t="str">
            <v>INTER CANARIAS</v>
          </cell>
          <cell r="E4188" t="str">
            <v>02</v>
          </cell>
          <cell r="F4188" t="str">
            <v>PAQ36a38</v>
          </cell>
          <cell r="G4188" t="str">
            <v>B</v>
          </cell>
          <cell r="H4188">
            <v>151.13999999999999</v>
          </cell>
        </row>
        <row r="4189">
          <cell r="A4189" t="str">
            <v>1;02;IC;B;PAQ38a40</v>
          </cell>
          <cell r="B4189">
            <v>730069</v>
          </cell>
          <cell r="C4189" t="str">
            <v>IC</v>
          </cell>
          <cell r="D4189" t="str">
            <v>INTER CANARIAS</v>
          </cell>
          <cell r="E4189" t="str">
            <v>02</v>
          </cell>
          <cell r="F4189" t="str">
            <v>PAQ38a40</v>
          </cell>
          <cell r="G4189" t="str">
            <v>B</v>
          </cell>
          <cell r="H4189">
            <v>158.54</v>
          </cell>
        </row>
        <row r="4190">
          <cell r="A4190" t="str">
            <v>1;02;IC;F;</v>
          </cell>
          <cell r="B4190">
            <v>730069</v>
          </cell>
          <cell r="C4190" t="str">
            <v>IC</v>
          </cell>
          <cell r="D4190" t="str">
            <v>INTER CANARIAS</v>
          </cell>
          <cell r="E4190" t="str">
            <v>02</v>
          </cell>
          <cell r="F4190" t="str">
            <v/>
          </cell>
          <cell r="G4190" t="str">
            <v>F</v>
          </cell>
          <cell r="H4190">
            <v>7.4</v>
          </cell>
        </row>
        <row r="4191">
          <cell r="A4191" t="str">
            <v>1;02;IC;E;</v>
          </cell>
          <cell r="B4191">
            <v>730069</v>
          </cell>
          <cell r="C4191" t="str">
            <v>IC</v>
          </cell>
          <cell r="D4191" t="str">
            <v>INTER CANARIAS</v>
          </cell>
          <cell r="E4191" t="str">
            <v>02</v>
          </cell>
          <cell r="F4191" t="str">
            <v/>
          </cell>
          <cell r="G4191" t="str">
            <v>E</v>
          </cell>
          <cell r="H4191">
            <v>0</v>
          </cell>
        </row>
        <row r="4192">
          <cell r="A4192" t="str">
            <v>1;02;IC;P;</v>
          </cell>
          <cell r="B4192">
            <v>730069</v>
          </cell>
          <cell r="C4192" t="str">
            <v>IC</v>
          </cell>
          <cell r="D4192" t="str">
            <v>INTER CANARIAS</v>
          </cell>
          <cell r="E4192" t="str">
            <v>02</v>
          </cell>
          <cell r="F4192" t="str">
            <v/>
          </cell>
          <cell r="G4192" t="str">
            <v>P</v>
          </cell>
          <cell r="H4192">
            <v>0</v>
          </cell>
        </row>
        <row r="4193">
          <cell r="A4193" t="str">
            <v>1;03;IC;B;BAG</v>
          </cell>
          <cell r="B4193">
            <v>730069</v>
          </cell>
          <cell r="C4193" t="str">
            <v>IC</v>
          </cell>
          <cell r="D4193" t="str">
            <v>INTER CANARIAS</v>
          </cell>
          <cell r="E4193" t="str">
            <v>03</v>
          </cell>
          <cell r="F4193" t="str">
            <v>BAG</v>
          </cell>
          <cell r="G4193" t="str">
            <v>B</v>
          </cell>
          <cell r="H4193">
            <v>17.77</v>
          </cell>
        </row>
        <row r="4194">
          <cell r="A4194" t="str">
            <v>1;03;IC;B;DOCS</v>
          </cell>
          <cell r="B4194">
            <v>730069</v>
          </cell>
          <cell r="C4194" t="str">
            <v>IC</v>
          </cell>
          <cell r="D4194" t="str">
            <v>INTER CANARIAS</v>
          </cell>
          <cell r="E4194" t="str">
            <v>03</v>
          </cell>
          <cell r="F4194" t="str">
            <v>DOCS</v>
          </cell>
          <cell r="G4194" t="str">
            <v>B</v>
          </cell>
          <cell r="H4194">
            <v>11.66</v>
          </cell>
        </row>
        <row r="4195">
          <cell r="A4195" t="str">
            <v>1;03;IC;B;PAQ00a02</v>
          </cell>
          <cell r="B4195">
            <v>730069</v>
          </cell>
          <cell r="C4195" t="str">
            <v>IC</v>
          </cell>
          <cell r="D4195" t="str">
            <v>INTER CANARIAS</v>
          </cell>
          <cell r="E4195" t="str">
            <v>03</v>
          </cell>
          <cell r="F4195" t="str">
            <v>PAQ00a02</v>
          </cell>
          <cell r="G4195" t="str">
            <v>B</v>
          </cell>
          <cell r="H4195">
            <v>18.86</v>
          </cell>
        </row>
        <row r="4196">
          <cell r="A4196" t="str">
            <v>1;03;IC;B;PAQ02a04</v>
          </cell>
          <cell r="B4196">
            <v>730069</v>
          </cell>
          <cell r="C4196" t="str">
            <v>IC</v>
          </cell>
          <cell r="D4196" t="str">
            <v>INTER CANARIAS</v>
          </cell>
          <cell r="E4196" t="str">
            <v>03</v>
          </cell>
          <cell r="F4196" t="str">
            <v>PAQ02a04</v>
          </cell>
          <cell r="G4196" t="str">
            <v>B</v>
          </cell>
          <cell r="H4196">
            <v>33</v>
          </cell>
        </row>
        <row r="4197">
          <cell r="A4197" t="str">
            <v>1;03;IC;B;PAQ04a06</v>
          </cell>
          <cell r="B4197">
            <v>730069</v>
          </cell>
          <cell r="C4197" t="str">
            <v>IC</v>
          </cell>
          <cell r="D4197" t="str">
            <v>INTER CANARIAS</v>
          </cell>
          <cell r="E4197" t="str">
            <v>03</v>
          </cell>
          <cell r="F4197" t="str">
            <v>PAQ04a06</v>
          </cell>
          <cell r="G4197" t="str">
            <v>B</v>
          </cell>
          <cell r="H4197">
            <v>48.51</v>
          </cell>
        </row>
        <row r="4198">
          <cell r="A4198" t="str">
            <v>1;03;IC;B;PAQ06a08</v>
          </cell>
          <cell r="B4198">
            <v>730069</v>
          </cell>
          <cell r="C4198" t="str">
            <v>IC</v>
          </cell>
          <cell r="D4198" t="str">
            <v>INTER CANARIAS</v>
          </cell>
          <cell r="E4198" t="str">
            <v>03</v>
          </cell>
          <cell r="F4198" t="str">
            <v>PAQ06a08</v>
          </cell>
          <cell r="G4198" t="str">
            <v>B</v>
          </cell>
          <cell r="H4198">
            <v>64.02</v>
          </cell>
        </row>
        <row r="4199">
          <cell r="A4199" t="str">
            <v>1;03;IC;B;PAQ08a10</v>
          </cell>
          <cell r="B4199">
            <v>730069</v>
          </cell>
          <cell r="C4199" t="str">
            <v>IC</v>
          </cell>
          <cell r="D4199" t="str">
            <v>INTER CANARIAS</v>
          </cell>
          <cell r="E4199" t="str">
            <v>03</v>
          </cell>
          <cell r="F4199" t="str">
            <v>PAQ08a10</v>
          </cell>
          <cell r="G4199" t="str">
            <v>B</v>
          </cell>
          <cell r="H4199">
            <v>79.540000000000006</v>
          </cell>
        </row>
        <row r="4200">
          <cell r="A4200" t="str">
            <v>1;03;IC;B;PAQ10a12</v>
          </cell>
          <cell r="B4200">
            <v>730069</v>
          </cell>
          <cell r="C4200" t="str">
            <v>IC</v>
          </cell>
          <cell r="D4200" t="str">
            <v>INTER CANARIAS</v>
          </cell>
          <cell r="E4200" t="str">
            <v>03</v>
          </cell>
          <cell r="F4200" t="str">
            <v>PAQ10a12</v>
          </cell>
          <cell r="G4200" t="str">
            <v>B</v>
          </cell>
          <cell r="H4200">
            <v>95.05</v>
          </cell>
        </row>
        <row r="4201">
          <cell r="A4201" t="str">
            <v>1;03;IC;B;PAQ12a14</v>
          </cell>
          <cell r="B4201">
            <v>730069</v>
          </cell>
          <cell r="C4201" t="str">
            <v>IC</v>
          </cell>
          <cell r="D4201" t="str">
            <v>INTER CANARIAS</v>
          </cell>
          <cell r="E4201" t="str">
            <v>03</v>
          </cell>
          <cell r="F4201" t="str">
            <v>PAQ12a14</v>
          </cell>
          <cell r="G4201" t="str">
            <v>B</v>
          </cell>
          <cell r="H4201">
            <v>110.55</v>
          </cell>
        </row>
        <row r="4202">
          <cell r="A4202" t="str">
            <v>1;03;IC;B;PAQ14a16</v>
          </cell>
          <cell r="B4202">
            <v>730069</v>
          </cell>
          <cell r="C4202" t="str">
            <v>IC</v>
          </cell>
          <cell r="D4202" t="str">
            <v>INTER CANARIAS</v>
          </cell>
          <cell r="E4202" t="str">
            <v>03</v>
          </cell>
          <cell r="F4202" t="str">
            <v>PAQ14a16</v>
          </cell>
          <cell r="G4202" t="str">
            <v>B</v>
          </cell>
          <cell r="H4202">
            <v>126.07</v>
          </cell>
        </row>
        <row r="4203">
          <cell r="A4203" t="str">
            <v>1;03;IC;B;PAQ16a18</v>
          </cell>
          <cell r="B4203">
            <v>730069</v>
          </cell>
          <cell r="C4203" t="str">
            <v>IC</v>
          </cell>
          <cell r="D4203" t="str">
            <v>INTER CANARIAS</v>
          </cell>
          <cell r="E4203" t="str">
            <v>03</v>
          </cell>
          <cell r="F4203" t="str">
            <v>PAQ16a18</v>
          </cell>
          <cell r="G4203" t="str">
            <v>B</v>
          </cell>
          <cell r="H4203">
            <v>141.58000000000001</v>
          </cell>
        </row>
        <row r="4204">
          <cell r="A4204" t="str">
            <v>1;03;IC;B;PAQ18a20</v>
          </cell>
          <cell r="B4204">
            <v>730069</v>
          </cell>
          <cell r="C4204" t="str">
            <v>IC</v>
          </cell>
          <cell r="D4204" t="str">
            <v>INTER CANARIAS</v>
          </cell>
          <cell r="E4204" t="str">
            <v>03</v>
          </cell>
          <cell r="F4204" t="str">
            <v>PAQ18a20</v>
          </cell>
          <cell r="G4204" t="str">
            <v>B</v>
          </cell>
          <cell r="H4204">
            <v>157.09</v>
          </cell>
        </row>
        <row r="4205">
          <cell r="A4205" t="str">
            <v>1;03;IC;B;PAQ20a22</v>
          </cell>
          <cell r="B4205">
            <v>730069</v>
          </cell>
          <cell r="C4205" t="str">
            <v>IC</v>
          </cell>
          <cell r="D4205" t="str">
            <v>INTER CANARIAS</v>
          </cell>
          <cell r="E4205" t="str">
            <v>03</v>
          </cell>
          <cell r="F4205" t="str">
            <v>PAQ20a22</v>
          </cell>
          <cell r="G4205" t="str">
            <v>B</v>
          </cell>
          <cell r="H4205">
            <v>172.61</v>
          </cell>
        </row>
        <row r="4206">
          <cell r="A4206" t="str">
            <v>1;03;IC;B;PAQ22a24</v>
          </cell>
          <cell r="B4206">
            <v>730069</v>
          </cell>
          <cell r="C4206" t="str">
            <v>IC</v>
          </cell>
          <cell r="D4206" t="str">
            <v>INTER CANARIAS</v>
          </cell>
          <cell r="E4206" t="str">
            <v>03</v>
          </cell>
          <cell r="F4206" t="str">
            <v>PAQ22a24</v>
          </cell>
          <cell r="G4206" t="str">
            <v>B</v>
          </cell>
          <cell r="H4206">
            <v>188.12</v>
          </cell>
        </row>
        <row r="4207">
          <cell r="A4207" t="str">
            <v>1;03;IC;B;PAQ24a26</v>
          </cell>
          <cell r="B4207">
            <v>730069</v>
          </cell>
          <cell r="C4207" t="str">
            <v>IC</v>
          </cell>
          <cell r="D4207" t="str">
            <v>INTER CANARIAS</v>
          </cell>
          <cell r="E4207" t="str">
            <v>03</v>
          </cell>
          <cell r="F4207" t="str">
            <v>PAQ24a26</v>
          </cell>
          <cell r="G4207" t="str">
            <v>B</v>
          </cell>
          <cell r="H4207">
            <v>203.64</v>
          </cell>
        </row>
        <row r="4208">
          <cell r="A4208" t="str">
            <v>1;03;IC;B;PAQ26a28</v>
          </cell>
          <cell r="B4208">
            <v>730069</v>
          </cell>
          <cell r="C4208" t="str">
            <v>IC</v>
          </cell>
          <cell r="D4208" t="str">
            <v>INTER CANARIAS</v>
          </cell>
          <cell r="E4208" t="str">
            <v>03</v>
          </cell>
          <cell r="F4208" t="str">
            <v>PAQ26a28</v>
          </cell>
          <cell r="G4208" t="str">
            <v>B</v>
          </cell>
          <cell r="H4208">
            <v>219.15</v>
          </cell>
        </row>
        <row r="4209">
          <cell r="A4209" t="str">
            <v>1;03;IC;B;PAQ28a30</v>
          </cell>
          <cell r="B4209">
            <v>730069</v>
          </cell>
          <cell r="C4209" t="str">
            <v>IC</v>
          </cell>
          <cell r="D4209" t="str">
            <v>INTER CANARIAS</v>
          </cell>
          <cell r="E4209" t="str">
            <v>03</v>
          </cell>
          <cell r="F4209" t="str">
            <v>PAQ28a30</v>
          </cell>
          <cell r="G4209" t="str">
            <v>B</v>
          </cell>
          <cell r="H4209">
            <v>234.65</v>
          </cell>
        </row>
        <row r="4210">
          <cell r="A4210" t="str">
            <v>1;03;IC;B;PAQ30a32</v>
          </cell>
          <cell r="B4210">
            <v>730069</v>
          </cell>
          <cell r="C4210" t="str">
            <v>IC</v>
          </cell>
          <cell r="D4210" t="str">
            <v>INTER CANARIAS</v>
          </cell>
          <cell r="E4210" t="str">
            <v>03</v>
          </cell>
          <cell r="F4210" t="str">
            <v>PAQ30a32</v>
          </cell>
          <cell r="G4210" t="str">
            <v>B</v>
          </cell>
          <cell r="H4210">
            <v>250.17</v>
          </cell>
        </row>
        <row r="4211">
          <cell r="A4211" t="str">
            <v>1;03;IC;B;PAQ32a34</v>
          </cell>
          <cell r="B4211">
            <v>730069</v>
          </cell>
          <cell r="C4211" t="str">
            <v>IC</v>
          </cell>
          <cell r="D4211" t="str">
            <v>INTER CANARIAS</v>
          </cell>
          <cell r="E4211" t="str">
            <v>03</v>
          </cell>
          <cell r="F4211" t="str">
            <v>PAQ32a34</v>
          </cell>
          <cell r="G4211" t="str">
            <v>B</v>
          </cell>
          <cell r="H4211">
            <v>265.68</v>
          </cell>
        </row>
        <row r="4212">
          <cell r="A4212" t="str">
            <v>1;03;IC;B;PAQ34a36</v>
          </cell>
          <cell r="B4212">
            <v>730069</v>
          </cell>
          <cell r="C4212" t="str">
            <v>IC</v>
          </cell>
          <cell r="D4212" t="str">
            <v>INTER CANARIAS</v>
          </cell>
          <cell r="E4212" t="str">
            <v>03</v>
          </cell>
          <cell r="F4212" t="str">
            <v>PAQ34a36</v>
          </cell>
          <cell r="G4212" t="str">
            <v>B</v>
          </cell>
          <cell r="H4212">
            <v>281.19</v>
          </cell>
        </row>
        <row r="4213">
          <cell r="A4213" t="str">
            <v>1;03;IC;B;PAQ36a38</v>
          </cell>
          <cell r="B4213">
            <v>730069</v>
          </cell>
          <cell r="C4213" t="str">
            <v>IC</v>
          </cell>
          <cell r="D4213" t="str">
            <v>INTER CANARIAS</v>
          </cell>
          <cell r="E4213" t="str">
            <v>03</v>
          </cell>
          <cell r="F4213" t="str">
            <v>PAQ36a38</v>
          </cell>
          <cell r="G4213" t="str">
            <v>B</v>
          </cell>
          <cell r="H4213">
            <v>296.70999999999998</v>
          </cell>
        </row>
        <row r="4214">
          <cell r="A4214" t="str">
            <v>1;03;IC;B;PAQ38a40</v>
          </cell>
          <cell r="B4214">
            <v>730069</v>
          </cell>
          <cell r="C4214" t="str">
            <v>IC</v>
          </cell>
          <cell r="D4214" t="str">
            <v>INTER CANARIAS</v>
          </cell>
          <cell r="E4214" t="str">
            <v>03</v>
          </cell>
          <cell r="F4214" t="str">
            <v>PAQ38a40</v>
          </cell>
          <cell r="G4214" t="str">
            <v>B</v>
          </cell>
          <cell r="H4214">
            <v>312.22000000000003</v>
          </cell>
        </row>
        <row r="4215">
          <cell r="A4215" t="str">
            <v>1;03;IC;F;</v>
          </cell>
          <cell r="B4215">
            <v>730069</v>
          </cell>
          <cell r="C4215" t="str">
            <v>IC</v>
          </cell>
          <cell r="D4215" t="str">
            <v>INTER CANARIAS</v>
          </cell>
          <cell r="E4215" t="str">
            <v>03</v>
          </cell>
          <cell r="F4215" t="str">
            <v/>
          </cell>
          <cell r="G4215" t="str">
            <v>F</v>
          </cell>
          <cell r="H4215">
            <v>15.51</v>
          </cell>
        </row>
        <row r="4216">
          <cell r="A4216" t="str">
            <v>1;03;IC;E;</v>
          </cell>
          <cell r="B4216">
            <v>730069</v>
          </cell>
          <cell r="C4216" t="str">
            <v>IC</v>
          </cell>
          <cell r="D4216" t="str">
            <v>INTER CANARIAS</v>
          </cell>
          <cell r="E4216" t="str">
            <v>03</v>
          </cell>
          <cell r="F4216" t="str">
            <v/>
          </cell>
          <cell r="G4216" t="str">
            <v>E</v>
          </cell>
          <cell r="H4216">
            <v>0</v>
          </cell>
        </row>
        <row r="4217">
          <cell r="A4217" t="str">
            <v>1;03;IC;P;</v>
          </cell>
          <cell r="B4217">
            <v>730069</v>
          </cell>
          <cell r="C4217" t="str">
            <v>IC</v>
          </cell>
          <cell r="D4217" t="str">
            <v>INTER CANARIAS</v>
          </cell>
          <cell r="E4217" t="str">
            <v>03</v>
          </cell>
          <cell r="F4217" t="str">
            <v/>
          </cell>
          <cell r="G4217" t="str">
            <v>P</v>
          </cell>
          <cell r="H4217">
            <v>0</v>
          </cell>
        </row>
        <row r="4218">
          <cell r="A4218" t="str">
            <v>1;04;IC;B;BAG</v>
          </cell>
          <cell r="B4218">
            <v>730069</v>
          </cell>
          <cell r="C4218" t="str">
            <v>IC</v>
          </cell>
          <cell r="D4218" t="str">
            <v>INTER CANARIAS</v>
          </cell>
          <cell r="E4218" t="str">
            <v>04</v>
          </cell>
          <cell r="F4218" t="str">
            <v>BAG</v>
          </cell>
          <cell r="G4218" t="str">
            <v>B</v>
          </cell>
          <cell r="H4218">
            <v>5.76</v>
          </cell>
        </row>
        <row r="4219">
          <cell r="A4219" t="str">
            <v>1;05;IC;B;BAG</v>
          </cell>
          <cell r="B4219">
            <v>730069</v>
          </cell>
          <cell r="C4219" t="str">
            <v>IC</v>
          </cell>
          <cell r="D4219" t="str">
            <v>INTER CANARIAS</v>
          </cell>
          <cell r="E4219" t="str">
            <v>05</v>
          </cell>
          <cell r="F4219" t="str">
            <v>BAG</v>
          </cell>
          <cell r="G4219" t="str">
            <v>B</v>
          </cell>
          <cell r="H4219">
            <v>5.76</v>
          </cell>
        </row>
        <row r="4220">
          <cell r="A4220" t="str">
            <v>1;06;IC;B;BAG</v>
          </cell>
          <cell r="B4220">
            <v>730069</v>
          </cell>
          <cell r="C4220" t="str">
            <v>IC</v>
          </cell>
          <cell r="D4220" t="str">
            <v>INTER CANARIAS</v>
          </cell>
          <cell r="E4220" t="str">
            <v>06</v>
          </cell>
          <cell r="F4220" t="str">
            <v>BAG</v>
          </cell>
          <cell r="G4220" t="str">
            <v>B</v>
          </cell>
          <cell r="H4220">
            <v>0</v>
          </cell>
        </row>
        <row r="4221">
          <cell r="A4221" t="str">
            <v>1;06;IC;B;DOCS</v>
          </cell>
          <cell r="B4221">
            <v>730069</v>
          </cell>
          <cell r="C4221" t="str">
            <v>IC</v>
          </cell>
          <cell r="D4221" t="str">
            <v>INTER CANARIAS</v>
          </cell>
          <cell r="E4221" t="str">
            <v>06</v>
          </cell>
          <cell r="F4221" t="str">
            <v>DOCS</v>
          </cell>
          <cell r="G4221" t="str">
            <v>B</v>
          </cell>
          <cell r="H4221">
            <v>0</v>
          </cell>
        </row>
        <row r="4222">
          <cell r="A4222" t="str">
            <v>1;06;IC;B;PAQ00a02</v>
          </cell>
          <cell r="B4222">
            <v>730069</v>
          </cell>
          <cell r="C4222" t="str">
            <v>IC</v>
          </cell>
          <cell r="D4222" t="str">
            <v>INTER CANARIAS</v>
          </cell>
          <cell r="E4222" t="str">
            <v>06</v>
          </cell>
          <cell r="F4222" t="str">
            <v>PAQ00a02</v>
          </cell>
          <cell r="G4222" t="str">
            <v>B</v>
          </cell>
          <cell r="H4222">
            <v>0</v>
          </cell>
        </row>
        <row r="4223">
          <cell r="A4223" t="str">
            <v>1;06;IC;B;PAQ02a04</v>
          </cell>
          <cell r="B4223">
            <v>730069</v>
          </cell>
          <cell r="C4223" t="str">
            <v>IC</v>
          </cell>
          <cell r="D4223" t="str">
            <v>INTER CANARIAS</v>
          </cell>
          <cell r="E4223" t="str">
            <v>06</v>
          </cell>
          <cell r="F4223" t="str">
            <v>PAQ02a04</v>
          </cell>
          <cell r="G4223" t="str">
            <v>B</v>
          </cell>
          <cell r="H4223">
            <v>0</v>
          </cell>
        </row>
        <row r="4224">
          <cell r="A4224" t="str">
            <v>1;06;IC;B;PAQ04a06</v>
          </cell>
          <cell r="B4224">
            <v>730069</v>
          </cell>
          <cell r="C4224" t="str">
            <v>IC</v>
          </cell>
          <cell r="D4224" t="str">
            <v>INTER CANARIAS</v>
          </cell>
          <cell r="E4224" t="str">
            <v>06</v>
          </cell>
          <cell r="F4224" t="str">
            <v>PAQ04a06</v>
          </cell>
          <cell r="G4224" t="str">
            <v>B</v>
          </cell>
          <cell r="H4224">
            <v>0</v>
          </cell>
        </row>
        <row r="4225">
          <cell r="A4225" t="str">
            <v>1;06;IC;B;PAQ06a08</v>
          </cell>
          <cell r="B4225">
            <v>730069</v>
          </cell>
          <cell r="C4225" t="str">
            <v>IC</v>
          </cell>
          <cell r="D4225" t="str">
            <v>INTER CANARIAS</v>
          </cell>
          <cell r="E4225" t="str">
            <v>06</v>
          </cell>
          <cell r="F4225" t="str">
            <v>PAQ06a08</v>
          </cell>
          <cell r="G4225" t="str">
            <v>B</v>
          </cell>
          <cell r="H4225">
            <v>0</v>
          </cell>
        </row>
        <row r="4226">
          <cell r="A4226" t="str">
            <v>1;06;IC;B;PAQ08a10</v>
          </cell>
          <cell r="B4226">
            <v>730069</v>
          </cell>
          <cell r="C4226" t="str">
            <v>IC</v>
          </cell>
          <cell r="D4226" t="str">
            <v>INTER CANARIAS</v>
          </cell>
          <cell r="E4226" t="str">
            <v>06</v>
          </cell>
          <cell r="F4226" t="str">
            <v>PAQ08a10</v>
          </cell>
          <cell r="G4226" t="str">
            <v>B</v>
          </cell>
          <cell r="H4226">
            <v>0</v>
          </cell>
        </row>
        <row r="4227">
          <cell r="A4227" t="str">
            <v>1;06;IC;B;PAQ10a12</v>
          </cell>
          <cell r="B4227">
            <v>730069</v>
          </cell>
          <cell r="C4227" t="str">
            <v>IC</v>
          </cell>
          <cell r="D4227" t="str">
            <v>INTER CANARIAS</v>
          </cell>
          <cell r="E4227" t="str">
            <v>06</v>
          </cell>
          <cell r="F4227" t="str">
            <v>PAQ10a12</v>
          </cell>
          <cell r="G4227" t="str">
            <v>B</v>
          </cell>
          <cell r="H4227">
            <v>0</v>
          </cell>
        </row>
        <row r="4228">
          <cell r="A4228" t="str">
            <v>1;06;IC;B;PAQ12a14</v>
          </cell>
          <cell r="B4228">
            <v>730069</v>
          </cell>
          <cell r="C4228" t="str">
            <v>IC</v>
          </cell>
          <cell r="D4228" t="str">
            <v>INTER CANARIAS</v>
          </cell>
          <cell r="E4228" t="str">
            <v>06</v>
          </cell>
          <cell r="F4228" t="str">
            <v>PAQ12a14</v>
          </cell>
          <cell r="G4228" t="str">
            <v>B</v>
          </cell>
          <cell r="H4228">
            <v>0</v>
          </cell>
        </row>
        <row r="4229">
          <cell r="A4229" t="str">
            <v>1;06;IC;B;PAQ14a16</v>
          </cell>
          <cell r="B4229">
            <v>730069</v>
          </cell>
          <cell r="C4229" t="str">
            <v>IC</v>
          </cell>
          <cell r="D4229" t="str">
            <v>INTER CANARIAS</v>
          </cell>
          <cell r="E4229" t="str">
            <v>06</v>
          </cell>
          <cell r="F4229" t="str">
            <v>PAQ14a16</v>
          </cell>
          <cell r="G4229" t="str">
            <v>B</v>
          </cell>
          <cell r="H4229">
            <v>0</v>
          </cell>
        </row>
        <row r="4230">
          <cell r="A4230" t="str">
            <v>1;06;IC;B;PAQ16a18</v>
          </cell>
          <cell r="B4230">
            <v>730069</v>
          </cell>
          <cell r="C4230" t="str">
            <v>IC</v>
          </cell>
          <cell r="D4230" t="str">
            <v>INTER CANARIAS</v>
          </cell>
          <cell r="E4230" t="str">
            <v>06</v>
          </cell>
          <cell r="F4230" t="str">
            <v>PAQ16a18</v>
          </cell>
          <cell r="G4230" t="str">
            <v>B</v>
          </cell>
          <cell r="H4230">
            <v>0</v>
          </cell>
        </row>
        <row r="4231">
          <cell r="A4231" t="str">
            <v>1;06;IC;B;PAQ18a20</v>
          </cell>
          <cell r="B4231">
            <v>730069</v>
          </cell>
          <cell r="C4231" t="str">
            <v>IC</v>
          </cell>
          <cell r="D4231" t="str">
            <v>INTER CANARIAS</v>
          </cell>
          <cell r="E4231" t="str">
            <v>06</v>
          </cell>
          <cell r="F4231" t="str">
            <v>PAQ18a20</v>
          </cell>
          <cell r="G4231" t="str">
            <v>B</v>
          </cell>
          <cell r="H4231">
            <v>0</v>
          </cell>
        </row>
        <row r="4232">
          <cell r="A4232" t="str">
            <v>1;06;IC;B;PAQ20a22</v>
          </cell>
          <cell r="B4232">
            <v>730069</v>
          </cell>
          <cell r="C4232" t="str">
            <v>IC</v>
          </cell>
          <cell r="D4232" t="str">
            <v>INTER CANARIAS</v>
          </cell>
          <cell r="E4232" t="str">
            <v>06</v>
          </cell>
          <cell r="F4232" t="str">
            <v>PAQ20a22</v>
          </cell>
          <cell r="G4232" t="str">
            <v>B</v>
          </cell>
          <cell r="H4232">
            <v>0</v>
          </cell>
        </row>
        <row r="4233">
          <cell r="A4233" t="str">
            <v>1;06;IC;B;PAQ22a24</v>
          </cell>
          <cell r="B4233">
            <v>730069</v>
          </cell>
          <cell r="C4233" t="str">
            <v>IC</v>
          </cell>
          <cell r="D4233" t="str">
            <v>INTER CANARIAS</v>
          </cell>
          <cell r="E4233" t="str">
            <v>06</v>
          </cell>
          <cell r="F4233" t="str">
            <v>PAQ22a24</v>
          </cell>
          <cell r="G4233" t="str">
            <v>B</v>
          </cell>
          <cell r="H4233">
            <v>0</v>
          </cell>
        </row>
        <row r="4234">
          <cell r="A4234" t="str">
            <v>1;06;IC;B;PAQ24a26</v>
          </cell>
          <cell r="B4234">
            <v>730069</v>
          </cell>
          <cell r="C4234" t="str">
            <v>IC</v>
          </cell>
          <cell r="D4234" t="str">
            <v>INTER CANARIAS</v>
          </cell>
          <cell r="E4234" t="str">
            <v>06</v>
          </cell>
          <cell r="F4234" t="str">
            <v>PAQ24a26</v>
          </cell>
          <cell r="G4234" t="str">
            <v>B</v>
          </cell>
          <cell r="H4234">
            <v>0</v>
          </cell>
        </row>
        <row r="4235">
          <cell r="A4235" t="str">
            <v>1;06;IC;B;PAQ26a28</v>
          </cell>
          <cell r="B4235">
            <v>730069</v>
          </cell>
          <cell r="C4235" t="str">
            <v>IC</v>
          </cell>
          <cell r="D4235" t="str">
            <v>INTER CANARIAS</v>
          </cell>
          <cell r="E4235" t="str">
            <v>06</v>
          </cell>
          <cell r="F4235" t="str">
            <v>PAQ26a28</v>
          </cell>
          <cell r="G4235" t="str">
            <v>B</v>
          </cell>
          <cell r="H4235">
            <v>0</v>
          </cell>
        </row>
        <row r="4236">
          <cell r="A4236" t="str">
            <v>1;06;IC;B;PAQ28a30</v>
          </cell>
          <cell r="B4236">
            <v>730069</v>
          </cell>
          <cell r="C4236" t="str">
            <v>IC</v>
          </cell>
          <cell r="D4236" t="str">
            <v>INTER CANARIAS</v>
          </cell>
          <cell r="E4236" t="str">
            <v>06</v>
          </cell>
          <cell r="F4236" t="str">
            <v>PAQ28a30</v>
          </cell>
          <cell r="G4236" t="str">
            <v>B</v>
          </cell>
          <cell r="H4236">
            <v>0</v>
          </cell>
        </row>
        <row r="4237">
          <cell r="A4237" t="str">
            <v>1;06;IC;B;PAQ30a32</v>
          </cell>
          <cell r="B4237">
            <v>730069</v>
          </cell>
          <cell r="C4237" t="str">
            <v>IC</v>
          </cell>
          <cell r="D4237" t="str">
            <v>INTER CANARIAS</v>
          </cell>
          <cell r="E4237" t="str">
            <v>06</v>
          </cell>
          <cell r="F4237" t="str">
            <v>PAQ30a32</v>
          </cell>
          <cell r="G4237" t="str">
            <v>B</v>
          </cell>
          <cell r="H4237">
            <v>0</v>
          </cell>
        </row>
        <row r="4238">
          <cell r="A4238" t="str">
            <v>1;06;IC;B;PAQ32a34</v>
          </cell>
          <cell r="B4238">
            <v>730069</v>
          </cell>
          <cell r="C4238" t="str">
            <v>IC</v>
          </cell>
          <cell r="D4238" t="str">
            <v>INTER CANARIAS</v>
          </cell>
          <cell r="E4238" t="str">
            <v>06</v>
          </cell>
          <cell r="F4238" t="str">
            <v>PAQ32a34</v>
          </cell>
          <cell r="G4238" t="str">
            <v>B</v>
          </cell>
          <cell r="H4238">
            <v>0</v>
          </cell>
        </row>
        <row r="4239">
          <cell r="A4239" t="str">
            <v>1;06;IC;B;PAQ34a36</v>
          </cell>
          <cell r="B4239">
            <v>730069</v>
          </cell>
          <cell r="C4239" t="str">
            <v>IC</v>
          </cell>
          <cell r="D4239" t="str">
            <v>INTER CANARIAS</v>
          </cell>
          <cell r="E4239" t="str">
            <v>06</v>
          </cell>
          <cell r="F4239" t="str">
            <v>PAQ34a36</v>
          </cell>
          <cell r="G4239" t="str">
            <v>B</v>
          </cell>
          <cell r="H4239">
            <v>0</v>
          </cell>
        </row>
        <row r="4240">
          <cell r="A4240" t="str">
            <v>1;06;IC;B;PAQ36a38</v>
          </cell>
          <cell r="B4240">
            <v>730069</v>
          </cell>
          <cell r="C4240" t="str">
            <v>IC</v>
          </cell>
          <cell r="D4240" t="str">
            <v>INTER CANARIAS</v>
          </cell>
          <cell r="E4240" t="str">
            <v>06</v>
          </cell>
          <cell r="F4240" t="str">
            <v>PAQ36a38</v>
          </cell>
          <cell r="G4240" t="str">
            <v>B</v>
          </cell>
          <cell r="H4240">
            <v>0</v>
          </cell>
        </row>
        <row r="4241">
          <cell r="A4241" t="str">
            <v>1;06;IC;F;</v>
          </cell>
          <cell r="B4241">
            <v>730069</v>
          </cell>
          <cell r="C4241" t="str">
            <v>IC</v>
          </cell>
          <cell r="D4241" t="str">
            <v>INTER CANARIAS</v>
          </cell>
          <cell r="E4241" t="str">
            <v>06</v>
          </cell>
          <cell r="F4241" t="str">
            <v/>
          </cell>
          <cell r="G4241" t="str">
            <v>F</v>
          </cell>
          <cell r="H4241">
            <v>0</v>
          </cell>
        </row>
        <row r="4242">
          <cell r="A4242" t="str">
            <v>1;06;IC;B;PAQ38a40</v>
          </cell>
          <cell r="B4242">
            <v>730069</v>
          </cell>
          <cell r="C4242" t="str">
            <v>IC</v>
          </cell>
          <cell r="D4242" t="str">
            <v>INTER CANARIAS</v>
          </cell>
          <cell r="E4242" t="str">
            <v>06</v>
          </cell>
          <cell r="F4242" t="str">
            <v>PAQ38a40</v>
          </cell>
          <cell r="G4242" t="str">
            <v>B</v>
          </cell>
          <cell r="H4242">
            <v>0</v>
          </cell>
        </row>
        <row r="4243">
          <cell r="A4243" t="str">
            <v>1;06;IC;E;</v>
          </cell>
          <cell r="B4243">
            <v>730069</v>
          </cell>
          <cell r="C4243" t="str">
            <v>IC</v>
          </cell>
          <cell r="D4243" t="str">
            <v>INTER CANARIAS</v>
          </cell>
          <cell r="E4243" t="str">
            <v>06</v>
          </cell>
          <cell r="F4243" t="str">
            <v/>
          </cell>
          <cell r="G4243" t="str">
            <v>E</v>
          </cell>
          <cell r="H4243">
            <v>0</v>
          </cell>
        </row>
        <row r="4244">
          <cell r="A4244" t="str">
            <v>1;06;IC;P;</v>
          </cell>
          <cell r="B4244">
            <v>730069</v>
          </cell>
          <cell r="C4244" t="str">
            <v>IC</v>
          </cell>
          <cell r="D4244" t="str">
            <v>INTER CANARIAS</v>
          </cell>
          <cell r="E4244" t="str">
            <v>06</v>
          </cell>
          <cell r="F4244" t="str">
            <v/>
          </cell>
          <cell r="G4244" t="str">
            <v>P</v>
          </cell>
          <cell r="H4244">
            <v>0</v>
          </cell>
        </row>
        <row r="4245">
          <cell r="A4245" t="str">
            <v>1;07;IC;B;BAG</v>
          </cell>
          <cell r="B4245">
            <v>730069</v>
          </cell>
          <cell r="C4245" t="str">
            <v>IC</v>
          </cell>
          <cell r="D4245" t="str">
            <v>INTER CANARIAS</v>
          </cell>
          <cell r="E4245" t="str">
            <v>07</v>
          </cell>
          <cell r="F4245" t="str">
            <v>BAG</v>
          </cell>
          <cell r="G4245" t="str">
            <v>B</v>
          </cell>
          <cell r="H4245">
            <v>0</v>
          </cell>
        </row>
        <row r="4246">
          <cell r="A4246" t="str">
            <v>1;07;IC;B;DOCS</v>
          </cell>
          <cell r="B4246">
            <v>730069</v>
          </cell>
          <cell r="C4246" t="str">
            <v>IC</v>
          </cell>
          <cell r="D4246" t="str">
            <v>INTER CANARIAS</v>
          </cell>
          <cell r="E4246" t="str">
            <v>07</v>
          </cell>
          <cell r="F4246" t="str">
            <v>DOCS</v>
          </cell>
          <cell r="G4246" t="str">
            <v>B</v>
          </cell>
          <cell r="H4246">
            <v>0</v>
          </cell>
        </row>
        <row r="4247">
          <cell r="A4247" t="str">
            <v>1;07;IC;B;PAQ00a02</v>
          </cell>
          <cell r="B4247">
            <v>730069</v>
          </cell>
          <cell r="C4247" t="str">
            <v>IC</v>
          </cell>
          <cell r="D4247" t="str">
            <v>INTER CANARIAS</v>
          </cell>
          <cell r="E4247" t="str">
            <v>07</v>
          </cell>
          <cell r="F4247" t="str">
            <v>PAQ00a02</v>
          </cell>
          <cell r="G4247" t="str">
            <v>B</v>
          </cell>
          <cell r="H4247">
            <v>0</v>
          </cell>
        </row>
        <row r="4248">
          <cell r="A4248" t="str">
            <v>1;07;IC;B;PAQ02a04</v>
          </cell>
          <cell r="B4248">
            <v>730069</v>
          </cell>
          <cell r="C4248" t="str">
            <v>IC</v>
          </cell>
          <cell r="D4248" t="str">
            <v>INTER CANARIAS</v>
          </cell>
          <cell r="E4248" t="str">
            <v>07</v>
          </cell>
          <cell r="F4248" t="str">
            <v>PAQ02a04</v>
          </cell>
          <cell r="G4248" t="str">
            <v>B</v>
          </cell>
          <cell r="H4248">
            <v>0</v>
          </cell>
        </row>
        <row r="4249">
          <cell r="A4249" t="str">
            <v>1;07;IC;B;PAQ04a06</v>
          </cell>
          <cell r="B4249">
            <v>730069</v>
          </cell>
          <cell r="C4249" t="str">
            <v>IC</v>
          </cell>
          <cell r="D4249" t="str">
            <v>INTER CANARIAS</v>
          </cell>
          <cell r="E4249" t="str">
            <v>07</v>
          </cell>
          <cell r="F4249" t="str">
            <v>PAQ04a06</v>
          </cell>
          <cell r="G4249" t="str">
            <v>B</v>
          </cell>
          <cell r="H4249">
            <v>0</v>
          </cell>
        </row>
        <row r="4250">
          <cell r="A4250" t="str">
            <v>1;07;IC;B;PAQ06a08</v>
          </cell>
          <cell r="B4250">
            <v>730069</v>
          </cell>
          <cell r="C4250" t="str">
            <v>IC</v>
          </cell>
          <cell r="D4250" t="str">
            <v>INTER CANARIAS</v>
          </cell>
          <cell r="E4250" t="str">
            <v>07</v>
          </cell>
          <cell r="F4250" t="str">
            <v>PAQ06a08</v>
          </cell>
          <cell r="G4250" t="str">
            <v>B</v>
          </cell>
          <cell r="H4250">
            <v>0</v>
          </cell>
        </row>
        <row r="4251">
          <cell r="A4251" t="str">
            <v>1;07;IC;B;PAQ08a10</v>
          </cell>
          <cell r="B4251">
            <v>730069</v>
          </cell>
          <cell r="C4251" t="str">
            <v>IC</v>
          </cell>
          <cell r="D4251" t="str">
            <v>INTER CANARIAS</v>
          </cell>
          <cell r="E4251" t="str">
            <v>07</v>
          </cell>
          <cell r="F4251" t="str">
            <v>PAQ08a10</v>
          </cell>
          <cell r="G4251" t="str">
            <v>B</v>
          </cell>
          <cell r="H4251">
            <v>0</v>
          </cell>
        </row>
        <row r="4252">
          <cell r="A4252" t="str">
            <v>1;07;IC;B;PAQ10a12</v>
          </cell>
          <cell r="B4252">
            <v>730069</v>
          </cell>
          <cell r="C4252" t="str">
            <v>IC</v>
          </cell>
          <cell r="D4252" t="str">
            <v>INTER CANARIAS</v>
          </cell>
          <cell r="E4252" t="str">
            <v>07</v>
          </cell>
          <cell r="F4252" t="str">
            <v>PAQ10a12</v>
          </cell>
          <cell r="G4252" t="str">
            <v>B</v>
          </cell>
          <cell r="H4252">
            <v>0</v>
          </cell>
        </row>
        <row r="4253">
          <cell r="A4253" t="str">
            <v>1;07;IC;B;PAQ12a14</v>
          </cell>
          <cell r="B4253">
            <v>730069</v>
          </cell>
          <cell r="C4253" t="str">
            <v>IC</v>
          </cell>
          <cell r="D4253" t="str">
            <v>INTER CANARIAS</v>
          </cell>
          <cell r="E4253" t="str">
            <v>07</v>
          </cell>
          <cell r="F4253" t="str">
            <v>PAQ12a14</v>
          </cell>
          <cell r="G4253" t="str">
            <v>B</v>
          </cell>
          <cell r="H4253">
            <v>0</v>
          </cell>
        </row>
        <row r="4254">
          <cell r="A4254" t="str">
            <v>1;07;IC;B;PAQ14a16</v>
          </cell>
          <cell r="B4254">
            <v>730069</v>
          </cell>
          <cell r="C4254" t="str">
            <v>IC</v>
          </cell>
          <cell r="D4254" t="str">
            <v>INTER CANARIAS</v>
          </cell>
          <cell r="E4254" t="str">
            <v>07</v>
          </cell>
          <cell r="F4254" t="str">
            <v>PAQ14a16</v>
          </cell>
          <cell r="G4254" t="str">
            <v>B</v>
          </cell>
          <cell r="H4254">
            <v>0</v>
          </cell>
        </row>
        <row r="4255">
          <cell r="A4255" t="str">
            <v>1;07;IC;B;PAQ16a18</v>
          </cell>
          <cell r="B4255">
            <v>730069</v>
          </cell>
          <cell r="C4255" t="str">
            <v>IC</v>
          </cell>
          <cell r="D4255" t="str">
            <v>INTER CANARIAS</v>
          </cell>
          <cell r="E4255" t="str">
            <v>07</v>
          </cell>
          <cell r="F4255" t="str">
            <v>PAQ16a18</v>
          </cell>
          <cell r="G4255" t="str">
            <v>B</v>
          </cell>
          <cell r="H4255">
            <v>0</v>
          </cell>
        </row>
        <row r="4256">
          <cell r="A4256" t="str">
            <v>1;07;IC;B;PAQ18a20</v>
          </cell>
          <cell r="B4256">
            <v>730069</v>
          </cell>
          <cell r="C4256" t="str">
            <v>IC</v>
          </cell>
          <cell r="D4256" t="str">
            <v>INTER CANARIAS</v>
          </cell>
          <cell r="E4256" t="str">
            <v>07</v>
          </cell>
          <cell r="F4256" t="str">
            <v>PAQ18a20</v>
          </cell>
          <cell r="G4256" t="str">
            <v>B</v>
          </cell>
          <cell r="H4256">
            <v>0</v>
          </cell>
        </row>
        <row r="4257">
          <cell r="A4257" t="str">
            <v>1;07;IC;B;PAQ20a22</v>
          </cell>
          <cell r="B4257">
            <v>730069</v>
          </cell>
          <cell r="C4257" t="str">
            <v>IC</v>
          </cell>
          <cell r="D4257" t="str">
            <v>INTER CANARIAS</v>
          </cell>
          <cell r="E4257" t="str">
            <v>07</v>
          </cell>
          <cell r="F4257" t="str">
            <v>PAQ20a22</v>
          </cell>
          <cell r="G4257" t="str">
            <v>B</v>
          </cell>
          <cell r="H4257">
            <v>0</v>
          </cell>
        </row>
        <row r="4258">
          <cell r="A4258" t="str">
            <v>1;07;IC;B;PAQ22a24</v>
          </cell>
          <cell r="B4258">
            <v>730069</v>
          </cell>
          <cell r="C4258" t="str">
            <v>IC</v>
          </cell>
          <cell r="D4258" t="str">
            <v>INTER CANARIAS</v>
          </cell>
          <cell r="E4258" t="str">
            <v>07</v>
          </cell>
          <cell r="F4258" t="str">
            <v>PAQ22a24</v>
          </cell>
          <cell r="G4258" t="str">
            <v>B</v>
          </cell>
          <cell r="H4258">
            <v>0</v>
          </cell>
        </row>
        <row r="4259">
          <cell r="A4259" t="str">
            <v>1;07;IC;B;PAQ24a26</v>
          </cell>
          <cell r="B4259">
            <v>730069</v>
          </cell>
          <cell r="C4259" t="str">
            <v>IC</v>
          </cell>
          <cell r="D4259" t="str">
            <v>INTER CANARIAS</v>
          </cell>
          <cell r="E4259" t="str">
            <v>07</v>
          </cell>
          <cell r="F4259" t="str">
            <v>PAQ24a26</v>
          </cell>
          <cell r="G4259" t="str">
            <v>B</v>
          </cell>
          <cell r="H4259">
            <v>0</v>
          </cell>
        </row>
        <row r="4260">
          <cell r="A4260" t="str">
            <v>1;07;IC;B;PAQ26a28</v>
          </cell>
          <cell r="B4260">
            <v>730069</v>
          </cell>
          <cell r="C4260" t="str">
            <v>IC</v>
          </cell>
          <cell r="D4260" t="str">
            <v>INTER CANARIAS</v>
          </cell>
          <cell r="E4260" t="str">
            <v>07</v>
          </cell>
          <cell r="F4260" t="str">
            <v>PAQ26a28</v>
          </cell>
          <cell r="G4260" t="str">
            <v>B</v>
          </cell>
          <cell r="H4260">
            <v>0</v>
          </cell>
        </row>
        <row r="4261">
          <cell r="A4261" t="str">
            <v>1;07;IC;B;PAQ28a30</v>
          </cell>
          <cell r="B4261">
            <v>730069</v>
          </cell>
          <cell r="C4261" t="str">
            <v>IC</v>
          </cell>
          <cell r="D4261" t="str">
            <v>INTER CANARIAS</v>
          </cell>
          <cell r="E4261" t="str">
            <v>07</v>
          </cell>
          <cell r="F4261" t="str">
            <v>PAQ28a30</v>
          </cell>
          <cell r="G4261" t="str">
            <v>B</v>
          </cell>
          <cell r="H4261">
            <v>0</v>
          </cell>
        </row>
        <row r="4262">
          <cell r="A4262" t="str">
            <v>1;07;IC;B;PAQ30a32</v>
          </cell>
          <cell r="B4262">
            <v>730069</v>
          </cell>
          <cell r="C4262" t="str">
            <v>IC</v>
          </cell>
          <cell r="D4262" t="str">
            <v>INTER CANARIAS</v>
          </cell>
          <cell r="E4262" t="str">
            <v>07</v>
          </cell>
          <cell r="F4262" t="str">
            <v>PAQ30a32</v>
          </cell>
          <cell r="G4262" t="str">
            <v>B</v>
          </cell>
          <cell r="H4262">
            <v>0</v>
          </cell>
        </row>
        <row r="4263">
          <cell r="A4263" t="str">
            <v>1;07;IC;B;PAQ32a34</v>
          </cell>
          <cell r="B4263">
            <v>730069</v>
          </cell>
          <cell r="C4263" t="str">
            <v>IC</v>
          </cell>
          <cell r="D4263" t="str">
            <v>INTER CANARIAS</v>
          </cell>
          <cell r="E4263" t="str">
            <v>07</v>
          </cell>
          <cell r="F4263" t="str">
            <v>PAQ32a34</v>
          </cell>
          <cell r="G4263" t="str">
            <v>B</v>
          </cell>
          <cell r="H4263">
            <v>0</v>
          </cell>
        </row>
        <row r="4264">
          <cell r="A4264" t="str">
            <v>1;07;IC;B;PAQ34a36</v>
          </cell>
          <cell r="B4264">
            <v>730069</v>
          </cell>
          <cell r="C4264" t="str">
            <v>IC</v>
          </cell>
          <cell r="D4264" t="str">
            <v>INTER CANARIAS</v>
          </cell>
          <cell r="E4264" t="str">
            <v>07</v>
          </cell>
          <cell r="F4264" t="str">
            <v>PAQ34a36</v>
          </cell>
          <cell r="G4264" t="str">
            <v>B</v>
          </cell>
          <cell r="H4264">
            <v>0</v>
          </cell>
        </row>
        <row r="4265">
          <cell r="A4265" t="str">
            <v>1;07;IC;B;PAQ36a38</v>
          </cell>
          <cell r="B4265">
            <v>730069</v>
          </cell>
          <cell r="C4265" t="str">
            <v>IC</v>
          </cell>
          <cell r="D4265" t="str">
            <v>INTER CANARIAS</v>
          </cell>
          <cell r="E4265" t="str">
            <v>07</v>
          </cell>
          <cell r="F4265" t="str">
            <v>PAQ36a38</v>
          </cell>
          <cell r="G4265" t="str">
            <v>B</v>
          </cell>
          <cell r="H4265">
            <v>0</v>
          </cell>
        </row>
        <row r="4266">
          <cell r="A4266" t="str">
            <v>1;07;IC;B;PAQ38a40</v>
          </cell>
          <cell r="B4266">
            <v>730069</v>
          </cell>
          <cell r="C4266" t="str">
            <v>IC</v>
          </cell>
          <cell r="D4266" t="str">
            <v>INTER CANARIAS</v>
          </cell>
          <cell r="E4266" t="str">
            <v>07</v>
          </cell>
          <cell r="F4266" t="str">
            <v>PAQ38a40</v>
          </cell>
          <cell r="G4266" t="str">
            <v>B</v>
          </cell>
          <cell r="H4266">
            <v>0</v>
          </cell>
        </row>
        <row r="4267">
          <cell r="A4267" t="str">
            <v>1;07;IC;F;</v>
          </cell>
          <cell r="B4267">
            <v>730069</v>
          </cell>
          <cell r="C4267" t="str">
            <v>IC</v>
          </cell>
          <cell r="D4267" t="str">
            <v>INTER CANARIAS</v>
          </cell>
          <cell r="E4267" t="str">
            <v>07</v>
          </cell>
          <cell r="F4267" t="str">
            <v/>
          </cell>
          <cell r="G4267" t="str">
            <v>F</v>
          </cell>
          <cell r="H4267">
            <v>0</v>
          </cell>
        </row>
        <row r="4268">
          <cell r="A4268" t="str">
            <v>1;07;IC;E;</v>
          </cell>
          <cell r="B4268">
            <v>730069</v>
          </cell>
          <cell r="C4268" t="str">
            <v>IC</v>
          </cell>
          <cell r="D4268" t="str">
            <v>INTER CANARIAS</v>
          </cell>
          <cell r="E4268" t="str">
            <v>07</v>
          </cell>
          <cell r="F4268" t="str">
            <v/>
          </cell>
          <cell r="G4268" t="str">
            <v>E</v>
          </cell>
          <cell r="H4268">
            <v>0</v>
          </cell>
        </row>
        <row r="4269">
          <cell r="A4269" t="str">
            <v>1;07;IC;P;</v>
          </cell>
          <cell r="B4269">
            <v>730069</v>
          </cell>
          <cell r="C4269" t="str">
            <v>IC</v>
          </cell>
          <cell r="D4269" t="str">
            <v>INTER CANARIAS</v>
          </cell>
          <cell r="E4269" t="str">
            <v>07</v>
          </cell>
          <cell r="F4269" t="str">
            <v/>
          </cell>
          <cell r="G4269" t="str">
            <v>P</v>
          </cell>
          <cell r="H4269">
            <v>0</v>
          </cell>
        </row>
        <row r="4270">
          <cell r="A4270" t="str">
            <v>1;08;IC;B;BAG</v>
          </cell>
          <cell r="B4270">
            <v>730069</v>
          </cell>
          <cell r="C4270" t="str">
            <v>IC</v>
          </cell>
          <cell r="D4270" t="str">
            <v>INTER CANARIAS</v>
          </cell>
          <cell r="E4270" t="str">
            <v>08</v>
          </cell>
          <cell r="F4270" t="str">
            <v>BAG</v>
          </cell>
          <cell r="G4270" t="str">
            <v>B</v>
          </cell>
          <cell r="H4270">
            <v>8.43</v>
          </cell>
        </row>
        <row r="4271">
          <cell r="A4271" t="str">
            <v>1;08;IC;B;DOCS</v>
          </cell>
          <cell r="B4271">
            <v>730069</v>
          </cell>
          <cell r="C4271" t="str">
            <v>IC</v>
          </cell>
          <cell r="D4271" t="str">
            <v>INTER CANARIAS</v>
          </cell>
          <cell r="E4271" t="str">
            <v>08</v>
          </cell>
          <cell r="F4271" t="str">
            <v>DOCS</v>
          </cell>
          <cell r="G4271" t="str">
            <v>B</v>
          </cell>
          <cell r="H4271">
            <v>7.84</v>
          </cell>
        </row>
        <row r="4272">
          <cell r="A4272" t="str">
            <v>1;08;IC;B;PAQ00a02</v>
          </cell>
          <cell r="B4272">
            <v>730069</v>
          </cell>
          <cell r="C4272" t="str">
            <v>IC</v>
          </cell>
          <cell r="D4272" t="str">
            <v>INTER CANARIAS</v>
          </cell>
          <cell r="E4272" t="str">
            <v>08</v>
          </cell>
          <cell r="F4272" t="str">
            <v>PAQ00a02</v>
          </cell>
          <cell r="G4272" t="str">
            <v>B</v>
          </cell>
          <cell r="H4272">
            <v>10.5</v>
          </cell>
        </row>
        <row r="4273">
          <cell r="A4273" t="str">
            <v>1;08;IC;B;PAQ02a04</v>
          </cell>
          <cell r="B4273">
            <v>730069</v>
          </cell>
          <cell r="C4273" t="str">
            <v>IC</v>
          </cell>
          <cell r="D4273" t="str">
            <v>INTER CANARIAS</v>
          </cell>
          <cell r="E4273" t="str">
            <v>08</v>
          </cell>
          <cell r="F4273" t="str">
            <v>PAQ02a04</v>
          </cell>
          <cell r="G4273" t="str">
            <v>B</v>
          </cell>
          <cell r="H4273">
            <v>15.08</v>
          </cell>
        </row>
        <row r="4274">
          <cell r="A4274" t="str">
            <v>1;08;IC;B;PAQ04a06</v>
          </cell>
          <cell r="B4274">
            <v>730069</v>
          </cell>
          <cell r="C4274" t="str">
            <v>IC</v>
          </cell>
          <cell r="D4274" t="str">
            <v>INTER CANARIAS</v>
          </cell>
          <cell r="E4274" t="str">
            <v>08</v>
          </cell>
          <cell r="F4274" t="str">
            <v>PAQ04a06</v>
          </cell>
          <cell r="G4274" t="str">
            <v>B</v>
          </cell>
          <cell r="H4274">
            <v>18.649999999999999</v>
          </cell>
        </row>
        <row r="4275">
          <cell r="A4275" t="str">
            <v>1;08;IC;B;PAQ06a08</v>
          </cell>
          <cell r="B4275">
            <v>730069</v>
          </cell>
          <cell r="C4275" t="str">
            <v>IC</v>
          </cell>
          <cell r="D4275" t="str">
            <v>INTER CANARIAS</v>
          </cell>
          <cell r="E4275" t="str">
            <v>08</v>
          </cell>
          <cell r="F4275" t="str">
            <v>PAQ06a08</v>
          </cell>
          <cell r="G4275" t="str">
            <v>B</v>
          </cell>
          <cell r="H4275">
            <v>22.21</v>
          </cell>
        </row>
        <row r="4276">
          <cell r="A4276" t="str">
            <v>1;08;IC;B;PAQ08a10</v>
          </cell>
          <cell r="B4276">
            <v>730069</v>
          </cell>
          <cell r="C4276" t="str">
            <v>IC</v>
          </cell>
          <cell r="D4276" t="str">
            <v>INTER CANARIAS</v>
          </cell>
          <cell r="E4276" t="str">
            <v>08</v>
          </cell>
          <cell r="F4276" t="str">
            <v>PAQ08a10</v>
          </cell>
          <cell r="G4276" t="str">
            <v>B</v>
          </cell>
          <cell r="H4276">
            <v>25.77</v>
          </cell>
        </row>
        <row r="4277">
          <cell r="A4277" t="str">
            <v>1;08;IC;B;PAQ10a12</v>
          </cell>
          <cell r="B4277">
            <v>730069</v>
          </cell>
          <cell r="C4277" t="str">
            <v>IC</v>
          </cell>
          <cell r="D4277" t="str">
            <v>INTER CANARIAS</v>
          </cell>
          <cell r="E4277" t="str">
            <v>08</v>
          </cell>
          <cell r="F4277" t="str">
            <v>PAQ10a12</v>
          </cell>
          <cell r="G4277" t="str">
            <v>B</v>
          </cell>
          <cell r="H4277">
            <v>29.33</v>
          </cell>
        </row>
        <row r="4278">
          <cell r="A4278" t="str">
            <v>1;08;IC;B;PAQ12a14</v>
          </cell>
          <cell r="B4278">
            <v>730069</v>
          </cell>
          <cell r="C4278" t="str">
            <v>IC</v>
          </cell>
          <cell r="D4278" t="str">
            <v>INTER CANARIAS</v>
          </cell>
          <cell r="E4278" t="str">
            <v>08</v>
          </cell>
          <cell r="F4278" t="str">
            <v>PAQ12a14</v>
          </cell>
          <cell r="G4278" t="str">
            <v>B</v>
          </cell>
          <cell r="H4278">
            <v>32.89</v>
          </cell>
        </row>
        <row r="4279">
          <cell r="A4279" t="str">
            <v>1;08;IC;B;PAQ14a16</v>
          </cell>
          <cell r="B4279">
            <v>730069</v>
          </cell>
          <cell r="C4279" t="str">
            <v>IC</v>
          </cell>
          <cell r="D4279" t="str">
            <v>INTER CANARIAS</v>
          </cell>
          <cell r="E4279" t="str">
            <v>08</v>
          </cell>
          <cell r="F4279" t="str">
            <v>PAQ14a16</v>
          </cell>
          <cell r="G4279" t="str">
            <v>B</v>
          </cell>
          <cell r="H4279">
            <v>36.450000000000003</v>
          </cell>
        </row>
        <row r="4280">
          <cell r="A4280" t="str">
            <v>1;08;IC;B;PAQ16a18</v>
          </cell>
          <cell r="B4280">
            <v>730069</v>
          </cell>
          <cell r="C4280" t="str">
            <v>IC</v>
          </cell>
          <cell r="D4280" t="str">
            <v>INTER CANARIAS</v>
          </cell>
          <cell r="E4280" t="str">
            <v>08</v>
          </cell>
          <cell r="F4280" t="str">
            <v>PAQ16a18</v>
          </cell>
          <cell r="G4280" t="str">
            <v>B</v>
          </cell>
          <cell r="H4280">
            <v>40.01</v>
          </cell>
        </row>
        <row r="4281">
          <cell r="A4281" t="str">
            <v>1;08;IC;B;PAQ18a20</v>
          </cell>
          <cell r="B4281">
            <v>730069</v>
          </cell>
          <cell r="C4281" t="str">
            <v>IC</v>
          </cell>
          <cell r="D4281" t="str">
            <v>INTER CANARIAS</v>
          </cell>
          <cell r="E4281" t="str">
            <v>08</v>
          </cell>
          <cell r="F4281" t="str">
            <v>PAQ18a20</v>
          </cell>
          <cell r="G4281" t="str">
            <v>B</v>
          </cell>
          <cell r="H4281">
            <v>43.58</v>
          </cell>
        </row>
        <row r="4282">
          <cell r="A4282" t="str">
            <v>1;08;IC;B;PAQ20a22</v>
          </cell>
          <cell r="B4282">
            <v>730069</v>
          </cell>
          <cell r="C4282" t="str">
            <v>IC</v>
          </cell>
          <cell r="D4282" t="str">
            <v>INTER CANARIAS</v>
          </cell>
          <cell r="E4282" t="str">
            <v>08</v>
          </cell>
          <cell r="F4282" t="str">
            <v>PAQ20a22</v>
          </cell>
          <cell r="G4282" t="str">
            <v>B</v>
          </cell>
          <cell r="H4282">
            <v>47.13</v>
          </cell>
        </row>
        <row r="4283">
          <cell r="A4283" t="str">
            <v>1;08;IC;B;PAQ22a24</v>
          </cell>
          <cell r="B4283">
            <v>730069</v>
          </cell>
          <cell r="C4283" t="str">
            <v>IC</v>
          </cell>
          <cell r="D4283" t="str">
            <v>INTER CANARIAS</v>
          </cell>
          <cell r="E4283" t="str">
            <v>08</v>
          </cell>
          <cell r="F4283" t="str">
            <v>PAQ22a24</v>
          </cell>
          <cell r="G4283" t="str">
            <v>B</v>
          </cell>
          <cell r="H4283">
            <v>50.69</v>
          </cell>
        </row>
        <row r="4284">
          <cell r="A4284" t="str">
            <v>1;08;IC;B;PAQ24a26</v>
          </cell>
          <cell r="B4284">
            <v>730069</v>
          </cell>
          <cell r="C4284" t="str">
            <v>IC</v>
          </cell>
          <cell r="D4284" t="str">
            <v>INTER CANARIAS</v>
          </cell>
          <cell r="E4284" t="str">
            <v>08</v>
          </cell>
          <cell r="F4284" t="str">
            <v>PAQ24a26</v>
          </cell>
          <cell r="G4284" t="str">
            <v>B</v>
          </cell>
          <cell r="H4284">
            <v>54.25</v>
          </cell>
        </row>
        <row r="4285">
          <cell r="A4285" t="str">
            <v>1;08;IC;B;PAQ26a28</v>
          </cell>
          <cell r="B4285">
            <v>730069</v>
          </cell>
          <cell r="C4285" t="str">
            <v>IC</v>
          </cell>
          <cell r="D4285" t="str">
            <v>INTER CANARIAS</v>
          </cell>
          <cell r="E4285" t="str">
            <v>08</v>
          </cell>
          <cell r="F4285" t="str">
            <v>PAQ26a28</v>
          </cell>
          <cell r="G4285" t="str">
            <v>B</v>
          </cell>
          <cell r="H4285">
            <v>57.81</v>
          </cell>
        </row>
        <row r="4286">
          <cell r="A4286" t="str">
            <v>1;08;IC;B;PAQ28a30</v>
          </cell>
          <cell r="B4286">
            <v>730069</v>
          </cell>
          <cell r="C4286" t="str">
            <v>IC</v>
          </cell>
          <cell r="D4286" t="str">
            <v>INTER CANARIAS</v>
          </cell>
          <cell r="E4286" t="str">
            <v>08</v>
          </cell>
          <cell r="F4286" t="str">
            <v>PAQ28a30</v>
          </cell>
          <cell r="G4286" t="str">
            <v>B</v>
          </cell>
          <cell r="H4286">
            <v>61.37</v>
          </cell>
        </row>
        <row r="4287">
          <cell r="A4287" t="str">
            <v>1;08;IC;B;PAQ30a32</v>
          </cell>
          <cell r="B4287">
            <v>730069</v>
          </cell>
          <cell r="C4287" t="str">
            <v>IC</v>
          </cell>
          <cell r="D4287" t="str">
            <v>INTER CANARIAS</v>
          </cell>
          <cell r="E4287" t="str">
            <v>08</v>
          </cell>
          <cell r="F4287" t="str">
            <v>PAQ30a32</v>
          </cell>
          <cell r="G4287" t="str">
            <v>B</v>
          </cell>
          <cell r="H4287">
            <v>64.94</v>
          </cell>
        </row>
        <row r="4288">
          <cell r="A4288" t="str">
            <v>1;08;IC;B;PAQ32a34</v>
          </cell>
          <cell r="B4288">
            <v>730069</v>
          </cell>
          <cell r="C4288" t="str">
            <v>IC</v>
          </cell>
          <cell r="D4288" t="str">
            <v>INTER CANARIAS</v>
          </cell>
          <cell r="E4288" t="str">
            <v>08</v>
          </cell>
          <cell r="F4288" t="str">
            <v>PAQ32a34</v>
          </cell>
          <cell r="G4288" t="str">
            <v>B</v>
          </cell>
          <cell r="H4288">
            <v>68.5</v>
          </cell>
        </row>
        <row r="4289">
          <cell r="A4289" t="str">
            <v>1;08;IC;B;PAQ34a36</v>
          </cell>
          <cell r="B4289">
            <v>730069</v>
          </cell>
          <cell r="C4289" t="str">
            <v>IC</v>
          </cell>
          <cell r="D4289" t="str">
            <v>INTER CANARIAS</v>
          </cell>
          <cell r="E4289" t="str">
            <v>08</v>
          </cell>
          <cell r="F4289" t="str">
            <v>PAQ34a36</v>
          </cell>
          <cell r="G4289" t="str">
            <v>B</v>
          </cell>
          <cell r="H4289">
            <v>72.06</v>
          </cell>
        </row>
        <row r="4290">
          <cell r="A4290" t="str">
            <v>1;08;IC;B;PAQ36a38</v>
          </cell>
          <cell r="B4290">
            <v>730069</v>
          </cell>
          <cell r="C4290" t="str">
            <v>IC</v>
          </cell>
          <cell r="D4290" t="str">
            <v>INTER CANARIAS</v>
          </cell>
          <cell r="E4290" t="str">
            <v>08</v>
          </cell>
          <cell r="F4290" t="str">
            <v>PAQ36a38</v>
          </cell>
          <cell r="G4290" t="str">
            <v>B</v>
          </cell>
          <cell r="H4290">
            <v>75.62</v>
          </cell>
        </row>
        <row r="4291">
          <cell r="A4291" t="str">
            <v>1;08;IC;B;PAQ38a40</v>
          </cell>
          <cell r="B4291">
            <v>730069</v>
          </cell>
          <cell r="C4291" t="str">
            <v>IC</v>
          </cell>
          <cell r="D4291" t="str">
            <v>INTER CANARIAS</v>
          </cell>
          <cell r="E4291" t="str">
            <v>08</v>
          </cell>
          <cell r="F4291" t="str">
            <v>PAQ38a40</v>
          </cell>
          <cell r="G4291" t="str">
            <v>B</v>
          </cell>
          <cell r="H4291">
            <v>79.180000000000007</v>
          </cell>
        </row>
        <row r="4292">
          <cell r="A4292" t="str">
            <v>1;08;IC;F;</v>
          </cell>
          <cell r="B4292">
            <v>730069</v>
          </cell>
          <cell r="C4292" t="str">
            <v>IC</v>
          </cell>
          <cell r="D4292" t="str">
            <v>INTER CANARIAS</v>
          </cell>
          <cell r="E4292" t="str">
            <v>08</v>
          </cell>
          <cell r="F4292" t="str">
            <v/>
          </cell>
          <cell r="G4292" t="str">
            <v>F</v>
          </cell>
          <cell r="H4292">
            <v>3.56</v>
          </cell>
        </row>
        <row r="4293">
          <cell r="A4293" t="str">
            <v>1;08;IC;E;</v>
          </cell>
          <cell r="B4293">
            <v>730069</v>
          </cell>
          <cell r="C4293" t="str">
            <v>IC</v>
          </cell>
          <cell r="D4293" t="str">
            <v>INTER CANARIAS</v>
          </cell>
          <cell r="E4293" t="str">
            <v>08</v>
          </cell>
          <cell r="F4293" t="str">
            <v/>
          </cell>
          <cell r="G4293" t="str">
            <v>E</v>
          </cell>
          <cell r="H4293">
            <v>0</v>
          </cell>
        </row>
        <row r="4294">
          <cell r="A4294" t="str">
            <v>1;08;IC;P;</v>
          </cell>
          <cell r="B4294">
            <v>730069</v>
          </cell>
          <cell r="C4294" t="str">
            <v>IC</v>
          </cell>
          <cell r="D4294" t="str">
            <v>INTER CANARIAS</v>
          </cell>
          <cell r="E4294" t="str">
            <v>08</v>
          </cell>
          <cell r="F4294" t="str">
            <v/>
          </cell>
          <cell r="G4294" t="str">
            <v>P</v>
          </cell>
          <cell r="H4294">
            <v>0</v>
          </cell>
        </row>
        <row r="4295">
          <cell r="A4295" t="str">
            <v>1;10;IC;B;BAG</v>
          </cell>
          <cell r="B4295">
            <v>730069</v>
          </cell>
          <cell r="C4295" t="str">
            <v>IC</v>
          </cell>
          <cell r="D4295" t="str">
            <v>INTER CANARIAS</v>
          </cell>
          <cell r="E4295" t="str">
            <v>10</v>
          </cell>
          <cell r="F4295" t="str">
            <v>BAG</v>
          </cell>
          <cell r="G4295" t="str">
            <v>B</v>
          </cell>
          <cell r="H4295">
            <v>1.7</v>
          </cell>
        </row>
        <row r="4296">
          <cell r="A4296" t="str">
            <v>1;10;IC;B;DOCS</v>
          </cell>
          <cell r="B4296">
            <v>730069</v>
          </cell>
          <cell r="C4296" t="str">
            <v>IC</v>
          </cell>
          <cell r="D4296" t="str">
            <v>INTER CANARIAS</v>
          </cell>
          <cell r="E4296" t="str">
            <v>10</v>
          </cell>
          <cell r="F4296" t="str">
            <v>DOCS</v>
          </cell>
          <cell r="G4296" t="str">
            <v>B</v>
          </cell>
          <cell r="H4296">
            <v>1.7</v>
          </cell>
        </row>
        <row r="4297">
          <cell r="A4297" t="str">
            <v>1;14;IC;B;BAG</v>
          </cell>
          <cell r="B4297">
            <v>730069</v>
          </cell>
          <cell r="C4297" t="str">
            <v>IC</v>
          </cell>
          <cell r="D4297" t="str">
            <v>INTER CANARIAS</v>
          </cell>
          <cell r="E4297" t="str">
            <v>14</v>
          </cell>
          <cell r="F4297" t="str">
            <v>BAG</v>
          </cell>
          <cell r="G4297" t="str">
            <v>B</v>
          </cell>
          <cell r="H4297">
            <v>1.79</v>
          </cell>
        </row>
        <row r="4298">
          <cell r="A4298" t="str">
            <v>1;15;IC;B;BAG</v>
          </cell>
          <cell r="B4298">
            <v>730069</v>
          </cell>
          <cell r="C4298" t="str">
            <v>IC</v>
          </cell>
          <cell r="D4298" t="str">
            <v>INTER CANARIAS</v>
          </cell>
          <cell r="E4298" t="str">
            <v>15</v>
          </cell>
          <cell r="F4298" t="str">
            <v>BAG</v>
          </cell>
          <cell r="G4298" t="str">
            <v>B</v>
          </cell>
          <cell r="H4298">
            <v>1.79</v>
          </cell>
        </row>
        <row r="4299">
          <cell r="A4299" t="str">
            <v>1;21;IC;B;BAG</v>
          </cell>
          <cell r="B4299">
            <v>730069</v>
          </cell>
          <cell r="C4299" t="str">
            <v>IC</v>
          </cell>
          <cell r="D4299" t="str">
            <v>INTER CANARIAS</v>
          </cell>
          <cell r="E4299" t="str">
            <v>21</v>
          </cell>
          <cell r="F4299" t="str">
            <v>BAG</v>
          </cell>
          <cell r="G4299" t="str">
            <v>B</v>
          </cell>
          <cell r="H4299">
            <v>20.97</v>
          </cell>
        </row>
        <row r="4300">
          <cell r="A4300" t="str">
            <v>1;21;IC;B;DOCS</v>
          </cell>
          <cell r="B4300">
            <v>730069</v>
          </cell>
          <cell r="C4300" t="str">
            <v>IC</v>
          </cell>
          <cell r="D4300" t="str">
            <v>INTER CANARIAS</v>
          </cell>
          <cell r="E4300" t="str">
            <v>21</v>
          </cell>
          <cell r="F4300" t="str">
            <v>DOCS</v>
          </cell>
          <cell r="G4300" t="str">
            <v>B</v>
          </cell>
          <cell r="H4300">
            <v>20.97</v>
          </cell>
        </row>
        <row r="4301">
          <cell r="A4301" t="str">
            <v>1;21;IC;B;PAQ00a02</v>
          </cell>
          <cell r="B4301">
            <v>730069</v>
          </cell>
          <cell r="C4301" t="str">
            <v>IC</v>
          </cell>
          <cell r="D4301" t="str">
            <v>INTER CANARIAS</v>
          </cell>
          <cell r="E4301" t="str">
            <v>21</v>
          </cell>
          <cell r="F4301" t="str">
            <v>PAQ00a02</v>
          </cell>
          <cell r="G4301" t="str">
            <v>B</v>
          </cell>
          <cell r="H4301">
            <v>22.74</v>
          </cell>
        </row>
        <row r="4302">
          <cell r="A4302" t="str">
            <v>1;21;IC;B;PAQ02a04</v>
          </cell>
          <cell r="B4302">
            <v>730069</v>
          </cell>
          <cell r="C4302" t="str">
            <v>IC</v>
          </cell>
          <cell r="D4302" t="str">
            <v>INTER CANARIAS</v>
          </cell>
          <cell r="E4302" t="str">
            <v>21</v>
          </cell>
          <cell r="F4302" t="str">
            <v>PAQ02a04</v>
          </cell>
          <cell r="G4302" t="str">
            <v>B</v>
          </cell>
          <cell r="H4302">
            <v>32.81</v>
          </cell>
        </row>
        <row r="4303">
          <cell r="A4303" t="str">
            <v>1;21;IC;B;PAQ04a06</v>
          </cell>
          <cell r="B4303">
            <v>730069</v>
          </cell>
          <cell r="C4303" t="str">
            <v>IC</v>
          </cell>
          <cell r="D4303" t="str">
            <v>INTER CANARIAS</v>
          </cell>
          <cell r="E4303" t="str">
            <v>21</v>
          </cell>
          <cell r="F4303" t="str">
            <v>PAQ04a06</v>
          </cell>
          <cell r="G4303" t="str">
            <v>B</v>
          </cell>
          <cell r="H4303">
            <v>40.200000000000003</v>
          </cell>
        </row>
        <row r="4304">
          <cell r="A4304" t="str">
            <v>1;21;IC;B;PAQ06a08</v>
          </cell>
          <cell r="B4304">
            <v>730069</v>
          </cell>
          <cell r="C4304" t="str">
            <v>IC</v>
          </cell>
          <cell r="D4304" t="str">
            <v>INTER CANARIAS</v>
          </cell>
          <cell r="E4304" t="str">
            <v>21</v>
          </cell>
          <cell r="F4304" t="str">
            <v>PAQ06a08</v>
          </cell>
          <cell r="G4304" t="str">
            <v>B</v>
          </cell>
          <cell r="H4304">
            <v>47.61</v>
          </cell>
        </row>
        <row r="4305">
          <cell r="A4305" t="str">
            <v>1;21;IC;B;PAQ08a10</v>
          </cell>
          <cell r="B4305">
            <v>730069</v>
          </cell>
          <cell r="C4305" t="str">
            <v>IC</v>
          </cell>
          <cell r="D4305" t="str">
            <v>INTER CANARIAS</v>
          </cell>
          <cell r="E4305" t="str">
            <v>21</v>
          </cell>
          <cell r="F4305" t="str">
            <v>PAQ08a10</v>
          </cell>
          <cell r="G4305" t="str">
            <v>B</v>
          </cell>
          <cell r="H4305">
            <v>55</v>
          </cell>
        </row>
        <row r="4306">
          <cell r="A4306" t="str">
            <v>1;21;IC;B;PAQ10a12</v>
          </cell>
          <cell r="B4306">
            <v>730069</v>
          </cell>
          <cell r="C4306" t="str">
            <v>IC</v>
          </cell>
          <cell r="D4306" t="str">
            <v>INTER CANARIAS</v>
          </cell>
          <cell r="E4306" t="str">
            <v>21</v>
          </cell>
          <cell r="F4306" t="str">
            <v>PAQ10a12</v>
          </cell>
          <cell r="G4306" t="str">
            <v>B</v>
          </cell>
          <cell r="H4306">
            <v>62.4</v>
          </cell>
        </row>
        <row r="4307">
          <cell r="A4307" t="str">
            <v>1;21;IC;B;PAQ12a14</v>
          </cell>
          <cell r="B4307">
            <v>730069</v>
          </cell>
          <cell r="C4307" t="str">
            <v>IC</v>
          </cell>
          <cell r="D4307" t="str">
            <v>INTER CANARIAS</v>
          </cell>
          <cell r="E4307" t="str">
            <v>21</v>
          </cell>
          <cell r="F4307" t="str">
            <v>PAQ12a14</v>
          </cell>
          <cell r="G4307" t="str">
            <v>B</v>
          </cell>
          <cell r="H4307">
            <v>69.8</v>
          </cell>
        </row>
        <row r="4308">
          <cell r="A4308" t="str">
            <v>1;21;IC;B;PAQ14a16</v>
          </cell>
          <cell r="B4308">
            <v>730069</v>
          </cell>
          <cell r="C4308" t="str">
            <v>IC</v>
          </cell>
          <cell r="D4308" t="str">
            <v>INTER CANARIAS</v>
          </cell>
          <cell r="E4308" t="str">
            <v>21</v>
          </cell>
          <cell r="F4308" t="str">
            <v>PAQ14a16</v>
          </cell>
          <cell r="G4308" t="str">
            <v>B</v>
          </cell>
          <cell r="H4308">
            <v>77.2</v>
          </cell>
        </row>
        <row r="4309">
          <cell r="A4309" t="str">
            <v>1;21;IC;B;PAQ16a18</v>
          </cell>
          <cell r="B4309">
            <v>730069</v>
          </cell>
          <cell r="C4309" t="str">
            <v>IC</v>
          </cell>
          <cell r="D4309" t="str">
            <v>INTER CANARIAS</v>
          </cell>
          <cell r="E4309" t="str">
            <v>21</v>
          </cell>
          <cell r="F4309" t="str">
            <v>PAQ16a18</v>
          </cell>
          <cell r="G4309" t="str">
            <v>B</v>
          </cell>
          <cell r="H4309">
            <v>84.6</v>
          </cell>
        </row>
        <row r="4310">
          <cell r="A4310" t="str">
            <v>1;21;IC;B;PAQ18a20</v>
          </cell>
          <cell r="B4310">
            <v>730069</v>
          </cell>
          <cell r="C4310" t="str">
            <v>IC</v>
          </cell>
          <cell r="D4310" t="str">
            <v>INTER CANARIAS</v>
          </cell>
          <cell r="E4310" t="str">
            <v>21</v>
          </cell>
          <cell r="F4310" t="str">
            <v>PAQ18a20</v>
          </cell>
          <cell r="G4310" t="str">
            <v>B</v>
          </cell>
          <cell r="H4310">
            <v>91.99</v>
          </cell>
        </row>
        <row r="4311">
          <cell r="A4311" t="str">
            <v>1;21;IC;B;PAQ20a22</v>
          </cell>
          <cell r="B4311">
            <v>730069</v>
          </cell>
          <cell r="C4311" t="str">
            <v>IC</v>
          </cell>
          <cell r="D4311" t="str">
            <v>INTER CANARIAS</v>
          </cell>
          <cell r="E4311" t="str">
            <v>21</v>
          </cell>
          <cell r="F4311" t="str">
            <v>PAQ20a22</v>
          </cell>
          <cell r="G4311" t="str">
            <v>B</v>
          </cell>
          <cell r="H4311">
            <v>99.39</v>
          </cell>
        </row>
        <row r="4312">
          <cell r="A4312" t="str">
            <v>1;21;IC;B;PAQ22a24</v>
          </cell>
          <cell r="B4312">
            <v>730069</v>
          </cell>
          <cell r="C4312" t="str">
            <v>IC</v>
          </cell>
          <cell r="D4312" t="str">
            <v>INTER CANARIAS</v>
          </cell>
          <cell r="E4312" t="str">
            <v>21</v>
          </cell>
          <cell r="F4312" t="str">
            <v>PAQ22a24</v>
          </cell>
          <cell r="G4312" t="str">
            <v>B</v>
          </cell>
          <cell r="H4312">
            <v>106.79</v>
          </cell>
        </row>
        <row r="4313">
          <cell r="A4313" t="str">
            <v>1;21;IC;B;PAQ24a26</v>
          </cell>
          <cell r="B4313">
            <v>730069</v>
          </cell>
          <cell r="C4313" t="str">
            <v>IC</v>
          </cell>
          <cell r="D4313" t="str">
            <v>INTER CANARIAS</v>
          </cell>
          <cell r="E4313" t="str">
            <v>21</v>
          </cell>
          <cell r="F4313" t="str">
            <v>PAQ24a26</v>
          </cell>
          <cell r="G4313" t="str">
            <v>B</v>
          </cell>
          <cell r="H4313">
            <v>114.19</v>
          </cell>
        </row>
        <row r="4314">
          <cell r="A4314" t="str">
            <v>1;21;IC;B;PAQ26a28</v>
          </cell>
          <cell r="B4314">
            <v>730069</v>
          </cell>
          <cell r="C4314" t="str">
            <v>IC</v>
          </cell>
          <cell r="D4314" t="str">
            <v>INTER CANARIAS</v>
          </cell>
          <cell r="E4314" t="str">
            <v>21</v>
          </cell>
          <cell r="F4314" t="str">
            <v>PAQ26a28</v>
          </cell>
          <cell r="G4314" t="str">
            <v>B</v>
          </cell>
          <cell r="H4314">
            <v>121.58</v>
          </cell>
        </row>
        <row r="4315">
          <cell r="A4315" t="str">
            <v>1;21;IC;B;PAQ28a30</v>
          </cell>
          <cell r="B4315">
            <v>730069</v>
          </cell>
          <cell r="C4315" t="str">
            <v>IC</v>
          </cell>
          <cell r="D4315" t="str">
            <v>INTER CANARIAS</v>
          </cell>
          <cell r="E4315" t="str">
            <v>21</v>
          </cell>
          <cell r="F4315" t="str">
            <v>PAQ28a30</v>
          </cell>
          <cell r="G4315" t="str">
            <v>B</v>
          </cell>
          <cell r="H4315">
            <v>128.97999999999999</v>
          </cell>
        </row>
        <row r="4316">
          <cell r="A4316" t="str">
            <v>1;21;IC;B;PAQ30a32</v>
          </cell>
          <cell r="B4316">
            <v>730069</v>
          </cell>
          <cell r="C4316" t="str">
            <v>IC</v>
          </cell>
          <cell r="D4316" t="str">
            <v>INTER CANARIAS</v>
          </cell>
          <cell r="E4316" t="str">
            <v>21</v>
          </cell>
          <cell r="F4316" t="str">
            <v>PAQ30a32</v>
          </cell>
          <cell r="G4316" t="str">
            <v>B</v>
          </cell>
          <cell r="H4316">
            <v>136.38</v>
          </cell>
        </row>
        <row r="4317">
          <cell r="A4317" t="str">
            <v>1;21;IC;B;PAQ32a34</v>
          </cell>
          <cell r="B4317">
            <v>730069</v>
          </cell>
          <cell r="C4317" t="str">
            <v>IC</v>
          </cell>
          <cell r="D4317" t="str">
            <v>INTER CANARIAS</v>
          </cell>
          <cell r="E4317" t="str">
            <v>21</v>
          </cell>
          <cell r="F4317" t="str">
            <v>PAQ32a34</v>
          </cell>
          <cell r="G4317" t="str">
            <v>B</v>
          </cell>
          <cell r="H4317">
            <v>143.78</v>
          </cell>
        </row>
        <row r="4318">
          <cell r="A4318" t="str">
            <v>1;21;IC;B;PAQ34a36</v>
          </cell>
          <cell r="B4318">
            <v>730069</v>
          </cell>
          <cell r="C4318" t="str">
            <v>IC</v>
          </cell>
          <cell r="D4318" t="str">
            <v>INTER CANARIAS</v>
          </cell>
          <cell r="E4318" t="str">
            <v>21</v>
          </cell>
          <cell r="F4318" t="str">
            <v>PAQ34a36</v>
          </cell>
          <cell r="G4318" t="str">
            <v>B</v>
          </cell>
          <cell r="H4318">
            <v>151.18</v>
          </cell>
        </row>
        <row r="4319">
          <cell r="A4319" t="str">
            <v>1;21;IC;B;PAQ36a38</v>
          </cell>
          <cell r="B4319">
            <v>730069</v>
          </cell>
          <cell r="C4319" t="str">
            <v>IC</v>
          </cell>
          <cell r="D4319" t="str">
            <v>INTER CANARIAS</v>
          </cell>
          <cell r="E4319" t="str">
            <v>21</v>
          </cell>
          <cell r="F4319" t="str">
            <v>PAQ36a38</v>
          </cell>
          <cell r="G4319" t="str">
            <v>B</v>
          </cell>
          <cell r="H4319">
            <v>158.57</v>
          </cell>
        </row>
        <row r="4320">
          <cell r="A4320" t="str">
            <v>1;21;IC;B;PAQ38a40</v>
          </cell>
          <cell r="B4320">
            <v>730069</v>
          </cell>
          <cell r="C4320" t="str">
            <v>IC</v>
          </cell>
          <cell r="D4320" t="str">
            <v>INTER CANARIAS</v>
          </cell>
          <cell r="E4320" t="str">
            <v>21</v>
          </cell>
          <cell r="F4320" t="str">
            <v>PAQ38a40</v>
          </cell>
          <cell r="G4320" t="str">
            <v>B</v>
          </cell>
          <cell r="H4320">
            <v>165.97</v>
          </cell>
        </row>
        <row r="4321">
          <cell r="A4321" t="str">
            <v>1;21;IC;F;</v>
          </cell>
          <cell r="B4321">
            <v>730069</v>
          </cell>
          <cell r="C4321" t="str">
            <v>IC</v>
          </cell>
          <cell r="D4321" t="str">
            <v>INTER CANARIAS</v>
          </cell>
          <cell r="E4321" t="str">
            <v>21</v>
          </cell>
          <cell r="F4321" t="str">
            <v/>
          </cell>
          <cell r="G4321" t="str">
            <v>F</v>
          </cell>
          <cell r="H4321">
            <v>7.4</v>
          </cell>
        </row>
        <row r="4322">
          <cell r="A4322" t="str">
            <v>1;21;IC;E;</v>
          </cell>
          <cell r="B4322">
            <v>730069</v>
          </cell>
          <cell r="C4322" t="str">
            <v>IC</v>
          </cell>
          <cell r="D4322" t="str">
            <v>INTER CANARIAS</v>
          </cell>
          <cell r="E4322" t="str">
            <v>21</v>
          </cell>
          <cell r="F4322" t="str">
            <v/>
          </cell>
          <cell r="G4322" t="str">
            <v>E</v>
          </cell>
          <cell r="H4322">
            <v>0</v>
          </cell>
        </row>
        <row r="4323">
          <cell r="A4323" t="str">
            <v>1;21;IC;P;</v>
          </cell>
          <cell r="B4323">
            <v>730069</v>
          </cell>
          <cell r="C4323" t="str">
            <v>IC</v>
          </cell>
          <cell r="D4323" t="str">
            <v>INTER CANARIAS</v>
          </cell>
          <cell r="E4323" t="str">
            <v>21</v>
          </cell>
          <cell r="F4323" t="str">
            <v/>
          </cell>
          <cell r="G4323" t="str">
            <v>P</v>
          </cell>
          <cell r="H4323">
            <v>0</v>
          </cell>
        </row>
        <row r="4324">
          <cell r="A4324" t="str">
            <v>1;61;IC;B;BAG</v>
          </cell>
          <cell r="B4324">
            <v>730069</v>
          </cell>
          <cell r="C4324" t="str">
            <v>IC</v>
          </cell>
          <cell r="D4324" t="str">
            <v>INTER CANARIAS</v>
          </cell>
          <cell r="E4324" t="str">
            <v>61</v>
          </cell>
          <cell r="F4324" t="str">
            <v>BAG</v>
          </cell>
          <cell r="G4324" t="str">
            <v>B</v>
          </cell>
          <cell r="H4324">
            <v>18.18</v>
          </cell>
        </row>
        <row r="4325">
          <cell r="A4325" t="str">
            <v>1;61;IC;B;PAQ00a02</v>
          </cell>
          <cell r="B4325">
            <v>730069</v>
          </cell>
          <cell r="C4325" t="str">
            <v>IC</v>
          </cell>
          <cell r="D4325" t="str">
            <v>INTER CANARIAS</v>
          </cell>
          <cell r="E4325" t="str">
            <v>61</v>
          </cell>
          <cell r="F4325" t="str">
            <v>PAQ00a02</v>
          </cell>
          <cell r="G4325" t="str">
            <v>B</v>
          </cell>
          <cell r="H4325">
            <v>19.350000000000001</v>
          </cell>
        </row>
        <row r="4326">
          <cell r="A4326" t="str">
            <v>1;61;IC;B;PAQ02a04</v>
          </cell>
          <cell r="B4326">
            <v>730069</v>
          </cell>
          <cell r="C4326" t="str">
            <v>IC</v>
          </cell>
          <cell r="D4326" t="str">
            <v>INTER CANARIAS</v>
          </cell>
          <cell r="E4326" t="str">
            <v>61</v>
          </cell>
          <cell r="F4326" t="str">
            <v>PAQ02a04</v>
          </cell>
          <cell r="G4326" t="str">
            <v>B</v>
          </cell>
          <cell r="H4326">
            <v>32.659999999999997</v>
          </cell>
        </row>
        <row r="4327">
          <cell r="A4327" t="str">
            <v>1;61;IC;B;PAQ04a06</v>
          </cell>
          <cell r="B4327">
            <v>730069</v>
          </cell>
          <cell r="C4327" t="str">
            <v>IC</v>
          </cell>
          <cell r="D4327" t="str">
            <v>INTER CANARIAS</v>
          </cell>
          <cell r="E4327" t="str">
            <v>61</v>
          </cell>
          <cell r="F4327" t="str">
            <v>PAQ04a06</v>
          </cell>
          <cell r="G4327" t="str">
            <v>B</v>
          </cell>
          <cell r="H4327">
            <v>47.28</v>
          </cell>
        </row>
        <row r="4328">
          <cell r="A4328" t="str">
            <v>1;61;IC;B;PAQ06a08</v>
          </cell>
          <cell r="B4328">
            <v>730069</v>
          </cell>
          <cell r="C4328" t="str">
            <v>IC</v>
          </cell>
          <cell r="D4328" t="str">
            <v>INTER CANARIAS</v>
          </cell>
          <cell r="E4328" t="str">
            <v>61</v>
          </cell>
          <cell r="F4328" t="str">
            <v>PAQ06a08</v>
          </cell>
          <cell r="G4328" t="str">
            <v>B</v>
          </cell>
          <cell r="H4328">
            <v>61.92</v>
          </cell>
        </row>
        <row r="4329">
          <cell r="A4329" t="str">
            <v>1;61;IC;B;PAQ08a10</v>
          </cell>
          <cell r="B4329">
            <v>730069</v>
          </cell>
          <cell r="C4329" t="str">
            <v>IC</v>
          </cell>
          <cell r="D4329" t="str">
            <v>INTER CANARIAS</v>
          </cell>
          <cell r="E4329" t="str">
            <v>61</v>
          </cell>
          <cell r="F4329" t="str">
            <v>PAQ08a10</v>
          </cell>
          <cell r="G4329" t="str">
            <v>B</v>
          </cell>
          <cell r="H4329">
            <v>76.55</v>
          </cell>
        </row>
        <row r="4330">
          <cell r="A4330" t="str">
            <v>1;61;IC;B;PAQ10a12</v>
          </cell>
          <cell r="B4330">
            <v>730069</v>
          </cell>
          <cell r="C4330" t="str">
            <v>IC</v>
          </cell>
          <cell r="D4330" t="str">
            <v>INTER CANARIAS</v>
          </cell>
          <cell r="E4330" t="str">
            <v>61</v>
          </cell>
          <cell r="F4330" t="str">
            <v>PAQ10a12</v>
          </cell>
          <cell r="G4330" t="str">
            <v>B</v>
          </cell>
          <cell r="H4330">
            <v>91.18</v>
          </cell>
        </row>
        <row r="4331">
          <cell r="A4331" t="str">
            <v>1;61;IC;B;PAQ12a14</v>
          </cell>
          <cell r="B4331">
            <v>730069</v>
          </cell>
          <cell r="C4331" t="str">
            <v>IC</v>
          </cell>
          <cell r="D4331" t="str">
            <v>INTER CANARIAS</v>
          </cell>
          <cell r="E4331" t="str">
            <v>61</v>
          </cell>
          <cell r="F4331" t="str">
            <v>PAQ12a14</v>
          </cell>
          <cell r="G4331" t="str">
            <v>B</v>
          </cell>
          <cell r="H4331">
            <v>105.81</v>
          </cell>
        </row>
        <row r="4332">
          <cell r="A4332" t="str">
            <v>1;61;IC;B;PAQ14a16</v>
          </cell>
          <cell r="B4332">
            <v>730069</v>
          </cell>
          <cell r="C4332" t="str">
            <v>IC</v>
          </cell>
          <cell r="D4332" t="str">
            <v>INTER CANARIAS</v>
          </cell>
          <cell r="E4332" t="str">
            <v>61</v>
          </cell>
          <cell r="F4332" t="str">
            <v>PAQ14a16</v>
          </cell>
          <cell r="G4332" t="str">
            <v>B</v>
          </cell>
          <cell r="H4332">
            <v>120.44</v>
          </cell>
        </row>
        <row r="4333">
          <cell r="A4333" t="str">
            <v>1;61;IC;B;PAQ16a18</v>
          </cell>
          <cell r="B4333">
            <v>730069</v>
          </cell>
          <cell r="C4333" t="str">
            <v>IC</v>
          </cell>
          <cell r="D4333" t="str">
            <v>INTER CANARIAS</v>
          </cell>
          <cell r="E4333" t="str">
            <v>61</v>
          </cell>
          <cell r="F4333" t="str">
            <v>PAQ16a18</v>
          </cell>
          <cell r="G4333" t="str">
            <v>B</v>
          </cell>
          <cell r="H4333">
            <v>135.07</v>
          </cell>
        </row>
        <row r="4334">
          <cell r="A4334" t="str">
            <v>1;61;IC;B;PAQ18a20</v>
          </cell>
          <cell r="B4334">
            <v>730069</v>
          </cell>
          <cell r="C4334" t="str">
            <v>IC</v>
          </cell>
          <cell r="D4334" t="str">
            <v>INTER CANARIAS</v>
          </cell>
          <cell r="E4334" t="str">
            <v>61</v>
          </cell>
          <cell r="F4334" t="str">
            <v>PAQ18a20</v>
          </cell>
          <cell r="G4334" t="str">
            <v>B</v>
          </cell>
          <cell r="H4334">
            <v>149.69999999999999</v>
          </cell>
        </row>
        <row r="4335">
          <cell r="A4335" t="str">
            <v>1;61;IC;B;PAQ20a22</v>
          </cell>
          <cell r="B4335">
            <v>730069</v>
          </cell>
          <cell r="C4335" t="str">
            <v>IC</v>
          </cell>
          <cell r="D4335" t="str">
            <v>INTER CANARIAS</v>
          </cell>
          <cell r="E4335" t="str">
            <v>61</v>
          </cell>
          <cell r="F4335" t="str">
            <v>PAQ20a22</v>
          </cell>
          <cell r="G4335" t="str">
            <v>B</v>
          </cell>
          <cell r="H4335">
            <v>164.33</v>
          </cell>
        </row>
        <row r="4336">
          <cell r="A4336" t="str">
            <v>1;61;IC;B;PAQ22a24</v>
          </cell>
          <cell r="B4336">
            <v>730069</v>
          </cell>
          <cell r="C4336" t="str">
            <v>IC</v>
          </cell>
          <cell r="D4336" t="str">
            <v>INTER CANARIAS</v>
          </cell>
          <cell r="E4336" t="str">
            <v>61</v>
          </cell>
          <cell r="F4336" t="str">
            <v>PAQ22a24</v>
          </cell>
          <cell r="G4336" t="str">
            <v>B</v>
          </cell>
          <cell r="H4336">
            <v>178.96</v>
          </cell>
        </row>
        <row r="4337">
          <cell r="A4337" t="str">
            <v>1;61;IC;B;PAQ24a26</v>
          </cell>
          <cell r="B4337">
            <v>730069</v>
          </cell>
          <cell r="C4337" t="str">
            <v>IC</v>
          </cell>
          <cell r="D4337" t="str">
            <v>INTER CANARIAS</v>
          </cell>
          <cell r="E4337" t="str">
            <v>61</v>
          </cell>
          <cell r="F4337" t="str">
            <v>PAQ24a26</v>
          </cell>
          <cell r="G4337" t="str">
            <v>B</v>
          </cell>
          <cell r="H4337">
            <v>193.59</v>
          </cell>
        </row>
        <row r="4338">
          <cell r="A4338" t="str">
            <v>1;61;IC;B;PAQ26a28</v>
          </cell>
          <cell r="B4338">
            <v>730069</v>
          </cell>
          <cell r="C4338" t="str">
            <v>IC</v>
          </cell>
          <cell r="D4338" t="str">
            <v>INTER CANARIAS</v>
          </cell>
          <cell r="E4338" t="str">
            <v>61</v>
          </cell>
          <cell r="F4338" t="str">
            <v>PAQ26a28</v>
          </cell>
          <cell r="G4338" t="str">
            <v>B</v>
          </cell>
          <cell r="H4338">
            <v>208.22</v>
          </cell>
        </row>
        <row r="4339">
          <cell r="A4339" t="str">
            <v>1;61;IC;B;PAQ28a30</v>
          </cell>
          <cell r="B4339">
            <v>730069</v>
          </cell>
          <cell r="C4339" t="str">
            <v>IC</v>
          </cell>
          <cell r="D4339" t="str">
            <v>INTER CANARIAS</v>
          </cell>
          <cell r="E4339" t="str">
            <v>61</v>
          </cell>
          <cell r="F4339" t="str">
            <v>PAQ28a30</v>
          </cell>
          <cell r="G4339" t="str">
            <v>B</v>
          </cell>
          <cell r="H4339">
            <v>222.85</v>
          </cell>
        </row>
        <row r="4340">
          <cell r="A4340" t="str">
            <v>1;61;IC;B;PAQ30a32</v>
          </cell>
          <cell r="B4340">
            <v>730069</v>
          </cell>
          <cell r="C4340" t="str">
            <v>IC</v>
          </cell>
          <cell r="D4340" t="str">
            <v>INTER CANARIAS</v>
          </cell>
          <cell r="E4340" t="str">
            <v>61</v>
          </cell>
          <cell r="F4340" t="str">
            <v>PAQ30a32</v>
          </cell>
          <cell r="G4340" t="str">
            <v>B</v>
          </cell>
          <cell r="H4340">
            <v>237.48</v>
          </cell>
        </row>
        <row r="4341">
          <cell r="A4341" t="str">
            <v>1;61;IC;B;PAQ32a34</v>
          </cell>
          <cell r="B4341">
            <v>730069</v>
          </cell>
          <cell r="C4341" t="str">
            <v>IC</v>
          </cell>
          <cell r="D4341" t="str">
            <v>INTER CANARIAS</v>
          </cell>
          <cell r="E4341" t="str">
            <v>61</v>
          </cell>
          <cell r="F4341" t="str">
            <v>PAQ32a34</v>
          </cell>
          <cell r="G4341" t="str">
            <v>B</v>
          </cell>
          <cell r="H4341">
            <v>252.11</v>
          </cell>
        </row>
        <row r="4342">
          <cell r="A4342" t="str">
            <v>1;61;IC;B;PAQ34a36</v>
          </cell>
          <cell r="B4342">
            <v>730069</v>
          </cell>
          <cell r="C4342" t="str">
            <v>IC</v>
          </cell>
          <cell r="D4342" t="str">
            <v>INTER CANARIAS</v>
          </cell>
          <cell r="E4342" t="str">
            <v>61</v>
          </cell>
          <cell r="F4342" t="str">
            <v>PAQ34a36</v>
          </cell>
          <cell r="G4342" t="str">
            <v>B</v>
          </cell>
          <cell r="H4342">
            <v>266.74</v>
          </cell>
        </row>
        <row r="4343">
          <cell r="A4343" t="str">
            <v>1;61;IC;B;PAQ36a38</v>
          </cell>
          <cell r="B4343">
            <v>730069</v>
          </cell>
          <cell r="C4343" t="str">
            <v>IC</v>
          </cell>
          <cell r="D4343" t="str">
            <v>INTER CANARIAS</v>
          </cell>
          <cell r="E4343" t="str">
            <v>61</v>
          </cell>
          <cell r="F4343" t="str">
            <v>PAQ36a38</v>
          </cell>
          <cell r="G4343" t="str">
            <v>B</v>
          </cell>
          <cell r="H4343">
            <v>281.37</v>
          </cell>
        </row>
        <row r="4344">
          <cell r="A4344" t="str">
            <v>1;61;IC;B;PAQ38a40</v>
          </cell>
          <cell r="B4344">
            <v>730069</v>
          </cell>
          <cell r="C4344" t="str">
            <v>IC</v>
          </cell>
          <cell r="D4344" t="str">
            <v>INTER CANARIAS</v>
          </cell>
          <cell r="E4344" t="str">
            <v>61</v>
          </cell>
          <cell r="F4344" t="str">
            <v>PAQ38a40</v>
          </cell>
          <cell r="G4344" t="str">
            <v>B</v>
          </cell>
          <cell r="H4344">
            <v>296</v>
          </cell>
        </row>
        <row r="4345">
          <cell r="A4345" t="str">
            <v>1;61;IC;F;</v>
          </cell>
          <cell r="B4345">
            <v>730069</v>
          </cell>
          <cell r="C4345" t="str">
            <v>IC</v>
          </cell>
          <cell r="D4345" t="str">
            <v>INTER CANARIAS</v>
          </cell>
          <cell r="E4345" t="str">
            <v>61</v>
          </cell>
          <cell r="F4345" t="str">
            <v/>
          </cell>
          <cell r="G4345" t="str">
            <v>F</v>
          </cell>
          <cell r="H4345">
            <v>14.63</v>
          </cell>
        </row>
        <row r="4346">
          <cell r="A4346" t="str">
            <v>1;61;IC;E;</v>
          </cell>
          <cell r="B4346">
            <v>730069</v>
          </cell>
          <cell r="C4346" t="str">
            <v>IC</v>
          </cell>
          <cell r="D4346" t="str">
            <v>INTER CANARIAS</v>
          </cell>
          <cell r="E4346" t="str">
            <v>61</v>
          </cell>
          <cell r="F4346" t="str">
            <v/>
          </cell>
          <cell r="G4346" t="str">
            <v>E</v>
          </cell>
          <cell r="H4346">
            <v>0</v>
          </cell>
        </row>
        <row r="4347">
          <cell r="A4347" t="str">
            <v>1;61;IC;P;</v>
          </cell>
          <cell r="B4347">
            <v>730069</v>
          </cell>
          <cell r="C4347" t="str">
            <v>IC</v>
          </cell>
          <cell r="D4347" t="str">
            <v>INTER CANARIAS</v>
          </cell>
          <cell r="E4347" t="str">
            <v>61</v>
          </cell>
          <cell r="F4347" t="str">
            <v/>
          </cell>
          <cell r="G4347" t="str">
            <v>P</v>
          </cell>
          <cell r="H4347">
            <v>0</v>
          </cell>
        </row>
        <row r="4348">
          <cell r="A4348" t="str">
            <v>1;62;IC;B;BAG</v>
          </cell>
          <cell r="B4348">
            <v>730069</v>
          </cell>
          <cell r="C4348" t="str">
            <v>IC</v>
          </cell>
          <cell r="D4348" t="str">
            <v>INTER CANARIAS</v>
          </cell>
          <cell r="E4348" t="str">
            <v>62</v>
          </cell>
          <cell r="F4348" t="str">
            <v>BAG</v>
          </cell>
          <cell r="G4348" t="str">
            <v>B</v>
          </cell>
          <cell r="H4348">
            <v>15.03</v>
          </cell>
        </row>
        <row r="4349">
          <cell r="A4349" t="str">
            <v>1;62;IC;B;PAQ00a02</v>
          </cell>
          <cell r="B4349">
            <v>730069</v>
          </cell>
          <cell r="C4349" t="str">
            <v>IC</v>
          </cell>
          <cell r="D4349" t="str">
            <v>INTER CANARIAS</v>
          </cell>
          <cell r="E4349" t="str">
            <v>62</v>
          </cell>
          <cell r="F4349" t="str">
            <v>PAQ00a02</v>
          </cell>
          <cell r="G4349" t="str">
            <v>B</v>
          </cell>
          <cell r="H4349">
            <v>16.809999999999999</v>
          </cell>
        </row>
        <row r="4350">
          <cell r="A4350" t="str">
            <v>1;62;IC;B;PAQ02a04</v>
          </cell>
          <cell r="B4350">
            <v>730069</v>
          </cell>
          <cell r="C4350" t="str">
            <v>IC</v>
          </cell>
          <cell r="D4350" t="str">
            <v>INTER CANARIAS</v>
          </cell>
          <cell r="E4350" t="str">
            <v>62</v>
          </cell>
          <cell r="F4350" t="str">
            <v>PAQ02a04</v>
          </cell>
          <cell r="G4350" t="str">
            <v>B</v>
          </cell>
          <cell r="H4350">
            <v>26.87</v>
          </cell>
        </row>
        <row r="4351">
          <cell r="A4351" t="str">
            <v>1;62;IC;B;PAQ04a06</v>
          </cell>
          <cell r="B4351">
            <v>730069</v>
          </cell>
          <cell r="C4351" t="str">
            <v>IC</v>
          </cell>
          <cell r="D4351" t="str">
            <v>INTER CANARIAS</v>
          </cell>
          <cell r="E4351" t="str">
            <v>62</v>
          </cell>
          <cell r="F4351" t="str">
            <v>PAQ04a06</v>
          </cell>
          <cell r="G4351" t="str">
            <v>B</v>
          </cell>
          <cell r="H4351">
            <v>34.26</v>
          </cell>
        </row>
        <row r="4352">
          <cell r="A4352" t="str">
            <v>1;62;IC;B;PAQ06a08</v>
          </cell>
          <cell r="B4352">
            <v>730069</v>
          </cell>
          <cell r="C4352" t="str">
            <v>IC</v>
          </cell>
          <cell r="D4352" t="str">
            <v>INTER CANARIAS</v>
          </cell>
          <cell r="E4352" t="str">
            <v>62</v>
          </cell>
          <cell r="F4352" t="str">
            <v>PAQ06a08</v>
          </cell>
          <cell r="G4352" t="str">
            <v>B</v>
          </cell>
          <cell r="H4352">
            <v>41.66</v>
          </cell>
        </row>
        <row r="4353">
          <cell r="A4353" t="str">
            <v>1;62;IC;B;PAQ08a10</v>
          </cell>
          <cell r="B4353">
            <v>730069</v>
          </cell>
          <cell r="C4353" t="str">
            <v>IC</v>
          </cell>
          <cell r="D4353" t="str">
            <v>INTER CANARIAS</v>
          </cell>
          <cell r="E4353" t="str">
            <v>62</v>
          </cell>
          <cell r="F4353" t="str">
            <v>PAQ08a10</v>
          </cell>
          <cell r="G4353" t="str">
            <v>B</v>
          </cell>
          <cell r="H4353">
            <v>49.07</v>
          </cell>
        </row>
        <row r="4354">
          <cell r="A4354" t="str">
            <v>1;62;IC;B;PAQ10a12</v>
          </cell>
          <cell r="B4354">
            <v>730069</v>
          </cell>
          <cell r="C4354" t="str">
            <v>IC</v>
          </cell>
          <cell r="D4354" t="str">
            <v>INTER CANARIAS</v>
          </cell>
          <cell r="E4354" t="str">
            <v>62</v>
          </cell>
          <cell r="F4354" t="str">
            <v>PAQ10a12</v>
          </cell>
          <cell r="G4354" t="str">
            <v>B</v>
          </cell>
          <cell r="H4354">
            <v>56.46</v>
          </cell>
        </row>
        <row r="4355">
          <cell r="A4355" t="str">
            <v>1;62;IC;B;PAQ12a14</v>
          </cell>
          <cell r="B4355">
            <v>730069</v>
          </cell>
          <cell r="C4355" t="str">
            <v>IC</v>
          </cell>
          <cell r="D4355" t="str">
            <v>INTER CANARIAS</v>
          </cell>
          <cell r="E4355" t="str">
            <v>62</v>
          </cell>
          <cell r="F4355" t="str">
            <v>PAQ12a14</v>
          </cell>
          <cell r="G4355" t="str">
            <v>B</v>
          </cell>
          <cell r="H4355">
            <v>63.86</v>
          </cell>
        </row>
        <row r="4356">
          <cell r="A4356" t="str">
            <v>1;62;IC;B;PAQ14a16</v>
          </cell>
          <cell r="B4356">
            <v>730069</v>
          </cell>
          <cell r="C4356" t="str">
            <v>IC</v>
          </cell>
          <cell r="D4356" t="str">
            <v>INTER CANARIAS</v>
          </cell>
          <cell r="E4356" t="str">
            <v>62</v>
          </cell>
          <cell r="F4356" t="str">
            <v>PAQ14a16</v>
          </cell>
          <cell r="G4356" t="str">
            <v>B</v>
          </cell>
          <cell r="H4356">
            <v>71.25</v>
          </cell>
        </row>
        <row r="4357">
          <cell r="A4357" t="str">
            <v>1;62;IC;B;PAQ16a18</v>
          </cell>
          <cell r="B4357">
            <v>730069</v>
          </cell>
          <cell r="C4357" t="str">
            <v>IC</v>
          </cell>
          <cell r="D4357" t="str">
            <v>INTER CANARIAS</v>
          </cell>
          <cell r="E4357" t="str">
            <v>62</v>
          </cell>
          <cell r="F4357" t="str">
            <v>PAQ16a18</v>
          </cell>
          <cell r="G4357" t="str">
            <v>B</v>
          </cell>
          <cell r="H4357">
            <v>78.66</v>
          </cell>
        </row>
        <row r="4358">
          <cell r="A4358" t="str">
            <v>1;62;IC;B;PAQ18a20</v>
          </cell>
          <cell r="B4358">
            <v>730069</v>
          </cell>
          <cell r="C4358" t="str">
            <v>IC</v>
          </cell>
          <cell r="D4358" t="str">
            <v>INTER CANARIAS</v>
          </cell>
          <cell r="E4358" t="str">
            <v>62</v>
          </cell>
          <cell r="F4358" t="str">
            <v>PAQ18a20</v>
          </cell>
          <cell r="G4358" t="str">
            <v>B</v>
          </cell>
          <cell r="H4358">
            <v>86.05</v>
          </cell>
        </row>
        <row r="4359">
          <cell r="A4359" t="str">
            <v>1;62;IC;B;PAQ20a22</v>
          </cell>
          <cell r="B4359">
            <v>730069</v>
          </cell>
          <cell r="C4359" t="str">
            <v>IC</v>
          </cell>
          <cell r="D4359" t="str">
            <v>INTER CANARIAS</v>
          </cell>
          <cell r="E4359" t="str">
            <v>62</v>
          </cell>
          <cell r="F4359" t="str">
            <v>PAQ20a22</v>
          </cell>
          <cell r="G4359" t="str">
            <v>B</v>
          </cell>
          <cell r="H4359">
            <v>93.45</v>
          </cell>
        </row>
        <row r="4360">
          <cell r="A4360" t="str">
            <v>1;62;IC;B;PAQ22a24</v>
          </cell>
          <cell r="B4360">
            <v>730069</v>
          </cell>
          <cell r="C4360" t="str">
            <v>IC</v>
          </cell>
          <cell r="D4360" t="str">
            <v>INTER CANARIAS</v>
          </cell>
          <cell r="E4360" t="str">
            <v>62</v>
          </cell>
          <cell r="F4360" t="str">
            <v>PAQ22a24</v>
          </cell>
          <cell r="G4360" t="str">
            <v>B</v>
          </cell>
          <cell r="H4360">
            <v>100.84</v>
          </cell>
        </row>
        <row r="4361">
          <cell r="A4361" t="str">
            <v>1;62;IC;B;PAQ24a26</v>
          </cell>
          <cell r="B4361">
            <v>730069</v>
          </cell>
          <cell r="C4361" t="str">
            <v>IC</v>
          </cell>
          <cell r="D4361" t="str">
            <v>INTER CANARIAS</v>
          </cell>
          <cell r="E4361" t="str">
            <v>62</v>
          </cell>
          <cell r="F4361" t="str">
            <v>PAQ24a26</v>
          </cell>
          <cell r="G4361" t="str">
            <v>B</v>
          </cell>
          <cell r="H4361">
            <v>108.24</v>
          </cell>
        </row>
        <row r="4362">
          <cell r="A4362" t="str">
            <v>1;62;IC;B;PAQ26a28</v>
          </cell>
          <cell r="B4362">
            <v>730069</v>
          </cell>
          <cell r="C4362" t="str">
            <v>IC</v>
          </cell>
          <cell r="D4362" t="str">
            <v>INTER CANARIAS</v>
          </cell>
          <cell r="E4362" t="str">
            <v>62</v>
          </cell>
          <cell r="F4362" t="str">
            <v>PAQ26a28</v>
          </cell>
          <cell r="G4362" t="str">
            <v>B</v>
          </cell>
          <cell r="H4362">
            <v>115.64</v>
          </cell>
        </row>
        <row r="4363">
          <cell r="A4363" t="str">
            <v>1;62;IC;B;PAQ28a30</v>
          </cell>
          <cell r="B4363">
            <v>730069</v>
          </cell>
          <cell r="C4363" t="str">
            <v>IC</v>
          </cell>
          <cell r="D4363" t="str">
            <v>INTER CANARIAS</v>
          </cell>
          <cell r="E4363" t="str">
            <v>62</v>
          </cell>
          <cell r="F4363" t="str">
            <v>PAQ28a30</v>
          </cell>
          <cell r="G4363" t="str">
            <v>B</v>
          </cell>
          <cell r="H4363">
            <v>123.04</v>
          </cell>
        </row>
        <row r="4364">
          <cell r="A4364" t="str">
            <v>1;62;IC;B;PAQ30a32</v>
          </cell>
          <cell r="B4364">
            <v>730069</v>
          </cell>
          <cell r="C4364" t="str">
            <v>IC</v>
          </cell>
          <cell r="D4364" t="str">
            <v>INTER CANARIAS</v>
          </cell>
          <cell r="E4364" t="str">
            <v>62</v>
          </cell>
          <cell r="F4364" t="str">
            <v>PAQ30a32</v>
          </cell>
          <cell r="G4364" t="str">
            <v>B</v>
          </cell>
          <cell r="H4364">
            <v>130.44</v>
          </cell>
        </row>
        <row r="4365">
          <cell r="A4365" t="str">
            <v>1;62;IC;B;PAQ32a34</v>
          </cell>
          <cell r="B4365">
            <v>730069</v>
          </cell>
          <cell r="C4365" t="str">
            <v>IC</v>
          </cell>
          <cell r="D4365" t="str">
            <v>INTER CANARIAS</v>
          </cell>
          <cell r="E4365" t="str">
            <v>62</v>
          </cell>
          <cell r="F4365" t="str">
            <v>PAQ32a34</v>
          </cell>
          <cell r="G4365" t="str">
            <v>B</v>
          </cell>
          <cell r="H4365">
            <v>137.83000000000001</v>
          </cell>
        </row>
        <row r="4366">
          <cell r="A4366" t="str">
            <v>1;62;IC;B;PAQ34a36</v>
          </cell>
          <cell r="B4366">
            <v>730069</v>
          </cell>
          <cell r="C4366" t="str">
            <v>IC</v>
          </cell>
          <cell r="D4366" t="str">
            <v>INTER CANARIAS</v>
          </cell>
          <cell r="E4366" t="str">
            <v>62</v>
          </cell>
          <cell r="F4366" t="str">
            <v>PAQ34a36</v>
          </cell>
          <cell r="G4366" t="str">
            <v>B</v>
          </cell>
          <cell r="H4366">
            <v>145.24</v>
          </cell>
        </row>
        <row r="4367">
          <cell r="A4367" t="str">
            <v>1;62;IC;B;PAQ36a38</v>
          </cell>
          <cell r="B4367">
            <v>730069</v>
          </cell>
          <cell r="C4367" t="str">
            <v>IC</v>
          </cell>
          <cell r="D4367" t="str">
            <v>INTER CANARIAS</v>
          </cell>
          <cell r="E4367" t="str">
            <v>62</v>
          </cell>
          <cell r="F4367" t="str">
            <v>PAQ36a38</v>
          </cell>
          <cell r="G4367" t="str">
            <v>B</v>
          </cell>
          <cell r="H4367">
            <v>152.63</v>
          </cell>
        </row>
        <row r="4368">
          <cell r="A4368" t="str">
            <v>1;62;IC;B;PAQ38a40</v>
          </cell>
          <cell r="B4368">
            <v>730069</v>
          </cell>
          <cell r="C4368" t="str">
            <v>IC</v>
          </cell>
          <cell r="D4368" t="str">
            <v>INTER CANARIAS</v>
          </cell>
          <cell r="E4368" t="str">
            <v>62</v>
          </cell>
          <cell r="F4368" t="str">
            <v>PAQ38a40</v>
          </cell>
          <cell r="G4368" t="str">
            <v>B</v>
          </cell>
          <cell r="H4368">
            <v>160.03</v>
          </cell>
        </row>
        <row r="4369">
          <cell r="A4369" t="str">
            <v>1;62;IC;F;</v>
          </cell>
          <cell r="B4369">
            <v>730069</v>
          </cell>
          <cell r="C4369" t="str">
            <v>IC</v>
          </cell>
          <cell r="D4369" t="str">
            <v>INTER CANARIAS</v>
          </cell>
          <cell r="E4369" t="str">
            <v>62</v>
          </cell>
          <cell r="F4369" t="str">
            <v/>
          </cell>
          <cell r="G4369" t="str">
            <v>F</v>
          </cell>
          <cell r="H4369">
            <v>7.4</v>
          </cell>
        </row>
        <row r="4370">
          <cell r="A4370" t="str">
            <v>1;62;IC;E;</v>
          </cell>
          <cell r="B4370">
            <v>730069</v>
          </cell>
          <cell r="C4370" t="str">
            <v>IC</v>
          </cell>
          <cell r="D4370" t="str">
            <v>INTER CANARIAS</v>
          </cell>
          <cell r="E4370" t="str">
            <v>62</v>
          </cell>
          <cell r="F4370" t="str">
            <v/>
          </cell>
          <cell r="G4370" t="str">
            <v>E</v>
          </cell>
          <cell r="H4370">
            <v>0</v>
          </cell>
        </row>
        <row r="4371">
          <cell r="A4371" t="str">
            <v>1;62;IC;P;</v>
          </cell>
          <cell r="B4371">
            <v>730069</v>
          </cell>
          <cell r="C4371" t="str">
            <v>IC</v>
          </cell>
          <cell r="D4371" t="str">
            <v>INTER CANARIAS</v>
          </cell>
          <cell r="E4371" t="str">
            <v>62</v>
          </cell>
          <cell r="F4371" t="str">
            <v/>
          </cell>
          <cell r="G4371" t="str">
            <v>P</v>
          </cell>
          <cell r="H4371">
            <v>0</v>
          </cell>
        </row>
        <row r="4372">
          <cell r="A4372" t="str">
            <v>1;63;IC;B;BAG</v>
          </cell>
          <cell r="B4372">
            <v>730069</v>
          </cell>
          <cell r="C4372" t="str">
            <v>IC</v>
          </cell>
          <cell r="D4372" t="str">
            <v>INTER CANARIAS</v>
          </cell>
          <cell r="E4372" t="str">
            <v>63</v>
          </cell>
          <cell r="F4372" t="str">
            <v>BAG</v>
          </cell>
          <cell r="G4372" t="str">
            <v>B</v>
          </cell>
          <cell r="H4372">
            <v>22.45</v>
          </cell>
        </row>
        <row r="4373">
          <cell r="A4373" t="str">
            <v>1;63;IC;B;PAQ00a02</v>
          </cell>
          <cell r="B4373">
            <v>730069</v>
          </cell>
          <cell r="C4373" t="str">
            <v>IC</v>
          </cell>
          <cell r="D4373" t="str">
            <v>INTER CANARIAS</v>
          </cell>
          <cell r="E4373" t="str">
            <v>63</v>
          </cell>
          <cell r="F4373" t="str">
            <v>PAQ00a02</v>
          </cell>
          <cell r="G4373" t="str">
            <v>B</v>
          </cell>
          <cell r="H4373">
            <v>24.23</v>
          </cell>
        </row>
        <row r="4374">
          <cell r="A4374" t="str">
            <v>1;63;IC;B;PAQ02a04</v>
          </cell>
          <cell r="B4374">
            <v>730069</v>
          </cell>
          <cell r="C4374" t="str">
            <v>IC</v>
          </cell>
          <cell r="D4374" t="str">
            <v>INTER CANARIAS</v>
          </cell>
          <cell r="E4374" t="str">
            <v>63</v>
          </cell>
          <cell r="F4374" t="str">
            <v>PAQ02a04</v>
          </cell>
          <cell r="G4374" t="str">
            <v>B</v>
          </cell>
          <cell r="H4374">
            <v>34.29</v>
          </cell>
        </row>
        <row r="4375">
          <cell r="A4375" t="str">
            <v>1;63;IC;B;PAQ04a06</v>
          </cell>
          <cell r="B4375">
            <v>730069</v>
          </cell>
          <cell r="C4375" t="str">
            <v>IC</v>
          </cell>
          <cell r="D4375" t="str">
            <v>INTER CANARIAS</v>
          </cell>
          <cell r="E4375" t="str">
            <v>63</v>
          </cell>
          <cell r="F4375" t="str">
            <v>PAQ04a06</v>
          </cell>
          <cell r="G4375" t="str">
            <v>B</v>
          </cell>
          <cell r="H4375">
            <v>41.69</v>
          </cell>
        </row>
        <row r="4376">
          <cell r="A4376" t="str">
            <v>1;63;IC;B;PAQ06a08</v>
          </cell>
          <cell r="B4376">
            <v>730069</v>
          </cell>
          <cell r="C4376" t="str">
            <v>IC</v>
          </cell>
          <cell r="D4376" t="str">
            <v>INTER CANARIAS</v>
          </cell>
          <cell r="E4376" t="str">
            <v>63</v>
          </cell>
          <cell r="F4376" t="str">
            <v>PAQ06a08</v>
          </cell>
          <cell r="G4376" t="str">
            <v>B</v>
          </cell>
          <cell r="H4376">
            <v>49.09</v>
          </cell>
        </row>
        <row r="4377">
          <cell r="A4377" t="str">
            <v>1;63;IC;B;PAQ08a10</v>
          </cell>
          <cell r="B4377">
            <v>730069</v>
          </cell>
          <cell r="C4377" t="str">
            <v>IC</v>
          </cell>
          <cell r="D4377" t="str">
            <v>INTER CANARIAS</v>
          </cell>
          <cell r="E4377" t="str">
            <v>63</v>
          </cell>
          <cell r="F4377" t="str">
            <v>PAQ08a10</v>
          </cell>
          <cell r="G4377" t="str">
            <v>B</v>
          </cell>
          <cell r="H4377">
            <v>56.48</v>
          </cell>
        </row>
        <row r="4378">
          <cell r="A4378" t="str">
            <v>1;63;IC;B;PAQ10a12</v>
          </cell>
          <cell r="B4378">
            <v>730069</v>
          </cell>
          <cell r="C4378" t="str">
            <v>IC</v>
          </cell>
          <cell r="D4378" t="str">
            <v>INTER CANARIAS</v>
          </cell>
          <cell r="E4378" t="str">
            <v>63</v>
          </cell>
          <cell r="F4378" t="str">
            <v>PAQ10a12</v>
          </cell>
          <cell r="G4378" t="str">
            <v>B</v>
          </cell>
          <cell r="H4378">
            <v>63.88</v>
          </cell>
        </row>
        <row r="4379">
          <cell r="A4379" t="str">
            <v>1;63;IC;B;PAQ12a14</v>
          </cell>
          <cell r="B4379">
            <v>730069</v>
          </cell>
          <cell r="C4379" t="str">
            <v>IC</v>
          </cell>
          <cell r="D4379" t="str">
            <v>INTER CANARIAS</v>
          </cell>
          <cell r="E4379" t="str">
            <v>63</v>
          </cell>
          <cell r="F4379" t="str">
            <v>PAQ12a14</v>
          </cell>
          <cell r="G4379" t="str">
            <v>B</v>
          </cell>
          <cell r="H4379">
            <v>71.27</v>
          </cell>
        </row>
        <row r="4380">
          <cell r="A4380" t="str">
            <v>1;63;IC;B;PAQ14a16</v>
          </cell>
          <cell r="B4380">
            <v>730069</v>
          </cell>
          <cell r="C4380" t="str">
            <v>IC</v>
          </cell>
          <cell r="D4380" t="str">
            <v>INTER CANARIAS</v>
          </cell>
          <cell r="E4380" t="str">
            <v>63</v>
          </cell>
          <cell r="F4380" t="str">
            <v>PAQ14a16</v>
          </cell>
          <cell r="G4380" t="str">
            <v>B</v>
          </cell>
          <cell r="H4380">
            <v>78.680000000000007</v>
          </cell>
        </row>
        <row r="4381">
          <cell r="A4381" t="str">
            <v>1;63;IC;B;PAQ16a18</v>
          </cell>
          <cell r="B4381">
            <v>730069</v>
          </cell>
          <cell r="C4381" t="str">
            <v>IC</v>
          </cell>
          <cell r="D4381" t="str">
            <v>INTER CANARIAS</v>
          </cell>
          <cell r="E4381" t="str">
            <v>63</v>
          </cell>
          <cell r="F4381" t="str">
            <v>PAQ16a18</v>
          </cell>
          <cell r="G4381" t="str">
            <v>B</v>
          </cell>
          <cell r="H4381">
            <v>86.07</v>
          </cell>
        </row>
        <row r="4382">
          <cell r="A4382" t="str">
            <v>1;63;IC;B;PAQ18a20</v>
          </cell>
          <cell r="B4382">
            <v>730069</v>
          </cell>
          <cell r="C4382" t="str">
            <v>IC</v>
          </cell>
          <cell r="D4382" t="str">
            <v>INTER CANARIAS</v>
          </cell>
          <cell r="E4382" t="str">
            <v>63</v>
          </cell>
          <cell r="F4382" t="str">
            <v>PAQ18a20</v>
          </cell>
          <cell r="G4382" t="str">
            <v>B</v>
          </cell>
          <cell r="H4382">
            <v>93.47</v>
          </cell>
        </row>
        <row r="4383">
          <cell r="A4383" t="str">
            <v>1;63;IC;B;PAQ20a22</v>
          </cell>
          <cell r="B4383">
            <v>730069</v>
          </cell>
          <cell r="C4383" t="str">
            <v>IC</v>
          </cell>
          <cell r="D4383" t="str">
            <v>INTER CANARIAS</v>
          </cell>
          <cell r="E4383" t="str">
            <v>63</v>
          </cell>
          <cell r="F4383" t="str">
            <v>PAQ20a22</v>
          </cell>
          <cell r="G4383" t="str">
            <v>B</v>
          </cell>
          <cell r="H4383">
            <v>100.86</v>
          </cell>
        </row>
        <row r="4384">
          <cell r="A4384" t="str">
            <v>1;63;IC;B;PAQ22a24</v>
          </cell>
          <cell r="B4384">
            <v>730069</v>
          </cell>
          <cell r="C4384" t="str">
            <v>IC</v>
          </cell>
          <cell r="D4384" t="str">
            <v>INTER CANARIAS</v>
          </cell>
          <cell r="E4384" t="str">
            <v>63</v>
          </cell>
          <cell r="F4384" t="str">
            <v>PAQ22a24</v>
          </cell>
          <cell r="G4384" t="str">
            <v>B</v>
          </cell>
          <cell r="H4384">
            <v>108.27</v>
          </cell>
        </row>
        <row r="4385">
          <cell r="A4385" t="str">
            <v>1;63;IC;B;PAQ24a26</v>
          </cell>
          <cell r="B4385">
            <v>730069</v>
          </cell>
          <cell r="C4385" t="str">
            <v>IC</v>
          </cell>
          <cell r="D4385" t="str">
            <v>INTER CANARIAS</v>
          </cell>
          <cell r="E4385" t="str">
            <v>63</v>
          </cell>
          <cell r="F4385" t="str">
            <v>PAQ24a26</v>
          </cell>
          <cell r="G4385" t="str">
            <v>B</v>
          </cell>
          <cell r="H4385">
            <v>115.67</v>
          </cell>
        </row>
        <row r="4386">
          <cell r="A4386" t="str">
            <v>1;63;IC;B;PAQ26a28</v>
          </cell>
          <cell r="B4386">
            <v>730069</v>
          </cell>
          <cell r="C4386" t="str">
            <v>IC</v>
          </cell>
          <cell r="D4386" t="str">
            <v>INTER CANARIAS</v>
          </cell>
          <cell r="E4386" t="str">
            <v>63</v>
          </cell>
          <cell r="F4386" t="str">
            <v>PAQ26a28</v>
          </cell>
          <cell r="G4386" t="str">
            <v>B</v>
          </cell>
          <cell r="H4386">
            <v>123.06</v>
          </cell>
        </row>
        <row r="4387">
          <cell r="A4387" t="str">
            <v>1;63;IC;B;PAQ28a30</v>
          </cell>
          <cell r="B4387">
            <v>730069</v>
          </cell>
          <cell r="C4387" t="str">
            <v>IC</v>
          </cell>
          <cell r="D4387" t="str">
            <v>INTER CANARIAS</v>
          </cell>
          <cell r="E4387" t="str">
            <v>63</v>
          </cell>
          <cell r="F4387" t="str">
            <v>PAQ28a30</v>
          </cell>
          <cell r="G4387" t="str">
            <v>B</v>
          </cell>
          <cell r="H4387">
            <v>130.46</v>
          </cell>
        </row>
        <row r="4388">
          <cell r="A4388" t="str">
            <v>1;63;IC;B;PAQ30a32</v>
          </cell>
          <cell r="B4388">
            <v>730069</v>
          </cell>
          <cell r="C4388" t="str">
            <v>IC</v>
          </cell>
          <cell r="D4388" t="str">
            <v>INTER CANARIAS</v>
          </cell>
          <cell r="E4388" t="str">
            <v>63</v>
          </cell>
          <cell r="F4388" t="str">
            <v>PAQ30a32</v>
          </cell>
          <cell r="G4388" t="str">
            <v>B</v>
          </cell>
          <cell r="H4388">
            <v>137.85</v>
          </cell>
        </row>
        <row r="4389">
          <cell r="A4389" t="str">
            <v>1;63;IC;B;PAQ32a34</v>
          </cell>
          <cell r="B4389">
            <v>730069</v>
          </cell>
          <cell r="C4389" t="str">
            <v>IC</v>
          </cell>
          <cell r="D4389" t="str">
            <v>INTER CANARIAS</v>
          </cell>
          <cell r="E4389" t="str">
            <v>63</v>
          </cell>
          <cell r="F4389" t="str">
            <v>PAQ32a34</v>
          </cell>
          <cell r="G4389" t="str">
            <v>B</v>
          </cell>
          <cell r="H4389">
            <v>145.26</v>
          </cell>
        </row>
        <row r="4390">
          <cell r="A4390" t="str">
            <v>1;63;IC;B;PAQ34a36</v>
          </cell>
          <cell r="B4390">
            <v>730069</v>
          </cell>
          <cell r="C4390" t="str">
            <v>IC</v>
          </cell>
          <cell r="D4390" t="str">
            <v>INTER CANARIAS</v>
          </cell>
          <cell r="E4390" t="str">
            <v>63</v>
          </cell>
          <cell r="F4390" t="str">
            <v>PAQ34a36</v>
          </cell>
          <cell r="G4390" t="str">
            <v>B</v>
          </cell>
          <cell r="H4390">
            <v>152.65</v>
          </cell>
        </row>
        <row r="4391">
          <cell r="A4391" t="str">
            <v>1;63;IC;B;PAQ36a38</v>
          </cell>
          <cell r="B4391">
            <v>730069</v>
          </cell>
          <cell r="C4391" t="str">
            <v>IC</v>
          </cell>
          <cell r="D4391" t="str">
            <v>INTER CANARIAS</v>
          </cell>
          <cell r="E4391" t="str">
            <v>63</v>
          </cell>
          <cell r="F4391" t="str">
            <v>PAQ36a38</v>
          </cell>
          <cell r="G4391" t="str">
            <v>B</v>
          </cell>
          <cell r="H4391">
            <v>160.05000000000001</v>
          </cell>
        </row>
        <row r="4392">
          <cell r="A4392" t="str">
            <v>1;63;IC;B;PAQ38a40</v>
          </cell>
          <cell r="B4392">
            <v>730069</v>
          </cell>
          <cell r="C4392" t="str">
            <v>IC</v>
          </cell>
          <cell r="D4392" t="str">
            <v>INTER CANARIAS</v>
          </cell>
          <cell r="E4392" t="str">
            <v>63</v>
          </cell>
          <cell r="F4392" t="str">
            <v>PAQ38a40</v>
          </cell>
          <cell r="G4392" t="str">
            <v>B</v>
          </cell>
          <cell r="H4392">
            <v>167.44</v>
          </cell>
        </row>
        <row r="4393">
          <cell r="A4393" t="str">
            <v>1;63;IC;F;</v>
          </cell>
          <cell r="B4393">
            <v>730069</v>
          </cell>
          <cell r="C4393" t="str">
            <v>IC</v>
          </cell>
          <cell r="D4393" t="str">
            <v>INTER CANARIAS</v>
          </cell>
          <cell r="E4393" t="str">
            <v>63</v>
          </cell>
          <cell r="F4393" t="str">
            <v/>
          </cell>
          <cell r="G4393" t="str">
            <v>F</v>
          </cell>
          <cell r="H4393">
            <v>7.4</v>
          </cell>
        </row>
        <row r="4394">
          <cell r="A4394" t="str">
            <v>1;63;IC;E;</v>
          </cell>
          <cell r="B4394">
            <v>730069</v>
          </cell>
          <cell r="C4394" t="str">
            <v>IC</v>
          </cell>
          <cell r="D4394" t="str">
            <v>INTER CANARIAS</v>
          </cell>
          <cell r="E4394" t="str">
            <v>63</v>
          </cell>
          <cell r="F4394" t="str">
            <v/>
          </cell>
          <cell r="G4394" t="str">
            <v>E</v>
          </cell>
          <cell r="H4394">
            <v>0</v>
          </cell>
        </row>
        <row r="4395">
          <cell r="A4395" t="str">
            <v>1;63;IC;P;</v>
          </cell>
          <cell r="B4395">
            <v>730069</v>
          </cell>
          <cell r="C4395" t="str">
            <v>IC</v>
          </cell>
          <cell r="D4395" t="str">
            <v>INTER CANARIAS</v>
          </cell>
          <cell r="E4395" t="str">
            <v>63</v>
          </cell>
          <cell r="F4395" t="str">
            <v/>
          </cell>
          <cell r="G4395" t="str">
            <v>P</v>
          </cell>
          <cell r="H4395">
            <v>0</v>
          </cell>
        </row>
        <row r="4396">
          <cell r="A4396" t="str">
            <v>1;72;IC;B;48LAR</v>
          </cell>
          <cell r="B4396">
            <v>730069</v>
          </cell>
          <cell r="C4396" t="str">
            <v>IC</v>
          </cell>
          <cell r="D4396" t="str">
            <v>INTER CANARIAS</v>
          </cell>
          <cell r="E4396" t="str">
            <v>72</v>
          </cell>
          <cell r="F4396" t="str">
            <v>48LAR</v>
          </cell>
          <cell r="G4396" t="str">
            <v>B</v>
          </cell>
          <cell r="H4396">
            <v>78.58</v>
          </cell>
        </row>
        <row r="4397">
          <cell r="A4397" t="str">
            <v>1;72;IC;B;48MED</v>
          </cell>
          <cell r="B4397">
            <v>730069</v>
          </cell>
          <cell r="C4397" t="str">
            <v>IC</v>
          </cell>
          <cell r="D4397" t="str">
            <v>INTER CANARIAS</v>
          </cell>
          <cell r="E4397" t="str">
            <v>72</v>
          </cell>
          <cell r="F4397" t="str">
            <v>48MED</v>
          </cell>
          <cell r="G4397" t="str">
            <v>B</v>
          </cell>
          <cell r="H4397">
            <v>48.74</v>
          </cell>
        </row>
        <row r="4398">
          <cell r="A4398" t="str">
            <v>1;72;IC;B;48SMA</v>
          </cell>
          <cell r="B4398">
            <v>730069</v>
          </cell>
          <cell r="C4398" t="str">
            <v>IC</v>
          </cell>
          <cell r="D4398" t="str">
            <v>INTER CANARIAS</v>
          </cell>
          <cell r="E4398" t="str">
            <v>72</v>
          </cell>
          <cell r="F4398" t="str">
            <v>48SMA</v>
          </cell>
          <cell r="G4398" t="str">
            <v>B</v>
          </cell>
          <cell r="H4398">
            <v>41.16</v>
          </cell>
        </row>
        <row r="4399">
          <cell r="A4399" t="str">
            <v>1;79;IC;B;48LAR</v>
          </cell>
          <cell r="B4399">
            <v>730069</v>
          </cell>
          <cell r="C4399" t="str">
            <v>IC</v>
          </cell>
          <cell r="D4399" t="str">
            <v>INTER CANARIAS</v>
          </cell>
          <cell r="E4399" t="str">
            <v>79</v>
          </cell>
          <cell r="F4399" t="str">
            <v>48LAR</v>
          </cell>
          <cell r="G4399" t="str">
            <v>B</v>
          </cell>
          <cell r="H4399">
            <v>0</v>
          </cell>
        </row>
        <row r="4400">
          <cell r="A4400" t="str">
            <v>1;79;IC;B;48MED</v>
          </cell>
          <cell r="B4400">
            <v>730069</v>
          </cell>
          <cell r="C4400" t="str">
            <v>IC</v>
          </cell>
          <cell r="D4400" t="str">
            <v>INTER CANARIAS</v>
          </cell>
          <cell r="E4400" t="str">
            <v>79</v>
          </cell>
          <cell r="F4400" t="str">
            <v>48MED</v>
          </cell>
          <cell r="G4400" t="str">
            <v>B</v>
          </cell>
          <cell r="H4400">
            <v>0</v>
          </cell>
        </row>
        <row r="4401">
          <cell r="A4401" t="str">
            <v>1;79;IC;B;48SMA</v>
          </cell>
          <cell r="B4401">
            <v>730069</v>
          </cell>
          <cell r="C4401" t="str">
            <v>IC</v>
          </cell>
          <cell r="D4401" t="str">
            <v>INTER CANARIAS</v>
          </cell>
          <cell r="E4401" t="str">
            <v>79</v>
          </cell>
          <cell r="F4401" t="str">
            <v>48SMA</v>
          </cell>
          <cell r="G4401" t="str">
            <v>B</v>
          </cell>
          <cell r="H4401">
            <v>0</v>
          </cell>
        </row>
        <row r="4402">
          <cell r="A4402" t="str">
            <v>1;01;II;B;BAG</v>
          </cell>
          <cell r="B4402">
            <v>730069</v>
          </cell>
          <cell r="C4402" t="str">
            <v>II</v>
          </cell>
          <cell r="D4402" t="str">
            <v>INTRA ISLAS PORTUGAL</v>
          </cell>
          <cell r="E4402" t="str">
            <v>01</v>
          </cell>
          <cell r="F4402" t="str">
            <v>BAG</v>
          </cell>
          <cell r="G4402" t="str">
            <v>B</v>
          </cell>
          <cell r="H4402">
            <v>26.63</v>
          </cell>
        </row>
        <row r="4403">
          <cell r="A4403" t="str">
            <v>1;01;II;B;DOCS</v>
          </cell>
          <cell r="B4403">
            <v>730069</v>
          </cell>
          <cell r="C4403" t="str">
            <v>II</v>
          </cell>
          <cell r="D4403" t="str">
            <v>INTRA ISLAS PORTUGAL</v>
          </cell>
          <cell r="E4403" t="str">
            <v>01</v>
          </cell>
          <cell r="F4403" t="str">
            <v>DOCS</v>
          </cell>
          <cell r="G4403" t="str">
            <v>B</v>
          </cell>
          <cell r="H4403">
            <v>9.7799999999999994</v>
          </cell>
        </row>
        <row r="4404">
          <cell r="A4404" t="str">
            <v>1;01;II;B;PAQ00a02</v>
          </cell>
          <cell r="B4404">
            <v>730069</v>
          </cell>
          <cell r="C4404" t="str">
            <v>II</v>
          </cell>
          <cell r="D4404" t="str">
            <v>INTRA ISLAS PORTUGAL</v>
          </cell>
          <cell r="E4404" t="str">
            <v>01</v>
          </cell>
          <cell r="F4404" t="str">
            <v>PAQ00a02</v>
          </cell>
          <cell r="G4404" t="str">
            <v>B</v>
          </cell>
          <cell r="H4404">
            <v>29</v>
          </cell>
        </row>
        <row r="4405">
          <cell r="A4405" t="str">
            <v>1;01;II;B;PAQ02a04</v>
          </cell>
          <cell r="B4405">
            <v>730069</v>
          </cell>
          <cell r="C4405" t="str">
            <v>II</v>
          </cell>
          <cell r="D4405" t="str">
            <v>INTRA ISLAS PORTUGAL</v>
          </cell>
          <cell r="E4405" t="str">
            <v>01</v>
          </cell>
          <cell r="F4405" t="str">
            <v>PAQ02a04</v>
          </cell>
          <cell r="G4405" t="str">
            <v>B</v>
          </cell>
          <cell r="H4405">
            <v>39.409999999999997</v>
          </cell>
        </row>
        <row r="4406">
          <cell r="A4406" t="str">
            <v>1;01;II;B;PAQ04a06</v>
          </cell>
          <cell r="B4406">
            <v>730069</v>
          </cell>
          <cell r="C4406" t="str">
            <v>II</v>
          </cell>
          <cell r="D4406" t="str">
            <v>INTRA ISLAS PORTUGAL</v>
          </cell>
          <cell r="E4406" t="str">
            <v>01</v>
          </cell>
          <cell r="F4406" t="str">
            <v>PAQ04a06</v>
          </cell>
          <cell r="G4406" t="str">
            <v>B</v>
          </cell>
          <cell r="H4406">
            <v>48.38</v>
          </cell>
        </row>
        <row r="4407">
          <cell r="A4407" t="str">
            <v>1;01;II;B;PAQ06a08</v>
          </cell>
          <cell r="B4407">
            <v>730069</v>
          </cell>
          <cell r="C4407" t="str">
            <v>II</v>
          </cell>
          <cell r="D4407" t="str">
            <v>INTRA ISLAS PORTUGAL</v>
          </cell>
          <cell r="E4407" t="str">
            <v>01</v>
          </cell>
          <cell r="F4407" t="str">
            <v>PAQ06a08</v>
          </cell>
          <cell r="G4407" t="str">
            <v>B</v>
          </cell>
          <cell r="H4407">
            <v>57.36</v>
          </cell>
        </row>
        <row r="4408">
          <cell r="A4408" t="str">
            <v>1;01;II;B;PAQ08a10</v>
          </cell>
          <cell r="B4408">
            <v>730069</v>
          </cell>
          <cell r="C4408" t="str">
            <v>II</v>
          </cell>
          <cell r="D4408" t="str">
            <v>INTRA ISLAS PORTUGAL</v>
          </cell>
          <cell r="E4408" t="str">
            <v>01</v>
          </cell>
          <cell r="F4408" t="str">
            <v>PAQ08a10</v>
          </cell>
          <cell r="G4408" t="str">
            <v>B</v>
          </cell>
          <cell r="H4408">
            <v>66.36</v>
          </cell>
        </row>
        <row r="4409">
          <cell r="A4409" t="str">
            <v>1;01;II;B;PAQ10a12</v>
          </cell>
          <cell r="B4409">
            <v>730069</v>
          </cell>
          <cell r="C4409" t="str">
            <v>II</v>
          </cell>
          <cell r="D4409" t="str">
            <v>INTRA ISLAS PORTUGAL</v>
          </cell>
          <cell r="E4409" t="str">
            <v>01</v>
          </cell>
          <cell r="F4409" t="str">
            <v>PAQ10a12</v>
          </cell>
          <cell r="G4409" t="str">
            <v>B</v>
          </cell>
          <cell r="H4409">
            <v>74.31</v>
          </cell>
        </row>
        <row r="4410">
          <cell r="A4410" t="str">
            <v>1;01;II;B;PAQ12a14</v>
          </cell>
          <cell r="B4410">
            <v>730069</v>
          </cell>
          <cell r="C4410" t="str">
            <v>II</v>
          </cell>
          <cell r="D4410" t="str">
            <v>INTRA ISLAS PORTUGAL</v>
          </cell>
          <cell r="E4410" t="str">
            <v>01</v>
          </cell>
          <cell r="F4410" t="str">
            <v>PAQ12a14</v>
          </cell>
          <cell r="G4410" t="str">
            <v>B</v>
          </cell>
          <cell r="H4410">
            <v>82.26</v>
          </cell>
        </row>
        <row r="4411">
          <cell r="A4411" t="str">
            <v>1;01;II;B;PAQ14a16</v>
          </cell>
          <cell r="B4411">
            <v>730069</v>
          </cell>
          <cell r="C4411" t="str">
            <v>II</v>
          </cell>
          <cell r="D4411" t="str">
            <v>INTRA ISLAS PORTUGAL</v>
          </cell>
          <cell r="E4411" t="str">
            <v>01</v>
          </cell>
          <cell r="F4411" t="str">
            <v>PAQ14a16</v>
          </cell>
          <cell r="G4411" t="str">
            <v>B</v>
          </cell>
          <cell r="H4411">
            <v>90.21</v>
          </cell>
        </row>
        <row r="4412">
          <cell r="A4412" t="str">
            <v>1;01;II;B;PAQ16a18</v>
          </cell>
          <cell r="B4412">
            <v>730069</v>
          </cell>
          <cell r="C4412" t="str">
            <v>II</v>
          </cell>
          <cell r="D4412" t="str">
            <v>INTRA ISLAS PORTUGAL</v>
          </cell>
          <cell r="E4412" t="str">
            <v>01</v>
          </cell>
          <cell r="F4412" t="str">
            <v>PAQ16a18</v>
          </cell>
          <cell r="G4412" t="str">
            <v>B</v>
          </cell>
          <cell r="H4412">
            <v>98.15</v>
          </cell>
        </row>
        <row r="4413">
          <cell r="A4413" t="str">
            <v>1;01;II;B;PAQ18a20</v>
          </cell>
          <cell r="B4413">
            <v>730069</v>
          </cell>
          <cell r="C4413" t="str">
            <v>II</v>
          </cell>
          <cell r="D4413" t="str">
            <v>INTRA ISLAS PORTUGAL</v>
          </cell>
          <cell r="E4413" t="str">
            <v>01</v>
          </cell>
          <cell r="F4413" t="str">
            <v>PAQ18a20</v>
          </cell>
          <cell r="G4413" t="str">
            <v>B</v>
          </cell>
          <cell r="H4413">
            <v>106.1</v>
          </cell>
        </row>
        <row r="4414">
          <cell r="A4414" t="str">
            <v>1;01;II;B;PAQ20a22</v>
          </cell>
          <cell r="B4414">
            <v>730069</v>
          </cell>
          <cell r="C4414" t="str">
            <v>II</v>
          </cell>
          <cell r="D4414" t="str">
            <v>INTRA ISLAS PORTUGAL</v>
          </cell>
          <cell r="E4414" t="str">
            <v>01</v>
          </cell>
          <cell r="F4414" t="str">
            <v>PAQ20a22</v>
          </cell>
          <cell r="G4414" t="str">
            <v>B</v>
          </cell>
          <cell r="H4414">
            <v>114.05</v>
          </cell>
        </row>
        <row r="4415">
          <cell r="A4415" t="str">
            <v>1;01;II;B;PAQ22a24</v>
          </cell>
          <cell r="B4415">
            <v>730069</v>
          </cell>
          <cell r="C4415" t="str">
            <v>II</v>
          </cell>
          <cell r="D4415" t="str">
            <v>INTRA ISLAS PORTUGAL</v>
          </cell>
          <cell r="E4415" t="str">
            <v>01</v>
          </cell>
          <cell r="F4415" t="str">
            <v>PAQ22a24</v>
          </cell>
          <cell r="G4415" t="str">
            <v>B</v>
          </cell>
          <cell r="H4415">
            <v>122</v>
          </cell>
        </row>
        <row r="4416">
          <cell r="A4416" t="str">
            <v>1;01;II;B;PAQ24a26</v>
          </cell>
          <cell r="B4416">
            <v>730069</v>
          </cell>
          <cell r="C4416" t="str">
            <v>II</v>
          </cell>
          <cell r="D4416" t="str">
            <v>INTRA ISLAS PORTUGAL</v>
          </cell>
          <cell r="E4416" t="str">
            <v>01</v>
          </cell>
          <cell r="F4416" t="str">
            <v>PAQ24a26</v>
          </cell>
          <cell r="G4416" t="str">
            <v>B</v>
          </cell>
          <cell r="H4416">
            <v>129.94999999999999</v>
          </cell>
        </row>
        <row r="4417">
          <cell r="A4417" t="str">
            <v>1;01;II;B;PAQ26a28</v>
          </cell>
          <cell r="B4417">
            <v>730069</v>
          </cell>
          <cell r="C4417" t="str">
            <v>II</v>
          </cell>
          <cell r="D4417" t="str">
            <v>INTRA ISLAS PORTUGAL</v>
          </cell>
          <cell r="E4417" t="str">
            <v>01</v>
          </cell>
          <cell r="F4417" t="str">
            <v>PAQ26a28</v>
          </cell>
          <cell r="G4417" t="str">
            <v>B</v>
          </cell>
          <cell r="H4417">
            <v>137.91</v>
          </cell>
        </row>
        <row r="4418">
          <cell r="A4418" t="str">
            <v>1;01;II;B;PAQ28a30</v>
          </cell>
          <cell r="B4418">
            <v>730069</v>
          </cell>
          <cell r="C4418" t="str">
            <v>II</v>
          </cell>
          <cell r="D4418" t="str">
            <v>INTRA ISLAS PORTUGAL</v>
          </cell>
          <cell r="E4418" t="str">
            <v>01</v>
          </cell>
          <cell r="F4418" t="str">
            <v>PAQ28a30</v>
          </cell>
          <cell r="G4418" t="str">
            <v>B</v>
          </cell>
          <cell r="H4418">
            <v>145.86000000000001</v>
          </cell>
        </row>
        <row r="4419">
          <cell r="A4419" t="str">
            <v>1;01;II;B;PAQ30a32</v>
          </cell>
          <cell r="B4419">
            <v>730069</v>
          </cell>
          <cell r="C4419" t="str">
            <v>II</v>
          </cell>
          <cell r="D4419" t="str">
            <v>INTRA ISLAS PORTUGAL</v>
          </cell>
          <cell r="E4419" t="str">
            <v>01</v>
          </cell>
          <cell r="F4419" t="str">
            <v>PAQ30a32</v>
          </cell>
          <cell r="G4419" t="str">
            <v>B</v>
          </cell>
          <cell r="H4419">
            <v>153.80000000000001</v>
          </cell>
        </row>
        <row r="4420">
          <cell r="A4420" t="str">
            <v>1;01;II;B;PAQ32a34</v>
          </cell>
          <cell r="B4420">
            <v>730069</v>
          </cell>
          <cell r="C4420" t="str">
            <v>II</v>
          </cell>
          <cell r="D4420" t="str">
            <v>INTRA ISLAS PORTUGAL</v>
          </cell>
          <cell r="E4420" t="str">
            <v>01</v>
          </cell>
          <cell r="F4420" t="str">
            <v>PAQ32a34</v>
          </cell>
          <cell r="G4420" t="str">
            <v>B</v>
          </cell>
          <cell r="H4420">
            <v>161.75</v>
          </cell>
        </row>
        <row r="4421">
          <cell r="A4421" t="str">
            <v>1;01;II;B;PAQ34a36</v>
          </cell>
          <cell r="B4421">
            <v>730069</v>
          </cell>
          <cell r="C4421" t="str">
            <v>II</v>
          </cell>
          <cell r="D4421" t="str">
            <v>INTRA ISLAS PORTUGAL</v>
          </cell>
          <cell r="E4421" t="str">
            <v>01</v>
          </cell>
          <cell r="F4421" t="str">
            <v>PAQ34a36</v>
          </cell>
          <cell r="G4421" t="str">
            <v>B</v>
          </cell>
          <cell r="H4421">
            <v>169.7</v>
          </cell>
        </row>
        <row r="4422">
          <cell r="A4422" t="str">
            <v>1;01;II;B;PAQ36a38</v>
          </cell>
          <cell r="B4422">
            <v>730069</v>
          </cell>
          <cell r="C4422" t="str">
            <v>II</v>
          </cell>
          <cell r="D4422" t="str">
            <v>INTRA ISLAS PORTUGAL</v>
          </cell>
          <cell r="E4422" t="str">
            <v>01</v>
          </cell>
          <cell r="F4422" t="str">
            <v>PAQ36a38</v>
          </cell>
          <cell r="G4422" t="str">
            <v>B</v>
          </cell>
          <cell r="H4422">
            <v>177.65</v>
          </cell>
        </row>
        <row r="4423">
          <cell r="A4423" t="str">
            <v>1;01;II;B;PAQ38a40</v>
          </cell>
          <cell r="B4423">
            <v>730069</v>
          </cell>
          <cell r="C4423" t="str">
            <v>II</v>
          </cell>
          <cell r="D4423" t="str">
            <v>INTRA ISLAS PORTUGAL</v>
          </cell>
          <cell r="E4423" t="str">
            <v>01</v>
          </cell>
          <cell r="F4423" t="str">
            <v>PAQ38a40</v>
          </cell>
          <cell r="G4423" t="str">
            <v>B</v>
          </cell>
          <cell r="H4423">
            <v>185.6</v>
          </cell>
        </row>
        <row r="4424">
          <cell r="A4424" t="str">
            <v>1;01;II;F;</v>
          </cell>
          <cell r="B4424">
            <v>730069</v>
          </cell>
          <cell r="C4424" t="str">
            <v>II</v>
          </cell>
          <cell r="D4424" t="str">
            <v>INTRA ISLAS PORTUGAL</v>
          </cell>
          <cell r="E4424" t="str">
            <v>01</v>
          </cell>
          <cell r="F4424" t="str">
            <v/>
          </cell>
          <cell r="G4424" t="str">
            <v>F</v>
          </cell>
          <cell r="H4424">
            <v>7.95</v>
          </cell>
        </row>
        <row r="4425">
          <cell r="A4425" t="str">
            <v>1;01;II;E;</v>
          </cell>
          <cell r="B4425">
            <v>730069</v>
          </cell>
          <cell r="C4425" t="str">
            <v>II</v>
          </cell>
          <cell r="D4425" t="str">
            <v>INTRA ISLAS PORTUGAL</v>
          </cell>
          <cell r="E4425" t="str">
            <v>01</v>
          </cell>
          <cell r="F4425" t="str">
            <v/>
          </cell>
          <cell r="G4425" t="str">
            <v>E</v>
          </cell>
          <cell r="H4425">
            <v>0</v>
          </cell>
        </row>
        <row r="4426">
          <cell r="A4426" t="str">
            <v>1;01;II;P;</v>
          </cell>
          <cell r="B4426">
            <v>730069</v>
          </cell>
          <cell r="C4426" t="str">
            <v>II</v>
          </cell>
          <cell r="D4426" t="str">
            <v>INTRA ISLAS PORTUGAL</v>
          </cell>
          <cell r="E4426" t="str">
            <v>01</v>
          </cell>
          <cell r="F4426" t="str">
            <v/>
          </cell>
          <cell r="G4426" t="str">
            <v>P</v>
          </cell>
          <cell r="H4426">
            <v>0</v>
          </cell>
        </row>
        <row r="4427">
          <cell r="A4427" t="str">
            <v>1;04;II;B;BAG</v>
          </cell>
          <cell r="B4427">
            <v>730069</v>
          </cell>
          <cell r="C4427" t="str">
            <v>II</v>
          </cell>
          <cell r="D4427" t="str">
            <v>INTRA ISLAS PORTUGAL</v>
          </cell>
          <cell r="E4427" t="str">
            <v>04</v>
          </cell>
          <cell r="F4427" t="str">
            <v>BAG</v>
          </cell>
          <cell r="G4427" t="str">
            <v>B</v>
          </cell>
          <cell r="H4427">
            <v>5.66</v>
          </cell>
        </row>
        <row r="4428">
          <cell r="A4428" t="str">
            <v>1;05;II;B;BAG</v>
          </cell>
          <cell r="B4428">
            <v>730069</v>
          </cell>
          <cell r="C4428" t="str">
            <v>II</v>
          </cell>
          <cell r="D4428" t="str">
            <v>INTRA ISLAS PORTUGAL</v>
          </cell>
          <cell r="E4428" t="str">
            <v>05</v>
          </cell>
          <cell r="F4428" t="str">
            <v>BAG</v>
          </cell>
          <cell r="G4428" t="str">
            <v>B</v>
          </cell>
          <cell r="H4428">
            <v>5.66</v>
          </cell>
        </row>
        <row r="4429">
          <cell r="A4429" t="str">
            <v>1;06;II;B;BAG</v>
          </cell>
          <cell r="B4429">
            <v>730069</v>
          </cell>
          <cell r="C4429" t="str">
            <v>II</v>
          </cell>
          <cell r="D4429" t="str">
            <v>INTRA ISLAS PORTUGAL</v>
          </cell>
          <cell r="E4429" t="str">
            <v>06</v>
          </cell>
          <cell r="F4429" t="str">
            <v>BAG</v>
          </cell>
          <cell r="G4429" t="str">
            <v>B</v>
          </cell>
          <cell r="H4429">
            <v>0</v>
          </cell>
        </row>
        <row r="4430">
          <cell r="A4430" t="str">
            <v>1;06;II;B;DOCS</v>
          </cell>
          <cell r="B4430">
            <v>730069</v>
          </cell>
          <cell r="C4430" t="str">
            <v>II</v>
          </cell>
          <cell r="D4430" t="str">
            <v>INTRA ISLAS PORTUGAL</v>
          </cell>
          <cell r="E4430" t="str">
            <v>06</v>
          </cell>
          <cell r="F4430" t="str">
            <v>DOCS</v>
          </cell>
          <cell r="G4430" t="str">
            <v>B</v>
          </cell>
          <cell r="H4430">
            <v>0</v>
          </cell>
        </row>
        <row r="4431">
          <cell r="A4431" t="str">
            <v>1;07;II;B;BAG</v>
          </cell>
          <cell r="B4431">
            <v>730069</v>
          </cell>
          <cell r="C4431" t="str">
            <v>II</v>
          </cell>
          <cell r="D4431" t="str">
            <v>INTRA ISLAS PORTUGAL</v>
          </cell>
          <cell r="E4431" t="str">
            <v>07</v>
          </cell>
          <cell r="F4431" t="str">
            <v>BAG</v>
          </cell>
          <cell r="G4431" t="str">
            <v>B</v>
          </cell>
          <cell r="H4431">
            <v>0</v>
          </cell>
        </row>
        <row r="4432">
          <cell r="A4432" t="str">
            <v>1;07;II;B;DOCS</v>
          </cell>
          <cell r="B4432">
            <v>730069</v>
          </cell>
          <cell r="C4432" t="str">
            <v>II</v>
          </cell>
          <cell r="D4432" t="str">
            <v>INTRA ISLAS PORTUGAL</v>
          </cell>
          <cell r="E4432" t="str">
            <v>07</v>
          </cell>
          <cell r="F4432" t="str">
            <v>DOCS</v>
          </cell>
          <cell r="G4432" t="str">
            <v>B</v>
          </cell>
          <cell r="H4432">
            <v>0</v>
          </cell>
        </row>
        <row r="4433">
          <cell r="A4433" t="str">
            <v>1;10;II;B;BAG</v>
          </cell>
          <cell r="B4433">
            <v>730069</v>
          </cell>
          <cell r="C4433" t="str">
            <v>II</v>
          </cell>
          <cell r="D4433" t="str">
            <v>INTRA ISLAS PORTUGAL</v>
          </cell>
          <cell r="E4433" t="str">
            <v>10</v>
          </cell>
          <cell r="F4433" t="str">
            <v>BAG</v>
          </cell>
          <cell r="G4433" t="str">
            <v>B</v>
          </cell>
          <cell r="H4433">
            <v>1.67</v>
          </cell>
        </row>
        <row r="4434">
          <cell r="A4434" t="str">
            <v>1;10;II;B;DOCS</v>
          </cell>
          <cell r="B4434">
            <v>730069</v>
          </cell>
          <cell r="C4434" t="str">
            <v>II</v>
          </cell>
          <cell r="D4434" t="str">
            <v>INTRA ISLAS PORTUGAL</v>
          </cell>
          <cell r="E4434" t="str">
            <v>10</v>
          </cell>
          <cell r="F4434" t="str">
            <v>DOCS</v>
          </cell>
          <cell r="G4434" t="str">
            <v>B</v>
          </cell>
          <cell r="H4434">
            <v>1.67</v>
          </cell>
        </row>
        <row r="4435">
          <cell r="A4435" t="str">
            <v>1;12;II;B;BAG</v>
          </cell>
          <cell r="B4435">
            <v>730069</v>
          </cell>
          <cell r="C4435" t="str">
            <v>II</v>
          </cell>
          <cell r="D4435" t="str">
            <v>INTRA ISLAS PORTUGAL</v>
          </cell>
          <cell r="E4435" t="str">
            <v>12</v>
          </cell>
          <cell r="F4435" t="str">
            <v>BAG</v>
          </cell>
          <cell r="G4435" t="str">
            <v>B</v>
          </cell>
          <cell r="H4435">
            <v>3.58</v>
          </cell>
        </row>
        <row r="4436">
          <cell r="A4436" t="str">
            <v>1;12;II;B;DOCS</v>
          </cell>
          <cell r="B4436">
            <v>730069</v>
          </cell>
          <cell r="C4436" t="str">
            <v>II</v>
          </cell>
          <cell r="D4436" t="str">
            <v>INTRA ISLAS PORTUGAL</v>
          </cell>
          <cell r="E4436" t="str">
            <v>12</v>
          </cell>
          <cell r="F4436" t="str">
            <v>DOCS</v>
          </cell>
          <cell r="G4436" t="str">
            <v>B</v>
          </cell>
          <cell r="H4436">
            <v>3.58</v>
          </cell>
        </row>
        <row r="4437">
          <cell r="A4437" t="str">
            <v>1;14;II;B;BAG</v>
          </cell>
          <cell r="B4437">
            <v>730069</v>
          </cell>
          <cell r="C4437" t="str">
            <v>II</v>
          </cell>
          <cell r="D4437" t="str">
            <v>INTRA ISLAS PORTUGAL</v>
          </cell>
          <cell r="E4437" t="str">
            <v>14</v>
          </cell>
          <cell r="F4437" t="str">
            <v>BAG</v>
          </cell>
          <cell r="G4437" t="str">
            <v>B</v>
          </cell>
          <cell r="H4437">
            <v>1.75</v>
          </cell>
        </row>
        <row r="4438">
          <cell r="A4438" t="str">
            <v>1;15;II;B;BAG</v>
          </cell>
          <cell r="B4438">
            <v>730069</v>
          </cell>
          <cell r="C4438" t="str">
            <v>II</v>
          </cell>
          <cell r="D4438" t="str">
            <v>INTRA ISLAS PORTUGAL</v>
          </cell>
          <cell r="E4438" t="str">
            <v>15</v>
          </cell>
          <cell r="F4438" t="str">
            <v>BAG</v>
          </cell>
          <cell r="G4438" t="str">
            <v>B</v>
          </cell>
          <cell r="H4438">
            <v>1.75</v>
          </cell>
        </row>
        <row r="4439">
          <cell r="A4439" t="str">
            <v>1;35;II;B;BAG</v>
          </cell>
          <cell r="B4439">
            <v>730069</v>
          </cell>
          <cell r="C4439" t="str">
            <v>II</v>
          </cell>
          <cell r="D4439" t="str">
            <v>INTRA ISLAS PORTUGAL</v>
          </cell>
          <cell r="E4439" t="str">
            <v>35</v>
          </cell>
          <cell r="F4439" t="str">
            <v>BAG</v>
          </cell>
          <cell r="G4439" t="str">
            <v>B</v>
          </cell>
          <cell r="H4439">
            <v>1.07</v>
          </cell>
        </row>
        <row r="4440">
          <cell r="A4440" t="str">
            <v>1;35;II;B;DOCS</v>
          </cell>
          <cell r="B4440">
            <v>730069</v>
          </cell>
          <cell r="C4440" t="str">
            <v>II</v>
          </cell>
          <cell r="D4440" t="str">
            <v>INTRA ISLAS PORTUGAL</v>
          </cell>
          <cell r="E4440" t="str">
            <v>35</v>
          </cell>
          <cell r="F4440" t="str">
            <v>DOCS</v>
          </cell>
          <cell r="G4440" t="str">
            <v>B</v>
          </cell>
          <cell r="H4440">
            <v>1.07</v>
          </cell>
        </row>
        <row r="4441">
          <cell r="A4441" t="str">
            <v>1;35;II;B;PAQ00a05</v>
          </cell>
          <cell r="B4441">
            <v>730069</v>
          </cell>
          <cell r="C4441" t="str">
            <v>II</v>
          </cell>
          <cell r="D4441" t="str">
            <v>INTRA ISLAS PORTUGAL</v>
          </cell>
          <cell r="E4441" t="str">
            <v>35</v>
          </cell>
          <cell r="F4441" t="str">
            <v>PAQ00a05</v>
          </cell>
          <cell r="G4441" t="str">
            <v>B</v>
          </cell>
          <cell r="H4441">
            <v>1.07</v>
          </cell>
        </row>
        <row r="4442">
          <cell r="A4442" t="str">
            <v>1;35;II;B;PAQ05a10</v>
          </cell>
          <cell r="B4442">
            <v>730069</v>
          </cell>
          <cell r="C4442" t="str">
            <v>II</v>
          </cell>
          <cell r="D4442" t="str">
            <v>INTRA ISLAS PORTUGAL</v>
          </cell>
          <cell r="E4442" t="str">
            <v>35</v>
          </cell>
          <cell r="F4442" t="str">
            <v>PAQ05a10</v>
          </cell>
          <cell r="G4442" t="str">
            <v>B</v>
          </cell>
          <cell r="H4442">
            <v>1.43</v>
          </cell>
        </row>
        <row r="4443">
          <cell r="A4443" t="str">
            <v>1;35;II;B;PAQ10a15</v>
          </cell>
          <cell r="B4443">
            <v>730069</v>
          </cell>
          <cell r="C4443" t="str">
            <v>II</v>
          </cell>
          <cell r="D4443" t="str">
            <v>INTRA ISLAS PORTUGAL</v>
          </cell>
          <cell r="E4443" t="str">
            <v>35</v>
          </cell>
          <cell r="F4443" t="str">
            <v>PAQ10a15</v>
          </cell>
          <cell r="G4443" t="str">
            <v>B</v>
          </cell>
          <cell r="H4443">
            <v>1.43</v>
          </cell>
        </row>
        <row r="4444">
          <cell r="A4444" t="str">
            <v>1;35;II;B;PAQ15a20</v>
          </cell>
          <cell r="B4444">
            <v>730069</v>
          </cell>
          <cell r="C4444" t="str">
            <v>II</v>
          </cell>
          <cell r="D4444" t="str">
            <v>INTRA ISLAS PORTUGAL</v>
          </cell>
          <cell r="E4444" t="str">
            <v>35</v>
          </cell>
          <cell r="F4444" t="str">
            <v>PAQ15a20</v>
          </cell>
          <cell r="G4444" t="str">
            <v>B</v>
          </cell>
          <cell r="H4444">
            <v>1.43</v>
          </cell>
        </row>
        <row r="4445">
          <cell r="A4445" t="str">
            <v>1;35;II;B;PAQ20a25</v>
          </cell>
          <cell r="B4445">
            <v>730069</v>
          </cell>
          <cell r="C4445" t="str">
            <v>II</v>
          </cell>
          <cell r="D4445" t="str">
            <v>INTRA ISLAS PORTUGAL</v>
          </cell>
          <cell r="E4445" t="str">
            <v>35</v>
          </cell>
          <cell r="F4445" t="str">
            <v>PAQ20a25</v>
          </cell>
          <cell r="G4445" t="str">
            <v>B</v>
          </cell>
          <cell r="H4445">
            <v>2.5099999999999998</v>
          </cell>
        </row>
        <row r="4446">
          <cell r="A4446" t="str">
            <v>1;35;II;B;PAQ25a30</v>
          </cell>
          <cell r="B4446">
            <v>730069</v>
          </cell>
          <cell r="C4446" t="str">
            <v>II</v>
          </cell>
          <cell r="D4446" t="str">
            <v>INTRA ISLAS PORTUGAL</v>
          </cell>
          <cell r="E4446" t="str">
            <v>35</v>
          </cell>
          <cell r="F4446" t="str">
            <v>PAQ25a30</v>
          </cell>
          <cell r="G4446" t="str">
            <v>B</v>
          </cell>
          <cell r="H4446">
            <v>2.5099999999999998</v>
          </cell>
        </row>
        <row r="4447">
          <cell r="A4447" t="str">
            <v>1;35;II;B;PAQ30a35</v>
          </cell>
          <cell r="B4447">
            <v>730069</v>
          </cell>
          <cell r="C4447" t="str">
            <v>II</v>
          </cell>
          <cell r="D4447" t="str">
            <v>INTRA ISLAS PORTUGAL</v>
          </cell>
          <cell r="E4447" t="str">
            <v>35</v>
          </cell>
          <cell r="F4447" t="str">
            <v>PAQ30a35</v>
          </cell>
          <cell r="G4447" t="str">
            <v>B</v>
          </cell>
          <cell r="H4447">
            <v>2.5099999999999998</v>
          </cell>
        </row>
        <row r="4448">
          <cell r="A4448" t="str">
            <v>1;35;II;B;PAQ35a40</v>
          </cell>
          <cell r="B4448">
            <v>730069</v>
          </cell>
          <cell r="C4448" t="str">
            <v>II</v>
          </cell>
          <cell r="D4448" t="str">
            <v>INTRA ISLAS PORTUGAL</v>
          </cell>
          <cell r="E4448" t="str">
            <v>35</v>
          </cell>
          <cell r="F4448" t="str">
            <v>PAQ35a40</v>
          </cell>
          <cell r="G4448" t="str">
            <v>B</v>
          </cell>
          <cell r="H4448">
            <v>2.5099999999999998</v>
          </cell>
        </row>
        <row r="4449">
          <cell r="A4449" t="str">
            <v>1;35;II;F;</v>
          </cell>
          <cell r="B4449">
            <v>730069</v>
          </cell>
          <cell r="C4449" t="str">
            <v>II</v>
          </cell>
          <cell r="D4449" t="str">
            <v>INTRA ISLAS PORTUGAL</v>
          </cell>
          <cell r="E4449" t="str">
            <v>35</v>
          </cell>
          <cell r="F4449" t="str">
            <v/>
          </cell>
          <cell r="G4449" t="str">
            <v>F</v>
          </cell>
          <cell r="H4449">
            <v>0.71</v>
          </cell>
        </row>
        <row r="4450">
          <cell r="A4450" t="str">
            <v>1;35;II;E;</v>
          </cell>
          <cell r="B4450">
            <v>730069</v>
          </cell>
          <cell r="C4450" t="str">
            <v>II</v>
          </cell>
          <cell r="D4450" t="str">
            <v>INTRA ISLAS PORTUGAL</v>
          </cell>
          <cell r="E4450" t="str">
            <v>35</v>
          </cell>
          <cell r="F4450" t="str">
            <v/>
          </cell>
          <cell r="G4450" t="str">
            <v>E</v>
          </cell>
          <cell r="H4450">
            <v>0.71</v>
          </cell>
        </row>
        <row r="4451">
          <cell r="A4451" t="str">
            <v>1;35;II;P;</v>
          </cell>
          <cell r="B4451">
            <v>730069</v>
          </cell>
          <cell r="C4451" t="str">
            <v>II</v>
          </cell>
          <cell r="D4451" t="str">
            <v>INTRA ISLAS PORTUGAL</v>
          </cell>
          <cell r="E4451" t="str">
            <v>35</v>
          </cell>
          <cell r="F4451" t="str">
            <v/>
          </cell>
          <cell r="G4451" t="str">
            <v>P</v>
          </cell>
          <cell r="H4451">
            <v>0.71</v>
          </cell>
        </row>
        <row r="4452">
          <cell r="A4452" t="str">
            <v>1;61;II;B;BAG</v>
          </cell>
          <cell r="B4452">
            <v>730069</v>
          </cell>
          <cell r="C4452" t="str">
            <v>II</v>
          </cell>
          <cell r="D4452" t="str">
            <v>INTRA ISLAS PORTUGAL</v>
          </cell>
          <cell r="E4452" t="str">
            <v>61</v>
          </cell>
          <cell r="F4452" t="str">
            <v>BAG</v>
          </cell>
          <cell r="G4452" t="str">
            <v>B</v>
          </cell>
          <cell r="H4452">
            <v>40.61</v>
          </cell>
        </row>
        <row r="4453">
          <cell r="A4453" t="str">
            <v>1;61;II;B;PAQ00a02</v>
          </cell>
          <cell r="B4453">
            <v>730069</v>
          </cell>
          <cell r="C4453" t="str">
            <v>II</v>
          </cell>
          <cell r="D4453" t="str">
            <v>INTRA ISLAS PORTUGAL</v>
          </cell>
          <cell r="E4453" t="str">
            <v>61</v>
          </cell>
          <cell r="F4453" t="str">
            <v>PAQ00a02</v>
          </cell>
          <cell r="G4453" t="str">
            <v>B</v>
          </cell>
          <cell r="H4453">
            <v>45.33</v>
          </cell>
        </row>
        <row r="4454">
          <cell r="A4454" t="str">
            <v>1;61;II;B;PAQ02a04</v>
          </cell>
          <cell r="B4454">
            <v>730069</v>
          </cell>
          <cell r="C4454" t="str">
            <v>II</v>
          </cell>
          <cell r="D4454" t="str">
            <v>INTRA ISLAS PORTUGAL</v>
          </cell>
          <cell r="E4454" t="str">
            <v>61</v>
          </cell>
          <cell r="F4454" t="str">
            <v>PAQ02a04</v>
          </cell>
          <cell r="G4454" t="str">
            <v>B</v>
          </cell>
          <cell r="H4454">
            <v>60.48</v>
          </cell>
        </row>
        <row r="4455">
          <cell r="A4455" t="str">
            <v>1;61;II;B;PAQ04a06</v>
          </cell>
          <cell r="B4455">
            <v>730069</v>
          </cell>
          <cell r="C4455" t="str">
            <v>II</v>
          </cell>
          <cell r="D4455" t="str">
            <v>INTRA ISLAS PORTUGAL</v>
          </cell>
          <cell r="E4455" t="str">
            <v>61</v>
          </cell>
          <cell r="F4455" t="str">
            <v>PAQ04a06</v>
          </cell>
          <cell r="G4455" t="str">
            <v>B</v>
          </cell>
          <cell r="H4455">
            <v>74.239999999999995</v>
          </cell>
        </row>
        <row r="4456">
          <cell r="A4456" t="str">
            <v>1;61;II;B;PAQ06a08</v>
          </cell>
          <cell r="B4456">
            <v>730069</v>
          </cell>
          <cell r="C4456" t="str">
            <v>II</v>
          </cell>
          <cell r="D4456" t="str">
            <v>INTRA ISLAS PORTUGAL</v>
          </cell>
          <cell r="E4456" t="str">
            <v>61</v>
          </cell>
          <cell r="F4456" t="str">
            <v>PAQ06a08</v>
          </cell>
          <cell r="G4456" t="str">
            <v>B</v>
          </cell>
          <cell r="H4456">
            <v>87.99</v>
          </cell>
        </row>
        <row r="4457">
          <cell r="A4457" t="str">
            <v>1;61;II;B;PAQ08a10</v>
          </cell>
          <cell r="B4457">
            <v>730069</v>
          </cell>
          <cell r="C4457" t="str">
            <v>II</v>
          </cell>
          <cell r="D4457" t="str">
            <v>INTRA ISLAS PORTUGAL</v>
          </cell>
          <cell r="E4457" t="str">
            <v>61</v>
          </cell>
          <cell r="F4457" t="str">
            <v>PAQ08a10</v>
          </cell>
          <cell r="G4457" t="str">
            <v>B</v>
          </cell>
          <cell r="H4457">
            <v>101.78</v>
          </cell>
        </row>
        <row r="4458">
          <cell r="A4458" t="str">
            <v>1;61;II;B;PAQ10a12</v>
          </cell>
          <cell r="B4458">
            <v>730069</v>
          </cell>
          <cell r="C4458" t="str">
            <v>II</v>
          </cell>
          <cell r="D4458" t="str">
            <v>INTRA ISLAS PORTUGAL</v>
          </cell>
          <cell r="E4458" t="str">
            <v>61</v>
          </cell>
          <cell r="F4458" t="str">
            <v>PAQ10a12</v>
          </cell>
          <cell r="G4458" t="str">
            <v>B</v>
          </cell>
          <cell r="H4458">
            <v>114.53</v>
          </cell>
        </row>
        <row r="4459">
          <cell r="A4459" t="str">
            <v>1;61;II;B;PAQ12a14</v>
          </cell>
          <cell r="B4459">
            <v>730069</v>
          </cell>
          <cell r="C4459" t="str">
            <v>II</v>
          </cell>
          <cell r="D4459" t="str">
            <v>INTRA ISLAS PORTUGAL</v>
          </cell>
          <cell r="E4459" t="str">
            <v>61</v>
          </cell>
          <cell r="F4459" t="str">
            <v>PAQ12a14</v>
          </cell>
          <cell r="G4459" t="str">
            <v>B</v>
          </cell>
          <cell r="H4459">
            <v>127.28</v>
          </cell>
        </row>
        <row r="4460">
          <cell r="A4460" t="str">
            <v>1;61;II;B;PAQ14a16</v>
          </cell>
          <cell r="B4460">
            <v>730069</v>
          </cell>
          <cell r="C4460" t="str">
            <v>II</v>
          </cell>
          <cell r="D4460" t="str">
            <v>INTRA ISLAS PORTUGAL</v>
          </cell>
          <cell r="E4460" t="str">
            <v>61</v>
          </cell>
          <cell r="F4460" t="str">
            <v>PAQ14a16</v>
          </cell>
          <cell r="G4460" t="str">
            <v>B</v>
          </cell>
          <cell r="H4460">
            <v>140.03</v>
          </cell>
        </row>
        <row r="4461">
          <cell r="A4461" t="str">
            <v>1;61;II;B;PAQ16a18</v>
          </cell>
          <cell r="B4461">
            <v>730069</v>
          </cell>
          <cell r="C4461" t="str">
            <v>II</v>
          </cell>
          <cell r="D4461" t="str">
            <v>INTRA ISLAS PORTUGAL</v>
          </cell>
          <cell r="E4461" t="str">
            <v>61</v>
          </cell>
          <cell r="F4461" t="str">
            <v>PAQ16a18</v>
          </cell>
          <cell r="G4461" t="str">
            <v>B</v>
          </cell>
          <cell r="H4461">
            <v>152.79</v>
          </cell>
        </row>
        <row r="4462">
          <cell r="A4462" t="str">
            <v>1;61;II;B;PAQ18a20</v>
          </cell>
          <cell r="B4462">
            <v>730069</v>
          </cell>
          <cell r="C4462" t="str">
            <v>II</v>
          </cell>
          <cell r="D4462" t="str">
            <v>INTRA ISLAS PORTUGAL</v>
          </cell>
          <cell r="E4462" t="str">
            <v>61</v>
          </cell>
          <cell r="F4462" t="str">
            <v>PAQ18a20</v>
          </cell>
          <cell r="G4462" t="str">
            <v>B</v>
          </cell>
          <cell r="H4462">
            <v>165.53</v>
          </cell>
        </row>
        <row r="4463">
          <cell r="A4463" t="str">
            <v>1;61;II;B;PAQ20a22</v>
          </cell>
          <cell r="B4463">
            <v>730069</v>
          </cell>
          <cell r="C4463" t="str">
            <v>II</v>
          </cell>
          <cell r="D4463" t="str">
            <v>INTRA ISLAS PORTUGAL</v>
          </cell>
          <cell r="E4463" t="str">
            <v>61</v>
          </cell>
          <cell r="F4463" t="str">
            <v>PAQ20a22</v>
          </cell>
          <cell r="G4463" t="str">
            <v>B</v>
          </cell>
          <cell r="H4463">
            <v>178.29</v>
          </cell>
        </row>
        <row r="4464">
          <cell r="A4464" t="str">
            <v>1;61;II;B;PAQ22a24</v>
          </cell>
          <cell r="B4464">
            <v>730069</v>
          </cell>
          <cell r="C4464" t="str">
            <v>II</v>
          </cell>
          <cell r="D4464" t="str">
            <v>INTRA ISLAS PORTUGAL</v>
          </cell>
          <cell r="E4464" t="str">
            <v>61</v>
          </cell>
          <cell r="F4464" t="str">
            <v>PAQ22a24</v>
          </cell>
          <cell r="G4464" t="str">
            <v>B</v>
          </cell>
          <cell r="H4464">
            <v>191.04</v>
          </cell>
        </row>
        <row r="4465">
          <cell r="A4465" t="str">
            <v>1;61;II;B;PAQ24a26</v>
          </cell>
          <cell r="B4465">
            <v>730069</v>
          </cell>
          <cell r="C4465" t="str">
            <v>II</v>
          </cell>
          <cell r="D4465" t="str">
            <v>INTRA ISLAS PORTUGAL</v>
          </cell>
          <cell r="E4465" t="str">
            <v>61</v>
          </cell>
          <cell r="F4465" t="str">
            <v>PAQ24a26</v>
          </cell>
          <cell r="G4465" t="str">
            <v>B</v>
          </cell>
          <cell r="H4465">
            <v>203.78</v>
          </cell>
        </row>
        <row r="4466">
          <cell r="A4466" t="str">
            <v>1;61;II;B;PAQ26a28</v>
          </cell>
          <cell r="B4466">
            <v>730069</v>
          </cell>
          <cell r="C4466" t="str">
            <v>II</v>
          </cell>
          <cell r="D4466" t="str">
            <v>INTRA ISLAS PORTUGAL</v>
          </cell>
          <cell r="E4466" t="str">
            <v>61</v>
          </cell>
          <cell r="F4466" t="str">
            <v>PAQ26a28</v>
          </cell>
          <cell r="G4466" t="str">
            <v>B</v>
          </cell>
          <cell r="H4466">
            <v>216.54</v>
          </cell>
        </row>
        <row r="4467">
          <cell r="A4467" t="str">
            <v>1;61;II;B;PAQ28a30</v>
          </cell>
          <cell r="B4467">
            <v>730069</v>
          </cell>
          <cell r="C4467" t="str">
            <v>II</v>
          </cell>
          <cell r="D4467" t="str">
            <v>INTRA ISLAS PORTUGAL</v>
          </cell>
          <cell r="E4467" t="str">
            <v>61</v>
          </cell>
          <cell r="F4467" t="str">
            <v>PAQ28a30</v>
          </cell>
          <cell r="G4467" t="str">
            <v>B</v>
          </cell>
          <cell r="H4467">
            <v>229.29</v>
          </cell>
        </row>
        <row r="4468">
          <cell r="A4468" t="str">
            <v>1;61;II;B;PAQ30a32</v>
          </cell>
          <cell r="B4468">
            <v>730069</v>
          </cell>
          <cell r="C4468" t="str">
            <v>II</v>
          </cell>
          <cell r="D4468" t="str">
            <v>INTRA ISLAS PORTUGAL</v>
          </cell>
          <cell r="E4468" t="str">
            <v>61</v>
          </cell>
          <cell r="F4468" t="str">
            <v>PAQ30a32</v>
          </cell>
          <cell r="G4468" t="str">
            <v>B</v>
          </cell>
          <cell r="H4468">
            <v>242.04</v>
          </cell>
        </row>
        <row r="4469">
          <cell r="A4469" t="str">
            <v>1;61;II;B;PAQ32a34</v>
          </cell>
          <cell r="B4469">
            <v>730069</v>
          </cell>
          <cell r="C4469" t="str">
            <v>II</v>
          </cell>
          <cell r="D4469" t="str">
            <v>INTRA ISLAS PORTUGAL</v>
          </cell>
          <cell r="E4469" t="str">
            <v>61</v>
          </cell>
          <cell r="F4469" t="str">
            <v>PAQ32a34</v>
          </cell>
          <cell r="G4469" t="str">
            <v>B</v>
          </cell>
          <cell r="H4469">
            <v>254.79</v>
          </cell>
        </row>
        <row r="4470">
          <cell r="A4470" t="str">
            <v>1;61;II;B;PAQ34a36</v>
          </cell>
          <cell r="B4470">
            <v>730069</v>
          </cell>
          <cell r="C4470" t="str">
            <v>II</v>
          </cell>
          <cell r="D4470" t="str">
            <v>INTRA ISLAS PORTUGAL</v>
          </cell>
          <cell r="E4470" t="str">
            <v>61</v>
          </cell>
          <cell r="F4470" t="str">
            <v>PAQ34a36</v>
          </cell>
          <cell r="G4470" t="str">
            <v>B</v>
          </cell>
          <cell r="H4470">
            <v>267.54000000000002</v>
          </cell>
        </row>
        <row r="4471">
          <cell r="A4471" t="str">
            <v>1;61;II;B;PAQ36a38</v>
          </cell>
          <cell r="B4471">
            <v>730069</v>
          </cell>
          <cell r="C4471" t="str">
            <v>II</v>
          </cell>
          <cell r="D4471" t="str">
            <v>INTRA ISLAS PORTUGAL</v>
          </cell>
          <cell r="E4471" t="str">
            <v>61</v>
          </cell>
          <cell r="F4471" t="str">
            <v>PAQ36a38</v>
          </cell>
          <cell r="G4471" t="str">
            <v>B</v>
          </cell>
          <cell r="H4471">
            <v>280.3</v>
          </cell>
        </row>
        <row r="4472">
          <cell r="A4472" t="str">
            <v>1;61;II;F;</v>
          </cell>
          <cell r="B4472">
            <v>730069</v>
          </cell>
          <cell r="C4472" t="str">
            <v>II</v>
          </cell>
          <cell r="D4472" t="str">
            <v>INTRA ISLAS PORTUGAL</v>
          </cell>
          <cell r="E4472" t="str">
            <v>61</v>
          </cell>
          <cell r="F4472" t="str">
            <v/>
          </cell>
          <cell r="G4472" t="str">
            <v>F</v>
          </cell>
          <cell r="H4472">
            <v>12.75</v>
          </cell>
        </row>
        <row r="4473">
          <cell r="A4473" t="str">
            <v>1;61;II;B;PAQ38a40</v>
          </cell>
          <cell r="B4473">
            <v>730069</v>
          </cell>
          <cell r="C4473" t="str">
            <v>II</v>
          </cell>
          <cell r="D4473" t="str">
            <v>INTRA ISLAS PORTUGAL</v>
          </cell>
          <cell r="E4473" t="str">
            <v>61</v>
          </cell>
          <cell r="F4473" t="str">
            <v>PAQ38a40</v>
          </cell>
          <cell r="G4473" t="str">
            <v>B</v>
          </cell>
          <cell r="H4473">
            <v>293.04000000000002</v>
          </cell>
        </row>
        <row r="4474">
          <cell r="A4474" t="str">
            <v>1;61;II;E;</v>
          </cell>
          <cell r="B4474">
            <v>730069</v>
          </cell>
          <cell r="C4474" t="str">
            <v>II</v>
          </cell>
          <cell r="D4474" t="str">
            <v>INTRA ISLAS PORTUGAL</v>
          </cell>
          <cell r="E4474" t="str">
            <v>61</v>
          </cell>
          <cell r="F4474" t="str">
            <v/>
          </cell>
          <cell r="G4474" t="str">
            <v>E</v>
          </cell>
          <cell r="H4474">
            <v>0</v>
          </cell>
        </row>
        <row r="4475">
          <cell r="A4475" t="str">
            <v>1;61;II;P;</v>
          </cell>
          <cell r="B4475">
            <v>730069</v>
          </cell>
          <cell r="C4475" t="str">
            <v>II</v>
          </cell>
          <cell r="D4475" t="str">
            <v>INTRA ISLAS PORTUGAL</v>
          </cell>
          <cell r="E4475" t="str">
            <v>61</v>
          </cell>
          <cell r="F4475" t="str">
            <v/>
          </cell>
          <cell r="G4475" t="str">
            <v>P</v>
          </cell>
          <cell r="H4475">
            <v>0</v>
          </cell>
        </row>
        <row r="4476">
          <cell r="A4476" t="str">
            <v>1;08;IM;B;BAG</v>
          </cell>
          <cell r="B4476">
            <v>730069</v>
          </cell>
          <cell r="C4476" t="str">
            <v>IM</v>
          </cell>
          <cell r="D4476" t="str">
            <v>INTRAISLAS MADEIRA</v>
          </cell>
          <cell r="E4476" t="str">
            <v>08</v>
          </cell>
          <cell r="F4476" t="str">
            <v>BAG</v>
          </cell>
          <cell r="G4476" t="str">
            <v>B</v>
          </cell>
          <cell r="H4476">
            <v>7.22</v>
          </cell>
        </row>
        <row r="4477">
          <cell r="A4477" t="str">
            <v>1;08;IM;B;DOCS</v>
          </cell>
          <cell r="B4477">
            <v>730069</v>
          </cell>
          <cell r="C4477" t="str">
            <v>IM</v>
          </cell>
          <cell r="D4477" t="str">
            <v>INTRAISLAS MADEIRA</v>
          </cell>
          <cell r="E4477" t="str">
            <v>08</v>
          </cell>
          <cell r="F4477" t="str">
            <v>DOCS</v>
          </cell>
          <cell r="G4477" t="str">
            <v>B</v>
          </cell>
          <cell r="H4477">
            <v>7.22</v>
          </cell>
        </row>
        <row r="4478">
          <cell r="A4478" t="str">
            <v>1;08;IM;B;PAQ00a02</v>
          </cell>
          <cell r="B4478">
            <v>730069</v>
          </cell>
          <cell r="C4478" t="str">
            <v>IM</v>
          </cell>
          <cell r="D4478" t="str">
            <v>INTRAISLAS MADEIRA</v>
          </cell>
          <cell r="E4478" t="str">
            <v>08</v>
          </cell>
          <cell r="F4478" t="str">
            <v>PAQ00a02</v>
          </cell>
          <cell r="G4478" t="str">
            <v>B</v>
          </cell>
          <cell r="H4478">
            <v>7.22</v>
          </cell>
        </row>
        <row r="4479">
          <cell r="A4479" t="str">
            <v>1;08;IM;B;PAQ02a05</v>
          </cell>
          <cell r="B4479">
            <v>730069</v>
          </cell>
          <cell r="C4479" t="str">
            <v>IM</v>
          </cell>
          <cell r="D4479" t="str">
            <v>INTRAISLAS MADEIRA</v>
          </cell>
          <cell r="E4479" t="str">
            <v>08</v>
          </cell>
          <cell r="F4479" t="str">
            <v>PAQ02a05</v>
          </cell>
          <cell r="G4479" t="str">
            <v>B</v>
          </cell>
          <cell r="H4479">
            <v>8.0500000000000007</v>
          </cell>
        </row>
        <row r="4480">
          <cell r="A4480" t="str">
            <v>1;08;IM;B;PAQ05a10</v>
          </cell>
          <cell r="B4480">
            <v>730069</v>
          </cell>
          <cell r="C4480" t="str">
            <v>IM</v>
          </cell>
          <cell r="D4480" t="str">
            <v>INTRAISLAS MADEIRA</v>
          </cell>
          <cell r="E4480" t="str">
            <v>08</v>
          </cell>
          <cell r="F4480" t="str">
            <v>PAQ05a10</v>
          </cell>
          <cell r="G4480" t="str">
            <v>B</v>
          </cell>
          <cell r="H4480">
            <v>10.25</v>
          </cell>
        </row>
        <row r="4481">
          <cell r="A4481" t="str">
            <v>1;08;IM;B;PAQ10a15</v>
          </cell>
          <cell r="B4481">
            <v>730069</v>
          </cell>
          <cell r="C4481" t="str">
            <v>IM</v>
          </cell>
          <cell r="D4481" t="str">
            <v>INTRAISLAS MADEIRA</v>
          </cell>
          <cell r="E4481" t="str">
            <v>08</v>
          </cell>
          <cell r="F4481" t="str">
            <v>PAQ10a15</v>
          </cell>
          <cell r="G4481" t="str">
            <v>B</v>
          </cell>
          <cell r="H4481">
            <v>14.51</v>
          </cell>
        </row>
        <row r="4482">
          <cell r="A4482" t="str">
            <v>1;08;IM;B;PAQ15a20</v>
          </cell>
          <cell r="B4482">
            <v>730069</v>
          </cell>
          <cell r="C4482" t="str">
            <v>IM</v>
          </cell>
          <cell r="D4482" t="str">
            <v>INTRAISLAS MADEIRA</v>
          </cell>
          <cell r="E4482" t="str">
            <v>08</v>
          </cell>
          <cell r="F4482" t="str">
            <v>PAQ15a20</v>
          </cell>
          <cell r="G4482" t="str">
            <v>B</v>
          </cell>
          <cell r="H4482">
            <v>18.77</v>
          </cell>
        </row>
        <row r="4483">
          <cell r="A4483" t="str">
            <v>1;08;IM;B;PAQ20a25</v>
          </cell>
          <cell r="B4483">
            <v>730069</v>
          </cell>
          <cell r="C4483" t="str">
            <v>IM</v>
          </cell>
          <cell r="D4483" t="str">
            <v>INTRAISLAS MADEIRA</v>
          </cell>
          <cell r="E4483" t="str">
            <v>08</v>
          </cell>
          <cell r="F4483" t="str">
            <v>PAQ20a25</v>
          </cell>
          <cell r="G4483" t="str">
            <v>B</v>
          </cell>
          <cell r="H4483">
            <v>23.04</v>
          </cell>
        </row>
        <row r="4484">
          <cell r="A4484" t="str">
            <v>1;08;IM;B;PAQ25a30</v>
          </cell>
          <cell r="B4484">
            <v>730069</v>
          </cell>
          <cell r="C4484" t="str">
            <v>IM</v>
          </cell>
          <cell r="D4484" t="str">
            <v>INTRAISLAS MADEIRA</v>
          </cell>
          <cell r="E4484" t="str">
            <v>08</v>
          </cell>
          <cell r="F4484" t="str">
            <v>PAQ25a30</v>
          </cell>
          <cell r="G4484" t="str">
            <v>B</v>
          </cell>
          <cell r="H4484">
            <v>27.3</v>
          </cell>
        </row>
        <row r="4485">
          <cell r="A4485" t="str">
            <v>1;08;IM;B;PAQ30a35</v>
          </cell>
          <cell r="B4485">
            <v>730069</v>
          </cell>
          <cell r="C4485" t="str">
            <v>IM</v>
          </cell>
          <cell r="D4485" t="str">
            <v>INTRAISLAS MADEIRA</v>
          </cell>
          <cell r="E4485" t="str">
            <v>08</v>
          </cell>
          <cell r="F4485" t="str">
            <v>PAQ30a35</v>
          </cell>
          <cell r="G4485" t="str">
            <v>B</v>
          </cell>
          <cell r="H4485">
            <v>31.55</v>
          </cell>
        </row>
        <row r="4486">
          <cell r="A4486" t="str">
            <v>1;08;IM;B;PAQ35a40</v>
          </cell>
          <cell r="B4486">
            <v>730069</v>
          </cell>
          <cell r="C4486" t="str">
            <v>IM</v>
          </cell>
          <cell r="D4486" t="str">
            <v>INTRAISLAS MADEIRA</v>
          </cell>
          <cell r="E4486" t="str">
            <v>08</v>
          </cell>
          <cell r="F4486" t="str">
            <v>PAQ35a40</v>
          </cell>
          <cell r="G4486" t="str">
            <v>B</v>
          </cell>
          <cell r="H4486">
            <v>35.81</v>
          </cell>
        </row>
        <row r="4487">
          <cell r="A4487" t="str">
            <v>1;08;IM;F;</v>
          </cell>
          <cell r="B4487">
            <v>730069</v>
          </cell>
          <cell r="C4487" t="str">
            <v>IM</v>
          </cell>
          <cell r="D4487" t="str">
            <v>INTRAISLAS MADEIRA</v>
          </cell>
          <cell r="E4487" t="str">
            <v>08</v>
          </cell>
          <cell r="F4487" t="str">
            <v/>
          </cell>
          <cell r="G4487" t="str">
            <v>F</v>
          </cell>
          <cell r="H4487">
            <v>4.87</v>
          </cell>
        </row>
        <row r="4488">
          <cell r="A4488" t="str">
            <v>1;08;IM;E;</v>
          </cell>
          <cell r="B4488">
            <v>730069</v>
          </cell>
          <cell r="C4488" t="str">
            <v>IM</v>
          </cell>
          <cell r="D4488" t="str">
            <v>INTRAISLAS MADEIRA</v>
          </cell>
          <cell r="E4488" t="str">
            <v>08</v>
          </cell>
          <cell r="F4488" t="str">
            <v/>
          </cell>
          <cell r="G4488" t="str">
            <v>E</v>
          </cell>
          <cell r="H4488">
            <v>4.87</v>
          </cell>
        </row>
        <row r="4489">
          <cell r="A4489" t="str">
            <v>1;08;IM;P;</v>
          </cell>
          <cell r="B4489">
            <v>730069</v>
          </cell>
          <cell r="C4489" t="str">
            <v>IM</v>
          </cell>
          <cell r="D4489" t="str">
            <v>INTRAISLAS MADEIRA</v>
          </cell>
          <cell r="E4489" t="str">
            <v>08</v>
          </cell>
          <cell r="F4489" t="str">
            <v/>
          </cell>
          <cell r="G4489" t="str">
            <v>P</v>
          </cell>
          <cell r="H4489">
            <v>0</v>
          </cell>
        </row>
        <row r="4490">
          <cell r="A4490" t="str">
            <v>1;01;IP;B;BAG</v>
          </cell>
          <cell r="B4490">
            <v>730069</v>
          </cell>
          <cell r="C4490" t="str">
            <v>IP</v>
          </cell>
          <cell r="D4490" t="str">
            <v>ISLAS PORTUGAL</v>
          </cell>
          <cell r="E4490" t="str">
            <v>01</v>
          </cell>
          <cell r="F4490" t="str">
            <v>BAG</v>
          </cell>
          <cell r="G4490" t="str">
            <v>B</v>
          </cell>
          <cell r="H4490">
            <v>26.63</v>
          </cell>
        </row>
        <row r="4491">
          <cell r="A4491" t="str">
            <v>1;01;IP;B;DOCS</v>
          </cell>
          <cell r="B4491">
            <v>730069</v>
          </cell>
          <cell r="C4491" t="str">
            <v>IP</v>
          </cell>
          <cell r="D4491" t="str">
            <v>ISLAS PORTUGAL</v>
          </cell>
          <cell r="E4491" t="str">
            <v>01</v>
          </cell>
          <cell r="F4491" t="str">
            <v>DOCS</v>
          </cell>
          <cell r="G4491" t="str">
            <v>B</v>
          </cell>
          <cell r="H4491">
            <v>9.7799999999999994</v>
          </cell>
        </row>
        <row r="4492">
          <cell r="A4492" t="str">
            <v>1;01;IP;B;PAQ00a02</v>
          </cell>
          <cell r="B4492">
            <v>730069</v>
          </cell>
          <cell r="C4492" t="str">
            <v>IP</v>
          </cell>
          <cell r="D4492" t="str">
            <v>ISLAS PORTUGAL</v>
          </cell>
          <cell r="E4492" t="str">
            <v>01</v>
          </cell>
          <cell r="F4492" t="str">
            <v>PAQ00a02</v>
          </cell>
          <cell r="G4492" t="str">
            <v>B</v>
          </cell>
          <cell r="H4492">
            <v>29</v>
          </cell>
        </row>
        <row r="4493">
          <cell r="A4493" t="str">
            <v>1;01;IP;B;PAQ02a04</v>
          </cell>
          <cell r="B4493">
            <v>730069</v>
          </cell>
          <cell r="C4493" t="str">
            <v>IP</v>
          </cell>
          <cell r="D4493" t="str">
            <v>ISLAS PORTUGAL</v>
          </cell>
          <cell r="E4493" t="str">
            <v>01</v>
          </cell>
          <cell r="F4493" t="str">
            <v>PAQ02a04</v>
          </cell>
          <cell r="G4493" t="str">
            <v>B</v>
          </cell>
          <cell r="H4493">
            <v>39.409999999999997</v>
          </cell>
        </row>
        <row r="4494">
          <cell r="A4494" t="str">
            <v>1;01;IP;B;PAQ04a06</v>
          </cell>
          <cell r="B4494">
            <v>730069</v>
          </cell>
          <cell r="C4494" t="str">
            <v>IP</v>
          </cell>
          <cell r="D4494" t="str">
            <v>ISLAS PORTUGAL</v>
          </cell>
          <cell r="E4494" t="str">
            <v>01</v>
          </cell>
          <cell r="F4494" t="str">
            <v>PAQ04a06</v>
          </cell>
          <cell r="G4494" t="str">
            <v>B</v>
          </cell>
          <cell r="H4494">
            <v>48.38</v>
          </cell>
        </row>
        <row r="4495">
          <cell r="A4495" t="str">
            <v>1;01;IP;B;PAQ06a08</v>
          </cell>
          <cell r="B4495">
            <v>730069</v>
          </cell>
          <cell r="C4495" t="str">
            <v>IP</v>
          </cell>
          <cell r="D4495" t="str">
            <v>ISLAS PORTUGAL</v>
          </cell>
          <cell r="E4495" t="str">
            <v>01</v>
          </cell>
          <cell r="F4495" t="str">
            <v>PAQ06a08</v>
          </cell>
          <cell r="G4495" t="str">
            <v>B</v>
          </cell>
          <cell r="H4495">
            <v>57.36</v>
          </cell>
        </row>
        <row r="4496">
          <cell r="A4496" t="str">
            <v>1;01;IP;B;PAQ08a10</v>
          </cell>
          <cell r="B4496">
            <v>730069</v>
          </cell>
          <cell r="C4496" t="str">
            <v>IP</v>
          </cell>
          <cell r="D4496" t="str">
            <v>ISLAS PORTUGAL</v>
          </cell>
          <cell r="E4496" t="str">
            <v>01</v>
          </cell>
          <cell r="F4496" t="str">
            <v>PAQ08a10</v>
          </cell>
          <cell r="G4496" t="str">
            <v>B</v>
          </cell>
          <cell r="H4496">
            <v>66.36</v>
          </cell>
        </row>
        <row r="4497">
          <cell r="A4497" t="str">
            <v>1;01;IP;B;PAQ10a12</v>
          </cell>
          <cell r="B4497">
            <v>730069</v>
          </cell>
          <cell r="C4497" t="str">
            <v>IP</v>
          </cell>
          <cell r="D4497" t="str">
            <v>ISLAS PORTUGAL</v>
          </cell>
          <cell r="E4497" t="str">
            <v>01</v>
          </cell>
          <cell r="F4497" t="str">
            <v>PAQ10a12</v>
          </cell>
          <cell r="G4497" t="str">
            <v>B</v>
          </cell>
          <cell r="H4497">
            <v>74.31</v>
          </cell>
        </row>
        <row r="4498">
          <cell r="A4498" t="str">
            <v>1;01;IP;B;PAQ12a14</v>
          </cell>
          <cell r="B4498">
            <v>730069</v>
          </cell>
          <cell r="C4498" t="str">
            <v>IP</v>
          </cell>
          <cell r="D4498" t="str">
            <v>ISLAS PORTUGAL</v>
          </cell>
          <cell r="E4498" t="str">
            <v>01</v>
          </cell>
          <cell r="F4498" t="str">
            <v>PAQ12a14</v>
          </cell>
          <cell r="G4498" t="str">
            <v>B</v>
          </cell>
          <cell r="H4498">
            <v>82.26</v>
          </cell>
        </row>
        <row r="4499">
          <cell r="A4499" t="str">
            <v>1;01;IP;B;PAQ14a16</v>
          </cell>
          <cell r="B4499">
            <v>730069</v>
          </cell>
          <cell r="C4499" t="str">
            <v>IP</v>
          </cell>
          <cell r="D4499" t="str">
            <v>ISLAS PORTUGAL</v>
          </cell>
          <cell r="E4499" t="str">
            <v>01</v>
          </cell>
          <cell r="F4499" t="str">
            <v>PAQ14a16</v>
          </cell>
          <cell r="G4499" t="str">
            <v>B</v>
          </cell>
          <cell r="H4499">
            <v>90.21</v>
          </cell>
        </row>
        <row r="4500">
          <cell r="A4500" t="str">
            <v>1;01;IP;B;PAQ16a18</v>
          </cell>
          <cell r="B4500">
            <v>730069</v>
          </cell>
          <cell r="C4500" t="str">
            <v>IP</v>
          </cell>
          <cell r="D4500" t="str">
            <v>ISLAS PORTUGAL</v>
          </cell>
          <cell r="E4500" t="str">
            <v>01</v>
          </cell>
          <cell r="F4500" t="str">
            <v>PAQ16a18</v>
          </cell>
          <cell r="G4500" t="str">
            <v>B</v>
          </cell>
          <cell r="H4500">
            <v>98.15</v>
          </cell>
        </row>
        <row r="4501">
          <cell r="A4501" t="str">
            <v>1;01;IP;B;PAQ18a20</v>
          </cell>
          <cell r="B4501">
            <v>730069</v>
          </cell>
          <cell r="C4501" t="str">
            <v>IP</v>
          </cell>
          <cell r="D4501" t="str">
            <v>ISLAS PORTUGAL</v>
          </cell>
          <cell r="E4501" t="str">
            <v>01</v>
          </cell>
          <cell r="F4501" t="str">
            <v>PAQ18a20</v>
          </cell>
          <cell r="G4501" t="str">
            <v>B</v>
          </cell>
          <cell r="H4501">
            <v>106.1</v>
          </cell>
        </row>
        <row r="4502">
          <cell r="A4502" t="str">
            <v>1;01;IP;B;PAQ20a22</v>
          </cell>
          <cell r="B4502">
            <v>730069</v>
          </cell>
          <cell r="C4502" t="str">
            <v>IP</v>
          </cell>
          <cell r="D4502" t="str">
            <v>ISLAS PORTUGAL</v>
          </cell>
          <cell r="E4502" t="str">
            <v>01</v>
          </cell>
          <cell r="F4502" t="str">
            <v>PAQ20a22</v>
          </cell>
          <cell r="G4502" t="str">
            <v>B</v>
          </cell>
          <cell r="H4502">
            <v>114.05</v>
          </cell>
        </row>
        <row r="4503">
          <cell r="A4503" t="str">
            <v>1;01;IP;B;PAQ22a24</v>
          </cell>
          <cell r="B4503">
            <v>730069</v>
          </cell>
          <cell r="C4503" t="str">
            <v>IP</v>
          </cell>
          <cell r="D4503" t="str">
            <v>ISLAS PORTUGAL</v>
          </cell>
          <cell r="E4503" t="str">
            <v>01</v>
          </cell>
          <cell r="F4503" t="str">
            <v>PAQ22a24</v>
          </cell>
          <cell r="G4503" t="str">
            <v>B</v>
          </cell>
          <cell r="H4503">
            <v>122</v>
          </cell>
        </row>
        <row r="4504">
          <cell r="A4504" t="str">
            <v>1;01;IP;B;PAQ24a26</v>
          </cell>
          <cell r="B4504">
            <v>730069</v>
          </cell>
          <cell r="C4504" t="str">
            <v>IP</v>
          </cell>
          <cell r="D4504" t="str">
            <v>ISLAS PORTUGAL</v>
          </cell>
          <cell r="E4504" t="str">
            <v>01</v>
          </cell>
          <cell r="F4504" t="str">
            <v>PAQ24a26</v>
          </cell>
          <cell r="G4504" t="str">
            <v>B</v>
          </cell>
          <cell r="H4504">
            <v>129.94999999999999</v>
          </cell>
        </row>
        <row r="4505">
          <cell r="A4505" t="str">
            <v>1;01;IP;B;PAQ26a28</v>
          </cell>
          <cell r="B4505">
            <v>730069</v>
          </cell>
          <cell r="C4505" t="str">
            <v>IP</v>
          </cell>
          <cell r="D4505" t="str">
            <v>ISLAS PORTUGAL</v>
          </cell>
          <cell r="E4505" t="str">
            <v>01</v>
          </cell>
          <cell r="F4505" t="str">
            <v>PAQ26a28</v>
          </cell>
          <cell r="G4505" t="str">
            <v>B</v>
          </cell>
          <cell r="H4505">
            <v>137.91</v>
          </cell>
        </row>
        <row r="4506">
          <cell r="A4506" t="str">
            <v>1;01;IP;B;PAQ28a30</v>
          </cell>
          <cell r="B4506">
            <v>730069</v>
          </cell>
          <cell r="C4506" t="str">
            <v>IP</v>
          </cell>
          <cell r="D4506" t="str">
            <v>ISLAS PORTUGAL</v>
          </cell>
          <cell r="E4506" t="str">
            <v>01</v>
          </cell>
          <cell r="F4506" t="str">
            <v>PAQ28a30</v>
          </cell>
          <cell r="G4506" t="str">
            <v>B</v>
          </cell>
          <cell r="H4506">
            <v>145.86000000000001</v>
          </cell>
        </row>
        <row r="4507">
          <cell r="A4507" t="str">
            <v>1;01;IP;B;PAQ30a32</v>
          </cell>
          <cell r="B4507">
            <v>730069</v>
          </cell>
          <cell r="C4507" t="str">
            <v>IP</v>
          </cell>
          <cell r="D4507" t="str">
            <v>ISLAS PORTUGAL</v>
          </cell>
          <cell r="E4507" t="str">
            <v>01</v>
          </cell>
          <cell r="F4507" t="str">
            <v>PAQ30a32</v>
          </cell>
          <cell r="G4507" t="str">
            <v>B</v>
          </cell>
          <cell r="H4507">
            <v>153.80000000000001</v>
          </cell>
        </row>
        <row r="4508">
          <cell r="A4508" t="str">
            <v>1;01;IP;B;PAQ32a34</v>
          </cell>
          <cell r="B4508">
            <v>730069</v>
          </cell>
          <cell r="C4508" t="str">
            <v>IP</v>
          </cell>
          <cell r="D4508" t="str">
            <v>ISLAS PORTUGAL</v>
          </cell>
          <cell r="E4508" t="str">
            <v>01</v>
          </cell>
          <cell r="F4508" t="str">
            <v>PAQ32a34</v>
          </cell>
          <cell r="G4508" t="str">
            <v>B</v>
          </cell>
          <cell r="H4508">
            <v>161.75</v>
          </cell>
        </row>
        <row r="4509">
          <cell r="A4509" t="str">
            <v>1;01;IP;B;PAQ34a36</v>
          </cell>
          <cell r="B4509">
            <v>730069</v>
          </cell>
          <cell r="C4509" t="str">
            <v>IP</v>
          </cell>
          <cell r="D4509" t="str">
            <v>ISLAS PORTUGAL</v>
          </cell>
          <cell r="E4509" t="str">
            <v>01</v>
          </cell>
          <cell r="F4509" t="str">
            <v>PAQ34a36</v>
          </cell>
          <cell r="G4509" t="str">
            <v>B</v>
          </cell>
          <cell r="H4509">
            <v>169.7</v>
          </cell>
        </row>
        <row r="4510">
          <cell r="A4510" t="str">
            <v>1;01;IP;B;PAQ36a38</v>
          </cell>
          <cell r="B4510">
            <v>730069</v>
          </cell>
          <cell r="C4510" t="str">
            <v>IP</v>
          </cell>
          <cell r="D4510" t="str">
            <v>ISLAS PORTUGAL</v>
          </cell>
          <cell r="E4510" t="str">
            <v>01</v>
          </cell>
          <cell r="F4510" t="str">
            <v>PAQ36a38</v>
          </cell>
          <cell r="G4510" t="str">
            <v>B</v>
          </cell>
          <cell r="H4510">
            <v>177.65</v>
          </cell>
        </row>
        <row r="4511">
          <cell r="A4511" t="str">
            <v>1;01;IP;B;PAQ38a40</v>
          </cell>
          <cell r="B4511">
            <v>730069</v>
          </cell>
          <cell r="C4511" t="str">
            <v>IP</v>
          </cell>
          <cell r="D4511" t="str">
            <v>ISLAS PORTUGAL</v>
          </cell>
          <cell r="E4511" t="str">
            <v>01</v>
          </cell>
          <cell r="F4511" t="str">
            <v>PAQ38a40</v>
          </cell>
          <cell r="G4511" t="str">
            <v>B</v>
          </cell>
          <cell r="H4511">
            <v>185.6</v>
          </cell>
        </row>
        <row r="4512">
          <cell r="A4512" t="str">
            <v>1;01;IP;F;</v>
          </cell>
          <cell r="B4512">
            <v>730069</v>
          </cell>
          <cell r="C4512" t="str">
            <v>IP</v>
          </cell>
          <cell r="D4512" t="str">
            <v>ISLAS PORTUGAL</v>
          </cell>
          <cell r="E4512" t="str">
            <v>01</v>
          </cell>
          <cell r="F4512" t="str">
            <v/>
          </cell>
          <cell r="G4512" t="str">
            <v>F</v>
          </cell>
          <cell r="H4512">
            <v>7.95</v>
          </cell>
        </row>
        <row r="4513">
          <cell r="A4513" t="str">
            <v>1;01;IP;P;</v>
          </cell>
          <cell r="B4513">
            <v>730069</v>
          </cell>
          <cell r="C4513" t="str">
            <v>IP</v>
          </cell>
          <cell r="D4513" t="str">
            <v>ISLAS PORTUGAL</v>
          </cell>
          <cell r="E4513" t="str">
            <v>01</v>
          </cell>
          <cell r="F4513" t="str">
            <v/>
          </cell>
          <cell r="G4513" t="str">
            <v>P</v>
          </cell>
          <cell r="H4513">
            <v>0</v>
          </cell>
        </row>
        <row r="4514">
          <cell r="A4514" t="str">
            <v>1;01;IP;E;</v>
          </cell>
          <cell r="B4514">
            <v>730069</v>
          </cell>
          <cell r="C4514" t="str">
            <v>IP</v>
          </cell>
          <cell r="D4514" t="str">
            <v>ISLAS PORTUGAL</v>
          </cell>
          <cell r="E4514" t="str">
            <v>01</v>
          </cell>
          <cell r="F4514" t="str">
            <v/>
          </cell>
          <cell r="G4514" t="str">
            <v>E</v>
          </cell>
          <cell r="H4514">
            <v>0</v>
          </cell>
        </row>
        <row r="4515">
          <cell r="A4515" t="str">
            <v>1;04;IP;B;BAG</v>
          </cell>
          <cell r="B4515">
            <v>730069</v>
          </cell>
          <cell r="C4515" t="str">
            <v>IP</v>
          </cell>
          <cell r="D4515" t="str">
            <v>ISLAS PORTUGAL</v>
          </cell>
          <cell r="E4515" t="str">
            <v>04</v>
          </cell>
          <cell r="F4515" t="str">
            <v>BAG</v>
          </cell>
          <cell r="G4515" t="str">
            <v>B</v>
          </cell>
          <cell r="H4515">
            <v>5.66</v>
          </cell>
        </row>
        <row r="4516">
          <cell r="A4516" t="str">
            <v>1;05;IP;B;BAG</v>
          </cell>
          <cell r="B4516">
            <v>730069</v>
          </cell>
          <cell r="C4516" t="str">
            <v>IP</v>
          </cell>
          <cell r="D4516" t="str">
            <v>ISLAS PORTUGAL</v>
          </cell>
          <cell r="E4516" t="str">
            <v>05</v>
          </cell>
          <cell r="F4516" t="str">
            <v>BAG</v>
          </cell>
          <cell r="G4516" t="str">
            <v>B</v>
          </cell>
          <cell r="H4516">
            <v>5.66</v>
          </cell>
        </row>
        <row r="4517">
          <cell r="A4517" t="str">
            <v>1;06;IP;B;BAG</v>
          </cell>
          <cell r="B4517">
            <v>730069</v>
          </cell>
          <cell r="C4517" t="str">
            <v>IP</v>
          </cell>
          <cell r="D4517" t="str">
            <v>ISLAS PORTUGAL</v>
          </cell>
          <cell r="E4517" t="str">
            <v>06</v>
          </cell>
          <cell r="F4517" t="str">
            <v>BAG</v>
          </cell>
          <cell r="G4517" t="str">
            <v>B</v>
          </cell>
          <cell r="H4517">
            <v>0</v>
          </cell>
        </row>
        <row r="4518">
          <cell r="A4518" t="str">
            <v>1;06;IP;B;DOCS</v>
          </cell>
          <cell r="B4518">
            <v>730069</v>
          </cell>
          <cell r="C4518" t="str">
            <v>IP</v>
          </cell>
          <cell r="D4518" t="str">
            <v>ISLAS PORTUGAL</v>
          </cell>
          <cell r="E4518" t="str">
            <v>06</v>
          </cell>
          <cell r="F4518" t="str">
            <v>DOCS</v>
          </cell>
          <cell r="G4518" t="str">
            <v>B</v>
          </cell>
          <cell r="H4518">
            <v>0</v>
          </cell>
        </row>
        <row r="4519">
          <cell r="A4519" t="str">
            <v>1;07;IP;B;BAG</v>
          </cell>
          <cell r="B4519">
            <v>730069</v>
          </cell>
          <cell r="C4519" t="str">
            <v>IP</v>
          </cell>
          <cell r="D4519" t="str">
            <v>ISLAS PORTUGAL</v>
          </cell>
          <cell r="E4519" t="str">
            <v>07</v>
          </cell>
          <cell r="F4519" t="str">
            <v>BAG</v>
          </cell>
          <cell r="G4519" t="str">
            <v>B</v>
          </cell>
          <cell r="H4519">
            <v>0</v>
          </cell>
        </row>
        <row r="4520">
          <cell r="A4520" t="str">
            <v>1;07;IP;B;DOCS</v>
          </cell>
          <cell r="B4520">
            <v>730069</v>
          </cell>
          <cell r="C4520" t="str">
            <v>IP</v>
          </cell>
          <cell r="D4520" t="str">
            <v>ISLAS PORTUGAL</v>
          </cell>
          <cell r="E4520" t="str">
            <v>07</v>
          </cell>
          <cell r="F4520" t="str">
            <v>DOCS</v>
          </cell>
          <cell r="G4520" t="str">
            <v>B</v>
          </cell>
          <cell r="H4520">
            <v>0</v>
          </cell>
        </row>
        <row r="4521">
          <cell r="A4521" t="str">
            <v>1;10;IP;B;BAG</v>
          </cell>
          <cell r="B4521">
            <v>730069</v>
          </cell>
          <cell r="C4521" t="str">
            <v>IP</v>
          </cell>
          <cell r="D4521" t="str">
            <v>ISLAS PORTUGAL</v>
          </cell>
          <cell r="E4521" t="str">
            <v>10</v>
          </cell>
          <cell r="F4521" t="str">
            <v>BAG</v>
          </cell>
          <cell r="G4521" t="str">
            <v>B</v>
          </cell>
          <cell r="H4521">
            <v>1.67</v>
          </cell>
        </row>
        <row r="4522">
          <cell r="A4522" t="str">
            <v>1;10;IP;B;DOCS</v>
          </cell>
          <cell r="B4522">
            <v>730069</v>
          </cell>
          <cell r="C4522" t="str">
            <v>IP</v>
          </cell>
          <cell r="D4522" t="str">
            <v>ISLAS PORTUGAL</v>
          </cell>
          <cell r="E4522" t="str">
            <v>10</v>
          </cell>
          <cell r="F4522" t="str">
            <v>DOCS</v>
          </cell>
          <cell r="G4522" t="str">
            <v>B</v>
          </cell>
          <cell r="H4522">
            <v>1.67</v>
          </cell>
        </row>
        <row r="4523">
          <cell r="A4523" t="str">
            <v>1;12;IP;B;BAG</v>
          </cell>
          <cell r="B4523">
            <v>730069</v>
          </cell>
          <cell r="C4523" t="str">
            <v>IP</v>
          </cell>
          <cell r="D4523" t="str">
            <v>ISLAS PORTUGAL</v>
          </cell>
          <cell r="E4523" t="str">
            <v>12</v>
          </cell>
          <cell r="F4523" t="str">
            <v>BAG</v>
          </cell>
          <cell r="G4523" t="str">
            <v>B</v>
          </cell>
          <cell r="H4523">
            <v>3.58</v>
          </cell>
        </row>
        <row r="4524">
          <cell r="A4524" t="str">
            <v>1;12;IP;B;DOCS</v>
          </cell>
          <cell r="B4524">
            <v>730069</v>
          </cell>
          <cell r="C4524" t="str">
            <v>IP</v>
          </cell>
          <cell r="D4524" t="str">
            <v>ISLAS PORTUGAL</v>
          </cell>
          <cell r="E4524" t="str">
            <v>12</v>
          </cell>
          <cell r="F4524" t="str">
            <v>DOCS</v>
          </cell>
          <cell r="G4524" t="str">
            <v>B</v>
          </cell>
          <cell r="H4524">
            <v>3.58</v>
          </cell>
        </row>
        <row r="4525">
          <cell r="A4525" t="str">
            <v>1;14;IP;B;BAG</v>
          </cell>
          <cell r="B4525">
            <v>730069</v>
          </cell>
          <cell r="C4525" t="str">
            <v>IP</v>
          </cell>
          <cell r="D4525" t="str">
            <v>ISLAS PORTUGAL</v>
          </cell>
          <cell r="E4525" t="str">
            <v>14</v>
          </cell>
          <cell r="F4525" t="str">
            <v>BAG</v>
          </cell>
          <cell r="G4525" t="str">
            <v>B</v>
          </cell>
          <cell r="H4525">
            <v>1.75</v>
          </cell>
        </row>
        <row r="4526">
          <cell r="A4526" t="str">
            <v>1;15;IP;B;BAG</v>
          </cell>
          <cell r="B4526">
            <v>730069</v>
          </cell>
          <cell r="C4526" t="str">
            <v>IP</v>
          </cell>
          <cell r="D4526" t="str">
            <v>ISLAS PORTUGAL</v>
          </cell>
          <cell r="E4526" t="str">
            <v>15</v>
          </cell>
          <cell r="F4526" t="str">
            <v>BAG</v>
          </cell>
          <cell r="G4526" t="str">
            <v>B</v>
          </cell>
          <cell r="H4526">
            <v>1.75</v>
          </cell>
        </row>
        <row r="4527">
          <cell r="A4527" t="str">
            <v>1;61;IP;B;BAG</v>
          </cell>
          <cell r="B4527">
            <v>730069</v>
          </cell>
          <cell r="C4527" t="str">
            <v>IP</v>
          </cell>
          <cell r="D4527" t="str">
            <v>ISLAS PORTUGAL</v>
          </cell>
          <cell r="E4527" t="str">
            <v>61</v>
          </cell>
          <cell r="F4527" t="str">
            <v>BAG</v>
          </cell>
          <cell r="G4527" t="str">
            <v>B</v>
          </cell>
          <cell r="H4527">
            <v>40.61</v>
          </cell>
        </row>
        <row r="4528">
          <cell r="A4528" t="str">
            <v>1;61;IP;B;PAQ00a02</v>
          </cell>
          <cell r="B4528">
            <v>730069</v>
          </cell>
          <cell r="C4528" t="str">
            <v>IP</v>
          </cell>
          <cell r="D4528" t="str">
            <v>ISLAS PORTUGAL</v>
          </cell>
          <cell r="E4528" t="str">
            <v>61</v>
          </cell>
          <cell r="F4528" t="str">
            <v>PAQ00a02</v>
          </cell>
          <cell r="G4528" t="str">
            <v>B</v>
          </cell>
          <cell r="H4528">
            <v>45.33</v>
          </cell>
        </row>
        <row r="4529">
          <cell r="A4529" t="str">
            <v>1;61;IP;B;PAQ02a04</v>
          </cell>
          <cell r="B4529">
            <v>730069</v>
          </cell>
          <cell r="C4529" t="str">
            <v>IP</v>
          </cell>
          <cell r="D4529" t="str">
            <v>ISLAS PORTUGAL</v>
          </cell>
          <cell r="E4529" t="str">
            <v>61</v>
          </cell>
          <cell r="F4529" t="str">
            <v>PAQ02a04</v>
          </cell>
          <cell r="G4529" t="str">
            <v>B</v>
          </cell>
          <cell r="H4529">
            <v>60.48</v>
          </cell>
        </row>
        <row r="4530">
          <cell r="A4530" t="str">
            <v>1;61;IP;B;PAQ04a06</v>
          </cell>
          <cell r="B4530">
            <v>730069</v>
          </cell>
          <cell r="C4530" t="str">
            <v>IP</v>
          </cell>
          <cell r="D4530" t="str">
            <v>ISLAS PORTUGAL</v>
          </cell>
          <cell r="E4530" t="str">
            <v>61</v>
          </cell>
          <cell r="F4530" t="str">
            <v>PAQ04a06</v>
          </cell>
          <cell r="G4530" t="str">
            <v>B</v>
          </cell>
          <cell r="H4530">
            <v>74.239999999999995</v>
          </cell>
        </row>
        <row r="4531">
          <cell r="A4531" t="str">
            <v>1;61;IP;B;PAQ06a08</v>
          </cell>
          <cell r="B4531">
            <v>730069</v>
          </cell>
          <cell r="C4531" t="str">
            <v>IP</v>
          </cell>
          <cell r="D4531" t="str">
            <v>ISLAS PORTUGAL</v>
          </cell>
          <cell r="E4531" t="str">
            <v>61</v>
          </cell>
          <cell r="F4531" t="str">
            <v>PAQ06a08</v>
          </cell>
          <cell r="G4531" t="str">
            <v>B</v>
          </cell>
          <cell r="H4531">
            <v>87.99</v>
          </cell>
        </row>
        <row r="4532">
          <cell r="A4532" t="str">
            <v>1;61;IP;B;PAQ08a10</v>
          </cell>
          <cell r="B4532">
            <v>730069</v>
          </cell>
          <cell r="C4532" t="str">
            <v>IP</v>
          </cell>
          <cell r="D4532" t="str">
            <v>ISLAS PORTUGAL</v>
          </cell>
          <cell r="E4532" t="str">
            <v>61</v>
          </cell>
          <cell r="F4532" t="str">
            <v>PAQ08a10</v>
          </cell>
          <cell r="G4532" t="str">
            <v>B</v>
          </cell>
          <cell r="H4532">
            <v>101.78</v>
          </cell>
        </row>
        <row r="4533">
          <cell r="A4533" t="str">
            <v>1;61;IP;B;PAQ10a12</v>
          </cell>
          <cell r="B4533">
            <v>730069</v>
          </cell>
          <cell r="C4533" t="str">
            <v>IP</v>
          </cell>
          <cell r="D4533" t="str">
            <v>ISLAS PORTUGAL</v>
          </cell>
          <cell r="E4533" t="str">
            <v>61</v>
          </cell>
          <cell r="F4533" t="str">
            <v>PAQ10a12</v>
          </cell>
          <cell r="G4533" t="str">
            <v>B</v>
          </cell>
          <cell r="H4533">
            <v>114.53</v>
          </cell>
        </row>
        <row r="4534">
          <cell r="A4534" t="str">
            <v>1;61;IP;B;PAQ12a14</v>
          </cell>
          <cell r="B4534">
            <v>730069</v>
          </cell>
          <cell r="C4534" t="str">
            <v>IP</v>
          </cell>
          <cell r="D4534" t="str">
            <v>ISLAS PORTUGAL</v>
          </cell>
          <cell r="E4534" t="str">
            <v>61</v>
          </cell>
          <cell r="F4534" t="str">
            <v>PAQ12a14</v>
          </cell>
          <cell r="G4534" t="str">
            <v>B</v>
          </cell>
          <cell r="H4534">
            <v>127.28</v>
          </cell>
        </row>
        <row r="4535">
          <cell r="A4535" t="str">
            <v>1;61;IP;B;PAQ14a16</v>
          </cell>
          <cell r="B4535">
            <v>730069</v>
          </cell>
          <cell r="C4535" t="str">
            <v>IP</v>
          </cell>
          <cell r="D4535" t="str">
            <v>ISLAS PORTUGAL</v>
          </cell>
          <cell r="E4535" t="str">
            <v>61</v>
          </cell>
          <cell r="F4535" t="str">
            <v>PAQ14a16</v>
          </cell>
          <cell r="G4535" t="str">
            <v>B</v>
          </cell>
          <cell r="H4535">
            <v>140.03</v>
          </cell>
        </row>
        <row r="4536">
          <cell r="A4536" t="str">
            <v>1;61;IP;B;PAQ16a18</v>
          </cell>
          <cell r="B4536">
            <v>730069</v>
          </cell>
          <cell r="C4536" t="str">
            <v>IP</v>
          </cell>
          <cell r="D4536" t="str">
            <v>ISLAS PORTUGAL</v>
          </cell>
          <cell r="E4536" t="str">
            <v>61</v>
          </cell>
          <cell r="F4536" t="str">
            <v>PAQ16a18</v>
          </cell>
          <cell r="G4536" t="str">
            <v>B</v>
          </cell>
          <cell r="H4536">
            <v>152.79</v>
          </cell>
        </row>
        <row r="4537">
          <cell r="A4537" t="str">
            <v>1;61;IP;B;PAQ18a20</v>
          </cell>
          <cell r="B4537">
            <v>730069</v>
          </cell>
          <cell r="C4537" t="str">
            <v>IP</v>
          </cell>
          <cell r="D4537" t="str">
            <v>ISLAS PORTUGAL</v>
          </cell>
          <cell r="E4537" t="str">
            <v>61</v>
          </cell>
          <cell r="F4537" t="str">
            <v>PAQ18a20</v>
          </cell>
          <cell r="G4537" t="str">
            <v>B</v>
          </cell>
          <cell r="H4537">
            <v>165.53</v>
          </cell>
        </row>
        <row r="4538">
          <cell r="A4538" t="str">
            <v>1;61;IP;B;PAQ20a22</v>
          </cell>
          <cell r="B4538">
            <v>730069</v>
          </cell>
          <cell r="C4538" t="str">
            <v>IP</v>
          </cell>
          <cell r="D4538" t="str">
            <v>ISLAS PORTUGAL</v>
          </cell>
          <cell r="E4538" t="str">
            <v>61</v>
          </cell>
          <cell r="F4538" t="str">
            <v>PAQ20a22</v>
          </cell>
          <cell r="G4538" t="str">
            <v>B</v>
          </cell>
          <cell r="H4538">
            <v>178.29</v>
          </cell>
        </row>
        <row r="4539">
          <cell r="A4539" t="str">
            <v>1;61;IP;B;PAQ22a24</v>
          </cell>
          <cell r="B4539">
            <v>730069</v>
          </cell>
          <cell r="C4539" t="str">
            <v>IP</v>
          </cell>
          <cell r="D4539" t="str">
            <v>ISLAS PORTUGAL</v>
          </cell>
          <cell r="E4539" t="str">
            <v>61</v>
          </cell>
          <cell r="F4539" t="str">
            <v>PAQ22a24</v>
          </cell>
          <cell r="G4539" t="str">
            <v>B</v>
          </cell>
          <cell r="H4539">
            <v>191.04</v>
          </cell>
        </row>
        <row r="4540">
          <cell r="A4540" t="str">
            <v>1;61;IP;B;PAQ24a26</v>
          </cell>
          <cell r="B4540">
            <v>730069</v>
          </cell>
          <cell r="C4540" t="str">
            <v>IP</v>
          </cell>
          <cell r="D4540" t="str">
            <v>ISLAS PORTUGAL</v>
          </cell>
          <cell r="E4540" t="str">
            <v>61</v>
          </cell>
          <cell r="F4540" t="str">
            <v>PAQ24a26</v>
          </cell>
          <cell r="G4540" t="str">
            <v>B</v>
          </cell>
          <cell r="H4540">
            <v>203.78</v>
          </cell>
        </row>
        <row r="4541">
          <cell r="A4541" t="str">
            <v>1;61;IP;B;PAQ26a28</v>
          </cell>
          <cell r="B4541">
            <v>730069</v>
          </cell>
          <cell r="C4541" t="str">
            <v>IP</v>
          </cell>
          <cell r="D4541" t="str">
            <v>ISLAS PORTUGAL</v>
          </cell>
          <cell r="E4541" t="str">
            <v>61</v>
          </cell>
          <cell r="F4541" t="str">
            <v>PAQ26a28</v>
          </cell>
          <cell r="G4541" t="str">
            <v>B</v>
          </cell>
          <cell r="H4541">
            <v>216.54</v>
          </cell>
        </row>
        <row r="4542">
          <cell r="A4542" t="str">
            <v>1;61;IP;B;PAQ28a30</v>
          </cell>
          <cell r="B4542">
            <v>730069</v>
          </cell>
          <cell r="C4542" t="str">
            <v>IP</v>
          </cell>
          <cell r="D4542" t="str">
            <v>ISLAS PORTUGAL</v>
          </cell>
          <cell r="E4542" t="str">
            <v>61</v>
          </cell>
          <cell r="F4542" t="str">
            <v>PAQ28a30</v>
          </cell>
          <cell r="G4542" t="str">
            <v>B</v>
          </cell>
          <cell r="H4542">
            <v>229.29</v>
          </cell>
        </row>
        <row r="4543">
          <cell r="A4543" t="str">
            <v>1;61;IP;B;PAQ30a32</v>
          </cell>
          <cell r="B4543">
            <v>730069</v>
          </cell>
          <cell r="C4543" t="str">
            <v>IP</v>
          </cell>
          <cell r="D4543" t="str">
            <v>ISLAS PORTUGAL</v>
          </cell>
          <cell r="E4543" t="str">
            <v>61</v>
          </cell>
          <cell r="F4543" t="str">
            <v>PAQ30a32</v>
          </cell>
          <cell r="G4543" t="str">
            <v>B</v>
          </cell>
          <cell r="H4543">
            <v>242.04</v>
          </cell>
        </row>
        <row r="4544">
          <cell r="A4544" t="str">
            <v>1;61;IP;B;PAQ32a34</v>
          </cell>
          <cell r="B4544">
            <v>730069</v>
          </cell>
          <cell r="C4544" t="str">
            <v>IP</v>
          </cell>
          <cell r="D4544" t="str">
            <v>ISLAS PORTUGAL</v>
          </cell>
          <cell r="E4544" t="str">
            <v>61</v>
          </cell>
          <cell r="F4544" t="str">
            <v>PAQ32a34</v>
          </cell>
          <cell r="G4544" t="str">
            <v>B</v>
          </cell>
          <cell r="H4544">
            <v>254.79</v>
          </cell>
        </row>
        <row r="4545">
          <cell r="A4545" t="str">
            <v>1;61;IP;B;PAQ34a36</v>
          </cell>
          <cell r="B4545">
            <v>730069</v>
          </cell>
          <cell r="C4545" t="str">
            <v>IP</v>
          </cell>
          <cell r="D4545" t="str">
            <v>ISLAS PORTUGAL</v>
          </cell>
          <cell r="E4545" t="str">
            <v>61</v>
          </cell>
          <cell r="F4545" t="str">
            <v>PAQ34a36</v>
          </cell>
          <cell r="G4545" t="str">
            <v>B</v>
          </cell>
          <cell r="H4545">
            <v>267.54000000000002</v>
          </cell>
        </row>
        <row r="4546">
          <cell r="A4546" t="str">
            <v>1;61;IP;B;PAQ36a38</v>
          </cell>
          <cell r="B4546">
            <v>730069</v>
          </cell>
          <cell r="C4546" t="str">
            <v>IP</v>
          </cell>
          <cell r="D4546" t="str">
            <v>ISLAS PORTUGAL</v>
          </cell>
          <cell r="E4546" t="str">
            <v>61</v>
          </cell>
          <cell r="F4546" t="str">
            <v>PAQ36a38</v>
          </cell>
          <cell r="G4546" t="str">
            <v>B</v>
          </cell>
          <cell r="H4546">
            <v>280.3</v>
          </cell>
        </row>
        <row r="4547">
          <cell r="A4547" t="str">
            <v>1;61;IP;F;</v>
          </cell>
          <cell r="B4547">
            <v>730069</v>
          </cell>
          <cell r="C4547" t="str">
            <v>IP</v>
          </cell>
          <cell r="D4547" t="str">
            <v>ISLAS PORTUGAL</v>
          </cell>
          <cell r="E4547" t="str">
            <v>61</v>
          </cell>
          <cell r="F4547" t="str">
            <v/>
          </cell>
          <cell r="G4547" t="str">
            <v>F</v>
          </cell>
          <cell r="H4547">
            <v>12.75</v>
          </cell>
        </row>
        <row r="4548">
          <cell r="A4548" t="str">
            <v>1;61;IP;B;PAQ38a40</v>
          </cell>
          <cell r="B4548">
            <v>730069</v>
          </cell>
          <cell r="C4548" t="str">
            <v>IP</v>
          </cell>
          <cell r="D4548" t="str">
            <v>ISLAS PORTUGAL</v>
          </cell>
          <cell r="E4548" t="str">
            <v>61</v>
          </cell>
          <cell r="F4548" t="str">
            <v>PAQ38a40</v>
          </cell>
          <cell r="G4548" t="str">
            <v>B</v>
          </cell>
          <cell r="H4548">
            <v>293.04000000000002</v>
          </cell>
        </row>
        <row r="4549">
          <cell r="A4549" t="str">
            <v>1;61;IP;P;</v>
          </cell>
          <cell r="B4549">
            <v>730069</v>
          </cell>
          <cell r="C4549" t="str">
            <v>IP</v>
          </cell>
          <cell r="D4549" t="str">
            <v>ISLAS PORTUGAL</v>
          </cell>
          <cell r="E4549" t="str">
            <v>61</v>
          </cell>
          <cell r="F4549" t="str">
            <v/>
          </cell>
          <cell r="G4549" t="str">
            <v>P</v>
          </cell>
          <cell r="H4549">
            <v>0</v>
          </cell>
        </row>
        <row r="4550">
          <cell r="A4550" t="str">
            <v>1;61;IP;E;</v>
          </cell>
          <cell r="B4550">
            <v>730069</v>
          </cell>
          <cell r="C4550" t="str">
            <v>IP</v>
          </cell>
          <cell r="D4550" t="str">
            <v>ISLAS PORTUGAL</v>
          </cell>
          <cell r="E4550" t="str">
            <v>61</v>
          </cell>
          <cell r="F4550" t="str">
            <v/>
          </cell>
          <cell r="G4550" t="str">
            <v>E</v>
          </cell>
          <cell r="H4550">
            <v>0</v>
          </cell>
        </row>
        <row r="4551">
          <cell r="A4551" t="str">
            <v>1;E;L;B;BAG</v>
          </cell>
          <cell r="B4551">
            <v>730069</v>
          </cell>
          <cell r="C4551" t="str">
            <v>L</v>
          </cell>
          <cell r="D4551" t="str">
            <v>PORTUGAL</v>
          </cell>
          <cell r="E4551" t="str">
            <v>E</v>
          </cell>
          <cell r="F4551" t="str">
            <v>BAG</v>
          </cell>
          <cell r="G4551" t="str">
            <v>B</v>
          </cell>
          <cell r="H4551">
            <v>0</v>
          </cell>
        </row>
        <row r="4552">
          <cell r="A4552" t="str">
            <v>1;E;L;B;PAQ00a05</v>
          </cell>
          <cell r="B4552">
            <v>730069</v>
          </cell>
          <cell r="C4552" t="str">
            <v>L</v>
          </cell>
          <cell r="D4552" t="str">
            <v>PORTUGAL</v>
          </cell>
          <cell r="E4552" t="str">
            <v>E</v>
          </cell>
          <cell r="F4552" t="str">
            <v>PAQ00a05</v>
          </cell>
          <cell r="G4552" t="str">
            <v>B</v>
          </cell>
          <cell r="H4552">
            <v>0</v>
          </cell>
        </row>
        <row r="4553">
          <cell r="A4553" t="str">
            <v>1;E;L;B;PAQ05a10</v>
          </cell>
          <cell r="B4553">
            <v>730069</v>
          </cell>
          <cell r="C4553" t="str">
            <v>L</v>
          </cell>
          <cell r="D4553" t="str">
            <v>PORTUGAL</v>
          </cell>
          <cell r="E4553" t="str">
            <v>E</v>
          </cell>
          <cell r="F4553" t="str">
            <v>PAQ05a10</v>
          </cell>
          <cell r="G4553" t="str">
            <v>B</v>
          </cell>
          <cell r="H4553">
            <v>0</v>
          </cell>
        </row>
        <row r="4554">
          <cell r="A4554" t="str">
            <v>1;E;L;B;PAQ10a15</v>
          </cell>
          <cell r="B4554">
            <v>730069</v>
          </cell>
          <cell r="C4554" t="str">
            <v>L</v>
          </cell>
          <cell r="D4554" t="str">
            <v>PORTUGAL</v>
          </cell>
          <cell r="E4554" t="str">
            <v>E</v>
          </cell>
          <cell r="F4554" t="str">
            <v>PAQ10a15</v>
          </cell>
          <cell r="G4554" t="str">
            <v>B</v>
          </cell>
          <cell r="H4554">
            <v>0</v>
          </cell>
        </row>
        <row r="4555">
          <cell r="A4555" t="str">
            <v>1;E;L;B;PAQ15a20</v>
          </cell>
          <cell r="B4555">
            <v>730069</v>
          </cell>
          <cell r="C4555" t="str">
            <v>L</v>
          </cell>
          <cell r="D4555" t="str">
            <v>PORTUGAL</v>
          </cell>
          <cell r="E4555" t="str">
            <v>E</v>
          </cell>
          <cell r="F4555" t="str">
            <v>PAQ15a20</v>
          </cell>
          <cell r="G4555" t="str">
            <v>B</v>
          </cell>
          <cell r="H4555">
            <v>0</v>
          </cell>
        </row>
        <row r="4556">
          <cell r="A4556" t="str">
            <v>1;E;L;B;PAQ20a25</v>
          </cell>
          <cell r="B4556">
            <v>730069</v>
          </cell>
          <cell r="C4556" t="str">
            <v>L</v>
          </cell>
          <cell r="D4556" t="str">
            <v>PORTUGAL</v>
          </cell>
          <cell r="E4556" t="str">
            <v>E</v>
          </cell>
          <cell r="F4556" t="str">
            <v>PAQ20a25</v>
          </cell>
          <cell r="G4556" t="str">
            <v>B</v>
          </cell>
          <cell r="H4556">
            <v>0</v>
          </cell>
        </row>
        <row r="4557">
          <cell r="A4557" t="str">
            <v>1;E;L;B;PAQ25a30</v>
          </cell>
          <cell r="B4557">
            <v>730069</v>
          </cell>
          <cell r="C4557" t="str">
            <v>L</v>
          </cell>
          <cell r="D4557" t="str">
            <v>PORTUGAL</v>
          </cell>
          <cell r="E4557" t="str">
            <v>E</v>
          </cell>
          <cell r="F4557" t="str">
            <v>PAQ25a30</v>
          </cell>
          <cell r="G4557" t="str">
            <v>B</v>
          </cell>
          <cell r="H4557">
            <v>0</v>
          </cell>
        </row>
        <row r="4558">
          <cell r="A4558" t="str">
            <v>1;E;L;B;PAQ30a35</v>
          </cell>
          <cell r="B4558">
            <v>730069</v>
          </cell>
          <cell r="C4558" t="str">
            <v>L</v>
          </cell>
          <cell r="D4558" t="str">
            <v>PORTUGAL</v>
          </cell>
          <cell r="E4558" t="str">
            <v>E</v>
          </cell>
          <cell r="F4558" t="str">
            <v>PAQ30a35</v>
          </cell>
          <cell r="G4558" t="str">
            <v>B</v>
          </cell>
          <cell r="H4558">
            <v>0</v>
          </cell>
        </row>
        <row r="4559">
          <cell r="A4559" t="str">
            <v>1;E;L;B;PAQ35a40</v>
          </cell>
          <cell r="B4559">
            <v>730069</v>
          </cell>
          <cell r="C4559" t="str">
            <v>L</v>
          </cell>
          <cell r="D4559" t="str">
            <v>PORTUGAL</v>
          </cell>
          <cell r="E4559" t="str">
            <v>E</v>
          </cell>
          <cell r="F4559" t="str">
            <v>PAQ35a40</v>
          </cell>
          <cell r="G4559" t="str">
            <v>B</v>
          </cell>
          <cell r="H4559">
            <v>0</v>
          </cell>
        </row>
        <row r="4560">
          <cell r="A4560" t="str">
            <v>1;E;L;F;</v>
          </cell>
          <cell r="B4560">
            <v>730069</v>
          </cell>
          <cell r="C4560" t="str">
            <v>L</v>
          </cell>
          <cell r="D4560" t="str">
            <v>PORTUGAL</v>
          </cell>
          <cell r="E4560" t="str">
            <v>E</v>
          </cell>
          <cell r="F4560" t="str">
            <v/>
          </cell>
          <cell r="G4560" t="str">
            <v>F</v>
          </cell>
          <cell r="H4560">
            <v>0</v>
          </cell>
        </row>
        <row r="4561">
          <cell r="A4561" t="str">
            <v>1;E;L;E;</v>
          </cell>
          <cell r="B4561">
            <v>730069</v>
          </cell>
          <cell r="C4561" t="str">
            <v>L</v>
          </cell>
          <cell r="D4561" t="str">
            <v>PORTUGAL</v>
          </cell>
          <cell r="E4561" t="str">
            <v>E</v>
          </cell>
          <cell r="F4561" t="str">
            <v/>
          </cell>
          <cell r="G4561" t="str">
            <v>E</v>
          </cell>
          <cell r="H4561">
            <v>0</v>
          </cell>
        </row>
        <row r="4562">
          <cell r="A4562" t="str">
            <v>1;E;L;P;</v>
          </cell>
          <cell r="B4562">
            <v>730069</v>
          </cell>
          <cell r="C4562" t="str">
            <v>L</v>
          </cell>
          <cell r="D4562" t="str">
            <v>PORTUGAL</v>
          </cell>
          <cell r="E4562" t="str">
            <v>E</v>
          </cell>
          <cell r="F4562" t="str">
            <v/>
          </cell>
          <cell r="G4562" t="str">
            <v>P</v>
          </cell>
          <cell r="H4562">
            <v>0</v>
          </cell>
        </row>
        <row r="4563">
          <cell r="A4563" t="str">
            <v>1;F;L;B;BAG</v>
          </cell>
          <cell r="B4563">
            <v>730069</v>
          </cell>
          <cell r="C4563" t="str">
            <v>L</v>
          </cell>
          <cell r="D4563" t="str">
            <v>PORTUGAL</v>
          </cell>
          <cell r="E4563" t="str">
            <v>F</v>
          </cell>
          <cell r="F4563" t="str">
            <v>BAG</v>
          </cell>
          <cell r="G4563" t="str">
            <v>B</v>
          </cell>
          <cell r="H4563">
            <v>0</v>
          </cell>
        </row>
        <row r="4564">
          <cell r="A4564" t="str">
            <v>1;F;L;B;PAQ00a05</v>
          </cell>
          <cell r="B4564">
            <v>730069</v>
          </cell>
          <cell r="C4564" t="str">
            <v>L</v>
          </cell>
          <cell r="D4564" t="str">
            <v>PORTUGAL</v>
          </cell>
          <cell r="E4564" t="str">
            <v>F</v>
          </cell>
          <cell r="F4564" t="str">
            <v>PAQ00a05</v>
          </cell>
          <cell r="G4564" t="str">
            <v>B</v>
          </cell>
          <cell r="H4564">
            <v>0</v>
          </cell>
        </row>
        <row r="4565">
          <cell r="A4565" t="str">
            <v>1;F;L;B;PAQ05a10</v>
          </cell>
          <cell r="B4565">
            <v>730069</v>
          </cell>
          <cell r="C4565" t="str">
            <v>L</v>
          </cell>
          <cell r="D4565" t="str">
            <v>PORTUGAL</v>
          </cell>
          <cell r="E4565" t="str">
            <v>F</v>
          </cell>
          <cell r="F4565" t="str">
            <v>PAQ05a10</v>
          </cell>
          <cell r="G4565" t="str">
            <v>B</v>
          </cell>
          <cell r="H4565">
            <v>0</v>
          </cell>
        </row>
        <row r="4566">
          <cell r="A4566" t="str">
            <v>1;F;L;B;PAQ10a15</v>
          </cell>
          <cell r="B4566">
            <v>730069</v>
          </cell>
          <cell r="C4566" t="str">
            <v>L</v>
          </cell>
          <cell r="D4566" t="str">
            <v>PORTUGAL</v>
          </cell>
          <cell r="E4566" t="str">
            <v>F</v>
          </cell>
          <cell r="F4566" t="str">
            <v>PAQ10a15</v>
          </cell>
          <cell r="G4566" t="str">
            <v>B</v>
          </cell>
          <cell r="H4566">
            <v>0</v>
          </cell>
        </row>
        <row r="4567">
          <cell r="A4567" t="str">
            <v>1;F;L;B;PAQ15a20</v>
          </cell>
          <cell r="B4567">
            <v>730069</v>
          </cell>
          <cell r="C4567" t="str">
            <v>L</v>
          </cell>
          <cell r="D4567" t="str">
            <v>PORTUGAL</v>
          </cell>
          <cell r="E4567" t="str">
            <v>F</v>
          </cell>
          <cell r="F4567" t="str">
            <v>PAQ15a20</v>
          </cell>
          <cell r="G4567" t="str">
            <v>B</v>
          </cell>
          <cell r="H4567">
            <v>0</v>
          </cell>
        </row>
        <row r="4568">
          <cell r="A4568" t="str">
            <v>1;F;L;B;PAQ20a25</v>
          </cell>
          <cell r="B4568">
            <v>730069</v>
          </cell>
          <cell r="C4568" t="str">
            <v>L</v>
          </cell>
          <cell r="D4568" t="str">
            <v>PORTUGAL</v>
          </cell>
          <cell r="E4568" t="str">
            <v>F</v>
          </cell>
          <cell r="F4568" t="str">
            <v>PAQ20a25</v>
          </cell>
          <cell r="G4568" t="str">
            <v>B</v>
          </cell>
          <cell r="H4568">
            <v>0</v>
          </cell>
        </row>
        <row r="4569">
          <cell r="A4569" t="str">
            <v>1;F;L;B;PAQ25a30</v>
          </cell>
          <cell r="B4569">
            <v>730069</v>
          </cell>
          <cell r="C4569" t="str">
            <v>L</v>
          </cell>
          <cell r="D4569" t="str">
            <v>PORTUGAL</v>
          </cell>
          <cell r="E4569" t="str">
            <v>F</v>
          </cell>
          <cell r="F4569" t="str">
            <v>PAQ25a30</v>
          </cell>
          <cell r="G4569" t="str">
            <v>B</v>
          </cell>
          <cell r="H4569">
            <v>0</v>
          </cell>
        </row>
        <row r="4570">
          <cell r="A4570" t="str">
            <v>1;F;L;B;PAQ30a35</v>
          </cell>
          <cell r="B4570">
            <v>730069</v>
          </cell>
          <cell r="C4570" t="str">
            <v>L</v>
          </cell>
          <cell r="D4570" t="str">
            <v>PORTUGAL</v>
          </cell>
          <cell r="E4570" t="str">
            <v>F</v>
          </cell>
          <cell r="F4570" t="str">
            <v>PAQ30a35</v>
          </cell>
          <cell r="G4570" t="str">
            <v>B</v>
          </cell>
          <cell r="H4570">
            <v>0</v>
          </cell>
        </row>
        <row r="4571">
          <cell r="A4571" t="str">
            <v>1;F;L;F;</v>
          </cell>
          <cell r="B4571">
            <v>730069</v>
          </cell>
          <cell r="C4571" t="str">
            <v>L</v>
          </cell>
          <cell r="D4571" t="str">
            <v>PORTUGAL</v>
          </cell>
          <cell r="E4571" t="str">
            <v>F</v>
          </cell>
          <cell r="F4571" t="str">
            <v/>
          </cell>
          <cell r="G4571" t="str">
            <v>F</v>
          </cell>
          <cell r="H4571">
            <v>0</v>
          </cell>
        </row>
        <row r="4572">
          <cell r="A4572" t="str">
            <v>1;F;L;B;PAQ35a40</v>
          </cell>
          <cell r="B4572">
            <v>730069</v>
          </cell>
          <cell r="C4572" t="str">
            <v>L</v>
          </cell>
          <cell r="D4572" t="str">
            <v>PORTUGAL</v>
          </cell>
          <cell r="E4572" t="str">
            <v>F</v>
          </cell>
          <cell r="F4572" t="str">
            <v>PAQ35a40</v>
          </cell>
          <cell r="G4572" t="str">
            <v>B</v>
          </cell>
          <cell r="H4572">
            <v>0</v>
          </cell>
        </row>
        <row r="4573">
          <cell r="A4573" t="str">
            <v>1;F;L;E;</v>
          </cell>
          <cell r="B4573">
            <v>730069</v>
          </cell>
          <cell r="C4573" t="str">
            <v>L</v>
          </cell>
          <cell r="D4573" t="str">
            <v>PORTUGAL</v>
          </cell>
          <cell r="E4573" t="str">
            <v>F</v>
          </cell>
          <cell r="F4573" t="str">
            <v/>
          </cell>
          <cell r="G4573" t="str">
            <v>E</v>
          </cell>
          <cell r="H4573">
            <v>0</v>
          </cell>
        </row>
        <row r="4574">
          <cell r="A4574" t="str">
            <v>1;F;L;P;</v>
          </cell>
          <cell r="B4574">
            <v>730069</v>
          </cell>
          <cell r="C4574" t="str">
            <v>L</v>
          </cell>
          <cell r="D4574" t="str">
            <v>PORTUGAL</v>
          </cell>
          <cell r="E4574" t="str">
            <v>F</v>
          </cell>
          <cell r="F4574" t="str">
            <v/>
          </cell>
          <cell r="G4574" t="str">
            <v>P</v>
          </cell>
          <cell r="H4574">
            <v>0</v>
          </cell>
        </row>
        <row r="4575">
          <cell r="A4575" t="str">
            <v>1;G;L;B;BAG</v>
          </cell>
          <cell r="B4575">
            <v>730069</v>
          </cell>
          <cell r="C4575" t="str">
            <v>L</v>
          </cell>
          <cell r="D4575" t="str">
            <v>PORTUGAL</v>
          </cell>
          <cell r="E4575" t="str">
            <v>G</v>
          </cell>
          <cell r="F4575" t="str">
            <v>BAG</v>
          </cell>
          <cell r="G4575" t="str">
            <v>B</v>
          </cell>
          <cell r="H4575">
            <v>0</v>
          </cell>
        </row>
        <row r="4576">
          <cell r="A4576" t="str">
            <v>1;G;L;B;PAQ00a05</v>
          </cell>
          <cell r="B4576">
            <v>730069</v>
          </cell>
          <cell r="C4576" t="str">
            <v>L</v>
          </cell>
          <cell r="D4576" t="str">
            <v>PORTUGAL</v>
          </cell>
          <cell r="E4576" t="str">
            <v>G</v>
          </cell>
          <cell r="F4576" t="str">
            <v>PAQ00a05</v>
          </cell>
          <cell r="G4576" t="str">
            <v>B</v>
          </cell>
          <cell r="H4576">
            <v>0</v>
          </cell>
        </row>
        <row r="4577">
          <cell r="A4577" t="str">
            <v>1;G;L;B;PAQ05a10</v>
          </cell>
          <cell r="B4577">
            <v>730069</v>
          </cell>
          <cell r="C4577" t="str">
            <v>L</v>
          </cell>
          <cell r="D4577" t="str">
            <v>PORTUGAL</v>
          </cell>
          <cell r="E4577" t="str">
            <v>G</v>
          </cell>
          <cell r="F4577" t="str">
            <v>PAQ05a10</v>
          </cell>
          <cell r="G4577" t="str">
            <v>B</v>
          </cell>
          <cell r="H4577">
            <v>0</v>
          </cell>
        </row>
        <row r="4578">
          <cell r="A4578" t="str">
            <v>1;G;L;B;PAQ10a15</v>
          </cell>
          <cell r="B4578">
            <v>730069</v>
          </cell>
          <cell r="C4578" t="str">
            <v>L</v>
          </cell>
          <cell r="D4578" t="str">
            <v>PORTUGAL</v>
          </cell>
          <cell r="E4578" t="str">
            <v>G</v>
          </cell>
          <cell r="F4578" t="str">
            <v>PAQ10a15</v>
          </cell>
          <cell r="G4578" t="str">
            <v>B</v>
          </cell>
          <cell r="H4578">
            <v>0</v>
          </cell>
        </row>
        <row r="4579">
          <cell r="A4579" t="str">
            <v>1;G;L;B;PAQ15a20</v>
          </cell>
          <cell r="B4579">
            <v>730069</v>
          </cell>
          <cell r="C4579" t="str">
            <v>L</v>
          </cell>
          <cell r="D4579" t="str">
            <v>PORTUGAL</v>
          </cell>
          <cell r="E4579" t="str">
            <v>G</v>
          </cell>
          <cell r="F4579" t="str">
            <v>PAQ15a20</v>
          </cell>
          <cell r="G4579" t="str">
            <v>B</v>
          </cell>
          <cell r="H4579">
            <v>0</v>
          </cell>
        </row>
        <row r="4580">
          <cell r="A4580" t="str">
            <v>1;G;L;B;PAQ20a25</v>
          </cell>
          <cell r="B4580">
            <v>730069</v>
          </cell>
          <cell r="C4580" t="str">
            <v>L</v>
          </cell>
          <cell r="D4580" t="str">
            <v>PORTUGAL</v>
          </cell>
          <cell r="E4580" t="str">
            <v>G</v>
          </cell>
          <cell r="F4580" t="str">
            <v>PAQ20a25</v>
          </cell>
          <cell r="G4580" t="str">
            <v>B</v>
          </cell>
          <cell r="H4580">
            <v>0</v>
          </cell>
        </row>
        <row r="4581">
          <cell r="A4581" t="str">
            <v>1;G;L;B;PAQ25a30</v>
          </cell>
          <cell r="B4581">
            <v>730069</v>
          </cell>
          <cell r="C4581" t="str">
            <v>L</v>
          </cell>
          <cell r="D4581" t="str">
            <v>PORTUGAL</v>
          </cell>
          <cell r="E4581" t="str">
            <v>G</v>
          </cell>
          <cell r="F4581" t="str">
            <v>PAQ25a30</v>
          </cell>
          <cell r="G4581" t="str">
            <v>B</v>
          </cell>
          <cell r="H4581">
            <v>0</v>
          </cell>
        </row>
        <row r="4582">
          <cell r="A4582" t="str">
            <v>1;G;L;B;PAQ30a35</v>
          </cell>
          <cell r="B4582">
            <v>730069</v>
          </cell>
          <cell r="C4582" t="str">
            <v>L</v>
          </cell>
          <cell r="D4582" t="str">
            <v>PORTUGAL</v>
          </cell>
          <cell r="E4582" t="str">
            <v>G</v>
          </cell>
          <cell r="F4582" t="str">
            <v>PAQ30a35</v>
          </cell>
          <cell r="G4582" t="str">
            <v>B</v>
          </cell>
          <cell r="H4582">
            <v>0</v>
          </cell>
        </row>
        <row r="4583">
          <cell r="A4583" t="str">
            <v>1;G;L;B;PAQ35a40</v>
          </cell>
          <cell r="B4583">
            <v>730069</v>
          </cell>
          <cell r="C4583" t="str">
            <v>L</v>
          </cell>
          <cell r="D4583" t="str">
            <v>PORTUGAL</v>
          </cell>
          <cell r="E4583" t="str">
            <v>G</v>
          </cell>
          <cell r="F4583" t="str">
            <v>PAQ35a40</v>
          </cell>
          <cell r="G4583" t="str">
            <v>B</v>
          </cell>
          <cell r="H4583">
            <v>0</v>
          </cell>
        </row>
        <row r="4584">
          <cell r="A4584" t="str">
            <v>1;G;L;F;</v>
          </cell>
          <cell r="B4584">
            <v>730069</v>
          </cell>
          <cell r="C4584" t="str">
            <v>L</v>
          </cell>
          <cell r="D4584" t="str">
            <v>PORTUGAL</v>
          </cell>
          <cell r="E4584" t="str">
            <v>G</v>
          </cell>
          <cell r="F4584" t="str">
            <v/>
          </cell>
          <cell r="G4584" t="str">
            <v>F</v>
          </cell>
          <cell r="H4584">
            <v>0</v>
          </cell>
        </row>
        <row r="4585">
          <cell r="A4585" t="str">
            <v>1;G;L;E;</v>
          </cell>
          <cell r="B4585">
            <v>730069</v>
          </cell>
          <cell r="C4585" t="str">
            <v>L</v>
          </cell>
          <cell r="D4585" t="str">
            <v>PORTUGAL</v>
          </cell>
          <cell r="E4585" t="str">
            <v>G</v>
          </cell>
          <cell r="F4585" t="str">
            <v/>
          </cell>
          <cell r="G4585" t="str">
            <v>E</v>
          </cell>
          <cell r="H4585">
            <v>0</v>
          </cell>
        </row>
        <row r="4586">
          <cell r="A4586" t="str">
            <v>1;G;L;P;</v>
          </cell>
          <cell r="B4586">
            <v>730069</v>
          </cell>
          <cell r="C4586" t="str">
            <v>L</v>
          </cell>
          <cell r="D4586" t="str">
            <v>PORTUGAL</v>
          </cell>
          <cell r="E4586" t="str">
            <v>G</v>
          </cell>
          <cell r="F4586" t="str">
            <v/>
          </cell>
          <cell r="G4586" t="str">
            <v>P</v>
          </cell>
          <cell r="H4586">
            <v>0</v>
          </cell>
        </row>
        <row r="4587">
          <cell r="A4587" t="str">
            <v>1;01;L;B;BAG</v>
          </cell>
          <cell r="B4587">
            <v>730069</v>
          </cell>
          <cell r="C4587" t="str">
            <v>L</v>
          </cell>
          <cell r="D4587" t="str">
            <v>PORTUGAL</v>
          </cell>
          <cell r="E4587" t="str">
            <v>01</v>
          </cell>
          <cell r="F4587" t="str">
            <v>BAG</v>
          </cell>
          <cell r="G4587" t="str">
            <v>B</v>
          </cell>
          <cell r="H4587">
            <v>19.02</v>
          </cell>
        </row>
        <row r="4588">
          <cell r="A4588" t="str">
            <v>1;01;L;B;DOCS</v>
          </cell>
          <cell r="B4588">
            <v>730069</v>
          </cell>
          <cell r="C4588" t="str">
            <v>L</v>
          </cell>
          <cell r="D4588" t="str">
            <v>PORTUGAL</v>
          </cell>
          <cell r="E4588" t="str">
            <v>01</v>
          </cell>
          <cell r="F4588" t="str">
            <v>DOCS</v>
          </cell>
          <cell r="G4588" t="str">
            <v>B</v>
          </cell>
          <cell r="H4588">
            <v>13.93</v>
          </cell>
        </row>
        <row r="4589">
          <cell r="A4589" t="str">
            <v>1;01;L;B;PAQ00a02</v>
          </cell>
          <cell r="B4589">
            <v>730069</v>
          </cell>
          <cell r="C4589" t="str">
            <v>L</v>
          </cell>
          <cell r="D4589" t="str">
            <v>PORTUGAL</v>
          </cell>
          <cell r="E4589" t="str">
            <v>01</v>
          </cell>
          <cell r="F4589" t="str">
            <v>PAQ00a02</v>
          </cell>
          <cell r="G4589" t="str">
            <v>B</v>
          </cell>
          <cell r="H4589">
            <v>23.64</v>
          </cell>
        </row>
        <row r="4590">
          <cell r="A4590" t="str">
            <v>1;01;L;B;PAQ02a05</v>
          </cell>
          <cell r="B4590">
            <v>730069</v>
          </cell>
          <cell r="C4590" t="str">
            <v>L</v>
          </cell>
          <cell r="D4590" t="str">
            <v>PORTUGAL</v>
          </cell>
          <cell r="E4590" t="str">
            <v>01</v>
          </cell>
          <cell r="F4590" t="str">
            <v>PAQ02a05</v>
          </cell>
          <cell r="G4590" t="str">
            <v>B</v>
          </cell>
          <cell r="H4590">
            <v>23.64</v>
          </cell>
        </row>
        <row r="4591">
          <cell r="A4591" t="str">
            <v>1;01;L;B;PAQ05a10</v>
          </cell>
          <cell r="B4591">
            <v>730069</v>
          </cell>
          <cell r="C4591" t="str">
            <v>L</v>
          </cell>
          <cell r="D4591" t="str">
            <v>PORTUGAL</v>
          </cell>
          <cell r="E4591" t="str">
            <v>01</v>
          </cell>
          <cell r="F4591" t="str">
            <v>PAQ05a10</v>
          </cell>
          <cell r="G4591" t="str">
            <v>B</v>
          </cell>
          <cell r="H4591">
            <v>41.23</v>
          </cell>
        </row>
        <row r="4592">
          <cell r="A4592" t="str">
            <v>1;01;L;B;PAQ10a15</v>
          </cell>
          <cell r="B4592">
            <v>730069</v>
          </cell>
          <cell r="C4592" t="str">
            <v>L</v>
          </cell>
          <cell r="D4592" t="str">
            <v>PORTUGAL</v>
          </cell>
          <cell r="E4592" t="str">
            <v>01</v>
          </cell>
          <cell r="F4592" t="str">
            <v>PAQ10a15</v>
          </cell>
          <cell r="G4592" t="str">
            <v>B</v>
          </cell>
          <cell r="H4592">
            <v>60.87</v>
          </cell>
        </row>
        <row r="4593">
          <cell r="A4593" t="str">
            <v>1;01;L;B;PAQ15a20</v>
          </cell>
          <cell r="B4593">
            <v>730069</v>
          </cell>
          <cell r="C4593" t="str">
            <v>L</v>
          </cell>
          <cell r="D4593" t="str">
            <v>PORTUGAL</v>
          </cell>
          <cell r="E4593" t="str">
            <v>01</v>
          </cell>
          <cell r="F4593" t="str">
            <v>PAQ15a20</v>
          </cell>
          <cell r="G4593" t="str">
            <v>B</v>
          </cell>
          <cell r="H4593">
            <v>80.489999999999995</v>
          </cell>
        </row>
        <row r="4594">
          <cell r="A4594" t="str">
            <v>1;01;L;B;PAQ20a25</v>
          </cell>
          <cell r="B4594">
            <v>730069</v>
          </cell>
          <cell r="C4594" t="str">
            <v>L</v>
          </cell>
          <cell r="D4594" t="str">
            <v>PORTUGAL</v>
          </cell>
          <cell r="E4594" t="str">
            <v>01</v>
          </cell>
          <cell r="F4594" t="str">
            <v>PAQ20a25</v>
          </cell>
          <cell r="G4594" t="str">
            <v>B</v>
          </cell>
          <cell r="H4594">
            <v>100.13</v>
          </cell>
        </row>
        <row r="4595">
          <cell r="A4595" t="str">
            <v>1;01;L;B;PAQ25a30</v>
          </cell>
          <cell r="B4595">
            <v>730069</v>
          </cell>
          <cell r="C4595" t="str">
            <v>L</v>
          </cell>
          <cell r="D4595" t="str">
            <v>PORTUGAL</v>
          </cell>
          <cell r="E4595" t="str">
            <v>01</v>
          </cell>
          <cell r="F4595" t="str">
            <v>PAQ25a30</v>
          </cell>
          <cell r="G4595" t="str">
            <v>B</v>
          </cell>
          <cell r="H4595">
            <v>119.75</v>
          </cell>
        </row>
        <row r="4596">
          <cell r="A4596" t="str">
            <v>1;01;L;B;PAQ30a35</v>
          </cell>
          <cell r="B4596">
            <v>730069</v>
          </cell>
          <cell r="C4596" t="str">
            <v>L</v>
          </cell>
          <cell r="D4596" t="str">
            <v>PORTUGAL</v>
          </cell>
          <cell r="E4596" t="str">
            <v>01</v>
          </cell>
          <cell r="F4596" t="str">
            <v>PAQ30a35</v>
          </cell>
          <cell r="G4596" t="str">
            <v>B</v>
          </cell>
          <cell r="H4596">
            <v>139.38999999999999</v>
          </cell>
        </row>
        <row r="4597">
          <cell r="A4597" t="str">
            <v>1;01;L;F;</v>
          </cell>
          <cell r="B4597">
            <v>730069</v>
          </cell>
          <cell r="C4597" t="str">
            <v>L</v>
          </cell>
          <cell r="D4597" t="str">
            <v>PORTUGAL</v>
          </cell>
          <cell r="E4597" t="str">
            <v>01</v>
          </cell>
          <cell r="F4597" t="str">
            <v/>
          </cell>
          <cell r="G4597" t="str">
            <v>F</v>
          </cell>
          <cell r="H4597">
            <v>19.62</v>
          </cell>
        </row>
        <row r="4598">
          <cell r="A4598" t="str">
            <v>1;01;L;B;PAQ35a40</v>
          </cell>
          <cell r="B4598">
            <v>730069</v>
          </cell>
          <cell r="C4598" t="str">
            <v>L</v>
          </cell>
          <cell r="D4598" t="str">
            <v>PORTUGAL</v>
          </cell>
          <cell r="E4598" t="str">
            <v>01</v>
          </cell>
          <cell r="F4598" t="str">
            <v>PAQ35a40</v>
          </cell>
          <cell r="G4598" t="str">
            <v>B</v>
          </cell>
          <cell r="H4598">
            <v>159.01</v>
          </cell>
        </row>
        <row r="4599">
          <cell r="A4599" t="str">
            <v>1;01;L;E;</v>
          </cell>
          <cell r="B4599">
            <v>730069</v>
          </cell>
          <cell r="C4599" t="str">
            <v>L</v>
          </cell>
          <cell r="D4599" t="str">
            <v>PORTUGAL</v>
          </cell>
          <cell r="E4599" t="str">
            <v>01</v>
          </cell>
          <cell r="F4599" t="str">
            <v/>
          </cell>
          <cell r="G4599" t="str">
            <v>E</v>
          </cell>
          <cell r="H4599">
            <v>23.64</v>
          </cell>
        </row>
        <row r="4600">
          <cell r="A4600" t="str">
            <v>1;01;L;P;</v>
          </cell>
          <cell r="B4600">
            <v>730069</v>
          </cell>
          <cell r="C4600" t="str">
            <v>L</v>
          </cell>
          <cell r="D4600" t="str">
            <v>PORTUGAL</v>
          </cell>
          <cell r="E4600" t="str">
            <v>01</v>
          </cell>
          <cell r="F4600" t="str">
            <v/>
          </cell>
          <cell r="G4600" t="str">
            <v>P</v>
          </cell>
          <cell r="H4600">
            <v>23.64</v>
          </cell>
        </row>
        <row r="4601">
          <cell r="A4601" t="str">
            <v>1;02;L;B;BAG</v>
          </cell>
          <cell r="B4601">
            <v>730069</v>
          </cell>
          <cell r="C4601" t="str">
            <v>L</v>
          </cell>
          <cell r="D4601" t="str">
            <v>PORTUGAL</v>
          </cell>
          <cell r="E4601" t="str">
            <v>02</v>
          </cell>
          <cell r="F4601" t="str">
            <v>BAG</v>
          </cell>
          <cell r="G4601" t="str">
            <v>B</v>
          </cell>
          <cell r="H4601">
            <v>15.37</v>
          </cell>
        </row>
        <row r="4602">
          <cell r="A4602" t="str">
            <v>1;02;L;B;DOCS</v>
          </cell>
          <cell r="B4602">
            <v>730069</v>
          </cell>
          <cell r="C4602" t="str">
            <v>L</v>
          </cell>
          <cell r="D4602" t="str">
            <v>PORTUGAL</v>
          </cell>
          <cell r="E4602" t="str">
            <v>02</v>
          </cell>
          <cell r="F4602" t="str">
            <v>DOCS</v>
          </cell>
          <cell r="G4602" t="str">
            <v>B</v>
          </cell>
          <cell r="H4602">
            <v>10</v>
          </cell>
        </row>
        <row r="4603">
          <cell r="A4603" t="str">
            <v>1;02;L;B;PAQ00a02</v>
          </cell>
          <cell r="B4603">
            <v>730069</v>
          </cell>
          <cell r="C4603" t="str">
            <v>L</v>
          </cell>
          <cell r="D4603" t="str">
            <v>PORTUGAL</v>
          </cell>
          <cell r="E4603" t="str">
            <v>02</v>
          </cell>
          <cell r="F4603" t="str">
            <v>PAQ00a02</v>
          </cell>
          <cell r="G4603" t="str">
            <v>B</v>
          </cell>
          <cell r="H4603">
            <v>18.350000000000001</v>
          </cell>
        </row>
        <row r="4604">
          <cell r="A4604" t="str">
            <v>1;02;L;B;PAQ02a05</v>
          </cell>
          <cell r="B4604">
            <v>730069</v>
          </cell>
          <cell r="C4604" t="str">
            <v>L</v>
          </cell>
          <cell r="D4604" t="str">
            <v>PORTUGAL</v>
          </cell>
          <cell r="E4604" t="str">
            <v>02</v>
          </cell>
          <cell r="F4604" t="str">
            <v>PAQ02a05</v>
          </cell>
          <cell r="G4604" t="str">
            <v>B</v>
          </cell>
          <cell r="H4604">
            <v>18.350000000000001</v>
          </cell>
        </row>
        <row r="4605">
          <cell r="A4605" t="str">
            <v>1;02;L;B;PAQ05a10</v>
          </cell>
          <cell r="B4605">
            <v>730069</v>
          </cell>
          <cell r="C4605" t="str">
            <v>L</v>
          </cell>
          <cell r="D4605" t="str">
            <v>PORTUGAL</v>
          </cell>
          <cell r="E4605" t="str">
            <v>02</v>
          </cell>
          <cell r="F4605" t="str">
            <v>PAQ05a10</v>
          </cell>
          <cell r="G4605" t="str">
            <v>B</v>
          </cell>
          <cell r="H4605">
            <v>27.41</v>
          </cell>
        </row>
        <row r="4606">
          <cell r="A4606" t="str">
            <v>1;02;L;B;PAQ10a15</v>
          </cell>
          <cell r="B4606">
            <v>730069</v>
          </cell>
          <cell r="C4606" t="str">
            <v>L</v>
          </cell>
          <cell r="D4606" t="str">
            <v>PORTUGAL</v>
          </cell>
          <cell r="E4606" t="str">
            <v>02</v>
          </cell>
          <cell r="F4606" t="str">
            <v>PAQ10a15</v>
          </cell>
          <cell r="G4606" t="str">
            <v>B</v>
          </cell>
          <cell r="H4606">
            <v>36.369999999999997</v>
          </cell>
        </row>
        <row r="4607">
          <cell r="A4607" t="str">
            <v>1;02;L;B;PAQ15a20</v>
          </cell>
          <cell r="B4607">
            <v>730069</v>
          </cell>
          <cell r="C4607" t="str">
            <v>L</v>
          </cell>
          <cell r="D4607" t="str">
            <v>PORTUGAL</v>
          </cell>
          <cell r="E4607" t="str">
            <v>02</v>
          </cell>
          <cell r="F4607" t="str">
            <v>PAQ15a20</v>
          </cell>
          <cell r="G4607" t="str">
            <v>B</v>
          </cell>
          <cell r="H4607">
            <v>45.35</v>
          </cell>
        </row>
        <row r="4608">
          <cell r="A4608" t="str">
            <v>1;02;L;B;PAQ20a25</v>
          </cell>
          <cell r="B4608">
            <v>730069</v>
          </cell>
          <cell r="C4608" t="str">
            <v>L</v>
          </cell>
          <cell r="D4608" t="str">
            <v>PORTUGAL</v>
          </cell>
          <cell r="E4608" t="str">
            <v>02</v>
          </cell>
          <cell r="F4608" t="str">
            <v>PAQ20a25</v>
          </cell>
          <cell r="G4608" t="str">
            <v>B</v>
          </cell>
          <cell r="H4608">
            <v>54.32</v>
          </cell>
        </row>
        <row r="4609">
          <cell r="A4609" t="str">
            <v>1;02;L;B;PAQ25a30</v>
          </cell>
          <cell r="B4609">
            <v>730069</v>
          </cell>
          <cell r="C4609" t="str">
            <v>L</v>
          </cell>
          <cell r="D4609" t="str">
            <v>PORTUGAL</v>
          </cell>
          <cell r="E4609" t="str">
            <v>02</v>
          </cell>
          <cell r="F4609" t="str">
            <v>PAQ25a30</v>
          </cell>
          <cell r="G4609" t="str">
            <v>B</v>
          </cell>
          <cell r="H4609">
            <v>63.29</v>
          </cell>
        </row>
        <row r="4610">
          <cell r="A4610" t="str">
            <v>1;02;L;B;PAQ30a35</v>
          </cell>
          <cell r="B4610">
            <v>730069</v>
          </cell>
          <cell r="C4610" t="str">
            <v>L</v>
          </cell>
          <cell r="D4610" t="str">
            <v>PORTUGAL</v>
          </cell>
          <cell r="E4610" t="str">
            <v>02</v>
          </cell>
          <cell r="F4610" t="str">
            <v>PAQ30a35</v>
          </cell>
          <cell r="G4610" t="str">
            <v>B</v>
          </cell>
          <cell r="H4610">
            <v>72.25</v>
          </cell>
        </row>
        <row r="4611">
          <cell r="A4611" t="str">
            <v>1;02;L;B;PAQ35a40</v>
          </cell>
          <cell r="B4611">
            <v>730069</v>
          </cell>
          <cell r="C4611" t="str">
            <v>L</v>
          </cell>
          <cell r="D4611" t="str">
            <v>PORTUGAL</v>
          </cell>
          <cell r="E4611" t="str">
            <v>02</v>
          </cell>
          <cell r="F4611" t="str">
            <v>PAQ35a40</v>
          </cell>
          <cell r="G4611" t="str">
            <v>B</v>
          </cell>
          <cell r="H4611">
            <v>81.23</v>
          </cell>
        </row>
        <row r="4612">
          <cell r="A4612" t="str">
            <v>1;02;L;F;</v>
          </cell>
          <cell r="B4612">
            <v>730069</v>
          </cell>
          <cell r="C4612" t="str">
            <v>L</v>
          </cell>
          <cell r="D4612" t="str">
            <v>PORTUGAL</v>
          </cell>
          <cell r="E4612" t="str">
            <v>02</v>
          </cell>
          <cell r="F4612" t="str">
            <v/>
          </cell>
          <cell r="G4612" t="str">
            <v>F</v>
          </cell>
          <cell r="H4612">
            <v>8.98</v>
          </cell>
        </row>
        <row r="4613">
          <cell r="A4613" t="str">
            <v>1;02;L;P;</v>
          </cell>
          <cell r="B4613">
            <v>730069</v>
          </cell>
          <cell r="C4613" t="str">
            <v>L</v>
          </cell>
          <cell r="D4613" t="str">
            <v>PORTUGAL</v>
          </cell>
          <cell r="E4613" t="str">
            <v>02</v>
          </cell>
          <cell r="F4613" t="str">
            <v/>
          </cell>
          <cell r="G4613" t="str">
            <v>P</v>
          </cell>
          <cell r="H4613">
            <v>18.350000000000001</v>
          </cell>
        </row>
        <row r="4614">
          <cell r="A4614" t="str">
            <v>1;02;L;E;</v>
          </cell>
          <cell r="B4614">
            <v>730069</v>
          </cell>
          <cell r="C4614" t="str">
            <v>L</v>
          </cell>
          <cell r="D4614" t="str">
            <v>PORTUGAL</v>
          </cell>
          <cell r="E4614" t="str">
            <v>02</v>
          </cell>
          <cell r="F4614" t="str">
            <v/>
          </cell>
          <cell r="G4614" t="str">
            <v>E</v>
          </cell>
          <cell r="H4614">
            <v>18.350000000000001</v>
          </cell>
        </row>
        <row r="4615">
          <cell r="A4615" t="str">
            <v>1;04;L;B;BAG</v>
          </cell>
          <cell r="B4615">
            <v>730069</v>
          </cell>
          <cell r="C4615" t="str">
            <v>L</v>
          </cell>
          <cell r="D4615" t="str">
            <v>PORTUGAL</v>
          </cell>
          <cell r="E4615" t="str">
            <v>04</v>
          </cell>
          <cell r="F4615" t="str">
            <v>BAG</v>
          </cell>
          <cell r="G4615" t="str">
            <v>B</v>
          </cell>
          <cell r="H4615">
            <v>5.66</v>
          </cell>
        </row>
        <row r="4616">
          <cell r="A4616" t="str">
            <v>1;05;L;B;BAG</v>
          </cell>
          <cell r="B4616">
            <v>730069</v>
          </cell>
          <cell r="C4616" t="str">
            <v>L</v>
          </cell>
          <cell r="D4616" t="str">
            <v>PORTUGAL</v>
          </cell>
          <cell r="E4616" t="str">
            <v>05</v>
          </cell>
          <cell r="F4616" t="str">
            <v>BAG</v>
          </cell>
          <cell r="G4616" t="str">
            <v>B</v>
          </cell>
          <cell r="H4616">
            <v>5.66</v>
          </cell>
        </row>
        <row r="4617">
          <cell r="A4617" t="str">
            <v>1;06;L;B;BAG</v>
          </cell>
          <cell r="B4617">
            <v>730069</v>
          </cell>
          <cell r="C4617" t="str">
            <v>L</v>
          </cell>
          <cell r="D4617" t="str">
            <v>PORTUGAL</v>
          </cell>
          <cell r="E4617" t="str">
            <v>06</v>
          </cell>
          <cell r="F4617" t="str">
            <v>BAG</v>
          </cell>
          <cell r="G4617" t="str">
            <v>B</v>
          </cell>
          <cell r="H4617">
            <v>0</v>
          </cell>
        </row>
        <row r="4618">
          <cell r="A4618" t="str">
            <v>1;06;L;B;DOCS</v>
          </cell>
          <cell r="B4618">
            <v>730069</v>
          </cell>
          <cell r="C4618" t="str">
            <v>L</v>
          </cell>
          <cell r="D4618" t="str">
            <v>PORTUGAL</v>
          </cell>
          <cell r="E4618" t="str">
            <v>06</v>
          </cell>
          <cell r="F4618" t="str">
            <v>DOCS</v>
          </cell>
          <cell r="G4618" t="str">
            <v>B</v>
          </cell>
          <cell r="H4618">
            <v>0</v>
          </cell>
        </row>
        <row r="4619">
          <cell r="A4619" t="str">
            <v>1;06;L;B;PAQ00a05</v>
          </cell>
          <cell r="B4619">
            <v>730069</v>
          </cell>
          <cell r="C4619" t="str">
            <v>L</v>
          </cell>
          <cell r="D4619" t="str">
            <v>PORTUGAL</v>
          </cell>
          <cell r="E4619" t="str">
            <v>06</v>
          </cell>
          <cell r="F4619" t="str">
            <v>PAQ00a05</v>
          </cell>
          <cell r="G4619" t="str">
            <v>B</v>
          </cell>
          <cell r="H4619">
            <v>0</v>
          </cell>
        </row>
        <row r="4620">
          <cell r="A4620" t="str">
            <v>1;06;L;B;PAQ05a10</v>
          </cell>
          <cell r="B4620">
            <v>730069</v>
          </cell>
          <cell r="C4620" t="str">
            <v>L</v>
          </cell>
          <cell r="D4620" t="str">
            <v>PORTUGAL</v>
          </cell>
          <cell r="E4620" t="str">
            <v>06</v>
          </cell>
          <cell r="F4620" t="str">
            <v>PAQ05a10</v>
          </cell>
          <cell r="G4620" t="str">
            <v>B</v>
          </cell>
          <cell r="H4620">
            <v>0</v>
          </cell>
        </row>
        <row r="4621">
          <cell r="A4621" t="str">
            <v>1;06;L;B;PAQ10a15</v>
          </cell>
          <cell r="B4621">
            <v>730069</v>
          </cell>
          <cell r="C4621" t="str">
            <v>L</v>
          </cell>
          <cell r="D4621" t="str">
            <v>PORTUGAL</v>
          </cell>
          <cell r="E4621" t="str">
            <v>06</v>
          </cell>
          <cell r="F4621" t="str">
            <v>PAQ10a15</v>
          </cell>
          <cell r="G4621" t="str">
            <v>B</v>
          </cell>
          <cell r="H4621">
            <v>0</v>
          </cell>
        </row>
        <row r="4622">
          <cell r="A4622" t="str">
            <v>1;06;L;B;PAQ15a20</v>
          </cell>
          <cell r="B4622">
            <v>730069</v>
          </cell>
          <cell r="C4622" t="str">
            <v>L</v>
          </cell>
          <cell r="D4622" t="str">
            <v>PORTUGAL</v>
          </cell>
          <cell r="E4622" t="str">
            <v>06</v>
          </cell>
          <cell r="F4622" t="str">
            <v>PAQ15a20</v>
          </cell>
          <cell r="G4622" t="str">
            <v>B</v>
          </cell>
          <cell r="H4622">
            <v>0</v>
          </cell>
        </row>
        <row r="4623">
          <cell r="A4623" t="str">
            <v>1;06;L;B;PAQ20a25</v>
          </cell>
          <cell r="B4623">
            <v>730069</v>
          </cell>
          <cell r="C4623" t="str">
            <v>L</v>
          </cell>
          <cell r="D4623" t="str">
            <v>PORTUGAL</v>
          </cell>
          <cell r="E4623" t="str">
            <v>06</v>
          </cell>
          <cell r="F4623" t="str">
            <v>PAQ20a25</v>
          </cell>
          <cell r="G4623" t="str">
            <v>B</v>
          </cell>
          <cell r="H4623">
            <v>0</v>
          </cell>
        </row>
        <row r="4624">
          <cell r="A4624" t="str">
            <v>1;06;L;B;PAQ25a30</v>
          </cell>
          <cell r="B4624">
            <v>730069</v>
          </cell>
          <cell r="C4624" t="str">
            <v>L</v>
          </cell>
          <cell r="D4624" t="str">
            <v>PORTUGAL</v>
          </cell>
          <cell r="E4624" t="str">
            <v>06</v>
          </cell>
          <cell r="F4624" t="str">
            <v>PAQ25a30</v>
          </cell>
          <cell r="G4624" t="str">
            <v>B</v>
          </cell>
          <cell r="H4624">
            <v>0</v>
          </cell>
        </row>
        <row r="4625">
          <cell r="A4625" t="str">
            <v>1;06;L;B;PAQ30a35</v>
          </cell>
          <cell r="B4625">
            <v>730069</v>
          </cell>
          <cell r="C4625" t="str">
            <v>L</v>
          </cell>
          <cell r="D4625" t="str">
            <v>PORTUGAL</v>
          </cell>
          <cell r="E4625" t="str">
            <v>06</v>
          </cell>
          <cell r="F4625" t="str">
            <v>PAQ30a35</v>
          </cell>
          <cell r="G4625" t="str">
            <v>B</v>
          </cell>
          <cell r="H4625">
            <v>0</v>
          </cell>
        </row>
        <row r="4626">
          <cell r="A4626" t="str">
            <v>1;06;L;B;PAQ35a40</v>
          </cell>
          <cell r="B4626">
            <v>730069</v>
          </cell>
          <cell r="C4626" t="str">
            <v>L</v>
          </cell>
          <cell r="D4626" t="str">
            <v>PORTUGAL</v>
          </cell>
          <cell r="E4626" t="str">
            <v>06</v>
          </cell>
          <cell r="F4626" t="str">
            <v>PAQ35a40</v>
          </cell>
          <cell r="G4626" t="str">
            <v>B</v>
          </cell>
          <cell r="H4626">
            <v>0</v>
          </cell>
        </row>
        <row r="4627">
          <cell r="A4627" t="str">
            <v>1;06;L;F;</v>
          </cell>
          <cell r="B4627">
            <v>730069</v>
          </cell>
          <cell r="C4627" t="str">
            <v>L</v>
          </cell>
          <cell r="D4627" t="str">
            <v>PORTUGAL</v>
          </cell>
          <cell r="E4627" t="str">
            <v>06</v>
          </cell>
          <cell r="F4627" t="str">
            <v/>
          </cell>
          <cell r="G4627" t="str">
            <v>F</v>
          </cell>
          <cell r="H4627">
            <v>0</v>
          </cell>
        </row>
        <row r="4628">
          <cell r="A4628" t="str">
            <v>1;06;L;E;</v>
          </cell>
          <cell r="B4628">
            <v>730069</v>
          </cell>
          <cell r="C4628" t="str">
            <v>L</v>
          </cell>
          <cell r="D4628" t="str">
            <v>PORTUGAL</v>
          </cell>
          <cell r="E4628" t="str">
            <v>06</v>
          </cell>
          <cell r="F4628" t="str">
            <v/>
          </cell>
          <cell r="G4628" t="str">
            <v>E</v>
          </cell>
          <cell r="H4628">
            <v>18.350000000000001</v>
          </cell>
        </row>
        <row r="4629">
          <cell r="A4629" t="str">
            <v>1;06;L;P;</v>
          </cell>
          <cell r="B4629">
            <v>730069</v>
          </cell>
          <cell r="C4629" t="str">
            <v>L</v>
          </cell>
          <cell r="D4629" t="str">
            <v>PORTUGAL</v>
          </cell>
          <cell r="E4629" t="str">
            <v>06</v>
          </cell>
          <cell r="F4629" t="str">
            <v/>
          </cell>
          <cell r="G4629" t="str">
            <v>P</v>
          </cell>
          <cell r="H4629">
            <v>18.350000000000001</v>
          </cell>
        </row>
        <row r="4630">
          <cell r="A4630" t="str">
            <v>1;07;L;B;BAG</v>
          </cell>
          <cell r="B4630">
            <v>730069</v>
          </cell>
          <cell r="C4630" t="str">
            <v>L</v>
          </cell>
          <cell r="D4630" t="str">
            <v>PORTUGAL</v>
          </cell>
          <cell r="E4630" t="str">
            <v>07</v>
          </cell>
          <cell r="F4630" t="str">
            <v>BAG</v>
          </cell>
          <cell r="G4630" t="str">
            <v>B</v>
          </cell>
          <cell r="H4630">
            <v>0</v>
          </cell>
        </row>
        <row r="4631">
          <cell r="A4631" t="str">
            <v>1;07;L;B;DOCS</v>
          </cell>
          <cell r="B4631">
            <v>730069</v>
          </cell>
          <cell r="C4631" t="str">
            <v>L</v>
          </cell>
          <cell r="D4631" t="str">
            <v>PORTUGAL</v>
          </cell>
          <cell r="E4631" t="str">
            <v>07</v>
          </cell>
          <cell r="F4631" t="str">
            <v>DOCS</v>
          </cell>
          <cell r="G4631" t="str">
            <v>B</v>
          </cell>
          <cell r="H4631">
            <v>0</v>
          </cell>
        </row>
        <row r="4632">
          <cell r="A4632" t="str">
            <v>1;07;L;B;PAQ00a05</v>
          </cell>
          <cell r="B4632">
            <v>730069</v>
          </cell>
          <cell r="C4632" t="str">
            <v>L</v>
          </cell>
          <cell r="D4632" t="str">
            <v>PORTUGAL</v>
          </cell>
          <cell r="E4632" t="str">
            <v>07</v>
          </cell>
          <cell r="F4632" t="str">
            <v>PAQ00a05</v>
          </cell>
          <cell r="G4632" t="str">
            <v>B</v>
          </cell>
          <cell r="H4632">
            <v>0</v>
          </cell>
        </row>
        <row r="4633">
          <cell r="A4633" t="str">
            <v>1;07;L;B;PAQ05a10</v>
          </cell>
          <cell r="B4633">
            <v>730069</v>
          </cell>
          <cell r="C4633" t="str">
            <v>L</v>
          </cell>
          <cell r="D4633" t="str">
            <v>PORTUGAL</v>
          </cell>
          <cell r="E4633" t="str">
            <v>07</v>
          </cell>
          <cell r="F4633" t="str">
            <v>PAQ05a10</v>
          </cell>
          <cell r="G4633" t="str">
            <v>B</v>
          </cell>
          <cell r="H4633">
            <v>0</v>
          </cell>
        </row>
        <row r="4634">
          <cell r="A4634" t="str">
            <v>1;07;L;B;PAQ10a15</v>
          </cell>
          <cell r="B4634">
            <v>730069</v>
          </cell>
          <cell r="C4634" t="str">
            <v>L</v>
          </cell>
          <cell r="D4634" t="str">
            <v>PORTUGAL</v>
          </cell>
          <cell r="E4634" t="str">
            <v>07</v>
          </cell>
          <cell r="F4634" t="str">
            <v>PAQ10a15</v>
          </cell>
          <cell r="G4634" t="str">
            <v>B</v>
          </cell>
          <cell r="H4634">
            <v>0</v>
          </cell>
        </row>
        <row r="4635">
          <cell r="A4635" t="str">
            <v>1;07;L;B;PAQ15a20</v>
          </cell>
          <cell r="B4635">
            <v>730069</v>
          </cell>
          <cell r="C4635" t="str">
            <v>L</v>
          </cell>
          <cell r="D4635" t="str">
            <v>PORTUGAL</v>
          </cell>
          <cell r="E4635" t="str">
            <v>07</v>
          </cell>
          <cell r="F4635" t="str">
            <v>PAQ15a20</v>
          </cell>
          <cell r="G4635" t="str">
            <v>B</v>
          </cell>
          <cell r="H4635">
            <v>0</v>
          </cell>
        </row>
        <row r="4636">
          <cell r="A4636" t="str">
            <v>1;07;L;B;PAQ20a25</v>
          </cell>
          <cell r="B4636">
            <v>730069</v>
          </cell>
          <cell r="C4636" t="str">
            <v>L</v>
          </cell>
          <cell r="D4636" t="str">
            <v>PORTUGAL</v>
          </cell>
          <cell r="E4636" t="str">
            <v>07</v>
          </cell>
          <cell r="F4636" t="str">
            <v>PAQ20a25</v>
          </cell>
          <cell r="G4636" t="str">
            <v>B</v>
          </cell>
          <cell r="H4636">
            <v>0</v>
          </cell>
        </row>
        <row r="4637">
          <cell r="A4637" t="str">
            <v>1;07;L;B;PAQ25a30</v>
          </cell>
          <cell r="B4637">
            <v>730069</v>
          </cell>
          <cell r="C4637" t="str">
            <v>L</v>
          </cell>
          <cell r="D4637" t="str">
            <v>PORTUGAL</v>
          </cell>
          <cell r="E4637" t="str">
            <v>07</v>
          </cell>
          <cell r="F4637" t="str">
            <v>PAQ25a30</v>
          </cell>
          <cell r="G4637" t="str">
            <v>B</v>
          </cell>
          <cell r="H4637">
            <v>0</v>
          </cell>
        </row>
        <row r="4638">
          <cell r="A4638" t="str">
            <v>1;07;L;B;PAQ30a35</v>
          </cell>
          <cell r="B4638">
            <v>730069</v>
          </cell>
          <cell r="C4638" t="str">
            <v>L</v>
          </cell>
          <cell r="D4638" t="str">
            <v>PORTUGAL</v>
          </cell>
          <cell r="E4638" t="str">
            <v>07</v>
          </cell>
          <cell r="F4638" t="str">
            <v>PAQ30a35</v>
          </cell>
          <cell r="G4638" t="str">
            <v>B</v>
          </cell>
          <cell r="H4638">
            <v>0</v>
          </cell>
        </row>
        <row r="4639">
          <cell r="A4639" t="str">
            <v>1;07;L;B;PAQ35a40</v>
          </cell>
          <cell r="B4639">
            <v>730069</v>
          </cell>
          <cell r="C4639" t="str">
            <v>L</v>
          </cell>
          <cell r="D4639" t="str">
            <v>PORTUGAL</v>
          </cell>
          <cell r="E4639" t="str">
            <v>07</v>
          </cell>
          <cell r="F4639" t="str">
            <v>PAQ35a40</v>
          </cell>
          <cell r="G4639" t="str">
            <v>B</v>
          </cell>
          <cell r="H4639">
            <v>0</v>
          </cell>
        </row>
        <row r="4640">
          <cell r="A4640" t="str">
            <v>1;07;L;F;</v>
          </cell>
          <cell r="B4640">
            <v>730069</v>
          </cell>
          <cell r="C4640" t="str">
            <v>L</v>
          </cell>
          <cell r="D4640" t="str">
            <v>PORTUGAL</v>
          </cell>
          <cell r="E4640" t="str">
            <v>07</v>
          </cell>
          <cell r="F4640" t="str">
            <v/>
          </cell>
          <cell r="G4640" t="str">
            <v>F</v>
          </cell>
          <cell r="H4640">
            <v>0</v>
          </cell>
        </row>
        <row r="4641">
          <cell r="A4641" t="str">
            <v>1;07;L;E;</v>
          </cell>
          <cell r="B4641">
            <v>730069</v>
          </cell>
          <cell r="C4641" t="str">
            <v>L</v>
          </cell>
          <cell r="D4641" t="str">
            <v>PORTUGAL</v>
          </cell>
          <cell r="E4641" t="str">
            <v>07</v>
          </cell>
          <cell r="F4641" t="str">
            <v/>
          </cell>
          <cell r="G4641" t="str">
            <v>E</v>
          </cell>
          <cell r="H4641">
            <v>18.350000000000001</v>
          </cell>
        </row>
        <row r="4642">
          <cell r="A4642" t="str">
            <v>1;07;L;P;</v>
          </cell>
          <cell r="B4642">
            <v>730069</v>
          </cell>
          <cell r="C4642" t="str">
            <v>L</v>
          </cell>
          <cell r="D4642" t="str">
            <v>PORTUGAL</v>
          </cell>
          <cell r="E4642" t="str">
            <v>07</v>
          </cell>
          <cell r="F4642" t="str">
            <v/>
          </cell>
          <cell r="G4642" t="str">
            <v>P</v>
          </cell>
          <cell r="H4642">
            <v>18.350000000000001</v>
          </cell>
        </row>
        <row r="4643">
          <cell r="A4643" t="str">
            <v>1;08;L;B;BAG</v>
          </cell>
          <cell r="B4643">
            <v>730069</v>
          </cell>
          <cell r="C4643" t="str">
            <v>L</v>
          </cell>
          <cell r="D4643" t="str">
            <v>PORTUGAL</v>
          </cell>
          <cell r="E4643" t="str">
            <v>08</v>
          </cell>
          <cell r="F4643" t="str">
            <v>BAG</v>
          </cell>
          <cell r="G4643" t="str">
            <v>B</v>
          </cell>
          <cell r="H4643">
            <v>5.46</v>
          </cell>
        </row>
        <row r="4644">
          <cell r="A4644" t="str">
            <v>1;08;L;B;DOCS</v>
          </cell>
          <cell r="B4644">
            <v>730069</v>
          </cell>
          <cell r="C4644" t="str">
            <v>L</v>
          </cell>
          <cell r="D4644" t="str">
            <v>PORTUGAL</v>
          </cell>
          <cell r="E4644" t="str">
            <v>08</v>
          </cell>
          <cell r="F4644" t="str">
            <v>DOCS</v>
          </cell>
          <cell r="G4644" t="str">
            <v>B</v>
          </cell>
          <cell r="H4644">
            <v>8.32</v>
          </cell>
        </row>
        <row r="4645">
          <cell r="A4645" t="str">
            <v>1;08;L;B;PAQ00a02</v>
          </cell>
          <cell r="B4645">
            <v>730069</v>
          </cell>
          <cell r="C4645" t="str">
            <v>L</v>
          </cell>
          <cell r="D4645" t="str">
            <v>PORTUGAL</v>
          </cell>
          <cell r="E4645" t="str">
            <v>08</v>
          </cell>
          <cell r="F4645" t="str">
            <v>PAQ00a02</v>
          </cell>
          <cell r="G4645" t="str">
            <v>B</v>
          </cell>
          <cell r="H4645">
            <v>5.46</v>
          </cell>
        </row>
        <row r="4646">
          <cell r="A4646" t="str">
            <v>1;08;L;B;PAQ02a05</v>
          </cell>
          <cell r="B4646">
            <v>730069</v>
          </cell>
          <cell r="C4646" t="str">
            <v>L</v>
          </cell>
          <cell r="D4646" t="str">
            <v>PORTUGAL</v>
          </cell>
          <cell r="E4646" t="str">
            <v>08</v>
          </cell>
          <cell r="F4646" t="str">
            <v>PAQ02a05</v>
          </cell>
          <cell r="G4646" t="str">
            <v>B</v>
          </cell>
          <cell r="H4646">
            <v>7</v>
          </cell>
        </row>
        <row r="4647">
          <cell r="A4647" t="str">
            <v>1;08;L;B;PAQ05a10</v>
          </cell>
          <cell r="B4647">
            <v>730069</v>
          </cell>
          <cell r="C4647" t="str">
            <v>L</v>
          </cell>
          <cell r="D4647" t="str">
            <v>PORTUGAL</v>
          </cell>
          <cell r="E4647" t="str">
            <v>08</v>
          </cell>
          <cell r="F4647" t="str">
            <v>PAQ05a10</v>
          </cell>
          <cell r="G4647" t="str">
            <v>B</v>
          </cell>
          <cell r="H4647">
            <v>8.74</v>
          </cell>
        </row>
        <row r="4648">
          <cell r="A4648" t="str">
            <v>1;08;L;B;PAQ10a15</v>
          </cell>
          <cell r="B4648">
            <v>730069</v>
          </cell>
          <cell r="C4648" t="str">
            <v>L</v>
          </cell>
          <cell r="D4648" t="str">
            <v>PORTUGAL</v>
          </cell>
          <cell r="E4648" t="str">
            <v>08</v>
          </cell>
          <cell r="F4648" t="str">
            <v>PAQ10a15</v>
          </cell>
          <cell r="G4648" t="str">
            <v>B</v>
          </cell>
          <cell r="H4648">
            <v>12.04</v>
          </cell>
        </row>
        <row r="4649">
          <cell r="A4649" t="str">
            <v>1;08;L;B;PAQ15a20</v>
          </cell>
          <cell r="B4649">
            <v>730069</v>
          </cell>
          <cell r="C4649" t="str">
            <v>L</v>
          </cell>
          <cell r="D4649" t="str">
            <v>PORTUGAL</v>
          </cell>
          <cell r="E4649" t="str">
            <v>08</v>
          </cell>
          <cell r="F4649" t="str">
            <v>PAQ15a20</v>
          </cell>
          <cell r="G4649" t="str">
            <v>B</v>
          </cell>
          <cell r="H4649">
            <v>15.17</v>
          </cell>
        </row>
        <row r="4650">
          <cell r="A4650" t="str">
            <v>1;08;L;B;PAQ20a25</v>
          </cell>
          <cell r="B4650">
            <v>730069</v>
          </cell>
          <cell r="C4650" t="str">
            <v>L</v>
          </cell>
          <cell r="D4650" t="str">
            <v>PORTUGAL</v>
          </cell>
          <cell r="E4650" t="str">
            <v>08</v>
          </cell>
          <cell r="F4650" t="str">
            <v>PAQ20a25</v>
          </cell>
          <cell r="G4650" t="str">
            <v>B</v>
          </cell>
          <cell r="H4650">
            <v>18.899999999999999</v>
          </cell>
        </row>
        <row r="4651">
          <cell r="A4651" t="str">
            <v>1;08;L;B;PAQ25a30</v>
          </cell>
          <cell r="B4651">
            <v>730069</v>
          </cell>
          <cell r="C4651" t="str">
            <v>L</v>
          </cell>
          <cell r="D4651" t="str">
            <v>PORTUGAL</v>
          </cell>
          <cell r="E4651" t="str">
            <v>08</v>
          </cell>
          <cell r="F4651" t="str">
            <v>PAQ25a30</v>
          </cell>
          <cell r="G4651" t="str">
            <v>B</v>
          </cell>
          <cell r="H4651">
            <v>22.05</v>
          </cell>
        </row>
        <row r="4652">
          <cell r="A4652" t="str">
            <v>1;08;L;B;PAQ30a35</v>
          </cell>
          <cell r="B4652">
            <v>730069</v>
          </cell>
          <cell r="C4652" t="str">
            <v>L</v>
          </cell>
          <cell r="D4652" t="str">
            <v>PORTUGAL</v>
          </cell>
          <cell r="E4652" t="str">
            <v>08</v>
          </cell>
          <cell r="F4652" t="str">
            <v>PAQ30a35</v>
          </cell>
          <cell r="G4652" t="str">
            <v>B</v>
          </cell>
          <cell r="H4652">
            <v>25.36</v>
          </cell>
        </row>
        <row r="4653">
          <cell r="A4653" t="str">
            <v>1;08;L;B;PAQ35a40</v>
          </cell>
          <cell r="B4653">
            <v>730069</v>
          </cell>
          <cell r="C4653" t="str">
            <v>L</v>
          </cell>
          <cell r="D4653" t="str">
            <v>PORTUGAL</v>
          </cell>
          <cell r="E4653" t="str">
            <v>08</v>
          </cell>
          <cell r="F4653" t="str">
            <v>PAQ35a40</v>
          </cell>
          <cell r="G4653" t="str">
            <v>B</v>
          </cell>
          <cell r="H4653">
            <v>28.77</v>
          </cell>
        </row>
        <row r="4654">
          <cell r="A4654" t="str">
            <v>1;08;L;F;</v>
          </cell>
          <cell r="B4654">
            <v>730069</v>
          </cell>
          <cell r="C4654" t="str">
            <v>L</v>
          </cell>
          <cell r="D4654" t="str">
            <v>PORTUGAL</v>
          </cell>
          <cell r="E4654" t="str">
            <v>08</v>
          </cell>
          <cell r="F4654" t="str">
            <v/>
          </cell>
          <cell r="G4654" t="str">
            <v>F</v>
          </cell>
          <cell r="H4654">
            <v>4.2</v>
          </cell>
        </row>
        <row r="4655">
          <cell r="A4655" t="str">
            <v>1;08;L;P;</v>
          </cell>
          <cell r="B4655">
            <v>730069</v>
          </cell>
          <cell r="C4655" t="str">
            <v>L</v>
          </cell>
          <cell r="D4655" t="str">
            <v>PORTUGAL</v>
          </cell>
          <cell r="E4655" t="str">
            <v>08</v>
          </cell>
          <cell r="F4655" t="str">
            <v/>
          </cell>
          <cell r="G4655" t="str">
            <v>P</v>
          </cell>
          <cell r="H4655">
            <v>4.7300000000000004</v>
          </cell>
        </row>
        <row r="4656">
          <cell r="A4656" t="str">
            <v>1;08;L;E;</v>
          </cell>
          <cell r="B4656">
            <v>730069</v>
          </cell>
          <cell r="C4656" t="str">
            <v>L</v>
          </cell>
          <cell r="D4656" t="str">
            <v>PORTUGAL</v>
          </cell>
          <cell r="E4656" t="str">
            <v>08</v>
          </cell>
          <cell r="F4656" t="str">
            <v/>
          </cell>
          <cell r="G4656" t="str">
            <v>E</v>
          </cell>
          <cell r="H4656">
            <v>4.7300000000000004</v>
          </cell>
        </row>
        <row r="4657">
          <cell r="A4657" t="str">
            <v>1;10;L;B;BAG</v>
          </cell>
          <cell r="B4657">
            <v>730069</v>
          </cell>
          <cell r="C4657" t="str">
            <v>L</v>
          </cell>
          <cell r="D4657" t="str">
            <v>PORTUGAL</v>
          </cell>
          <cell r="E4657" t="str">
            <v>10</v>
          </cell>
          <cell r="F4657" t="str">
            <v>BAG</v>
          </cell>
          <cell r="G4657" t="str">
            <v>B</v>
          </cell>
          <cell r="H4657">
            <v>1.67</v>
          </cell>
        </row>
        <row r="4658">
          <cell r="A4658" t="str">
            <v>1;10;L;B;DOCS</v>
          </cell>
          <cell r="B4658">
            <v>730069</v>
          </cell>
          <cell r="C4658" t="str">
            <v>L</v>
          </cell>
          <cell r="D4658" t="str">
            <v>PORTUGAL</v>
          </cell>
          <cell r="E4658" t="str">
            <v>10</v>
          </cell>
          <cell r="F4658" t="str">
            <v>DOCS</v>
          </cell>
          <cell r="G4658" t="str">
            <v>B</v>
          </cell>
          <cell r="H4658">
            <v>1.67</v>
          </cell>
        </row>
        <row r="4659">
          <cell r="A4659" t="str">
            <v>1;11;L;B;BAG</v>
          </cell>
          <cell r="B4659">
            <v>730069</v>
          </cell>
          <cell r="C4659" t="str">
            <v>L</v>
          </cell>
          <cell r="D4659" t="str">
            <v>PORTUGAL</v>
          </cell>
          <cell r="E4659" t="str">
            <v>11</v>
          </cell>
          <cell r="F4659" t="str">
            <v>BAG</v>
          </cell>
          <cell r="G4659" t="str">
            <v>B</v>
          </cell>
          <cell r="H4659">
            <v>30.25</v>
          </cell>
        </row>
        <row r="4660">
          <cell r="A4660" t="str">
            <v>1;11;L;B;DOCS</v>
          </cell>
          <cell r="B4660">
            <v>730069</v>
          </cell>
          <cell r="C4660" t="str">
            <v>L</v>
          </cell>
          <cell r="D4660" t="str">
            <v>PORTUGAL</v>
          </cell>
          <cell r="E4660" t="str">
            <v>11</v>
          </cell>
          <cell r="F4660" t="str">
            <v>DOCS</v>
          </cell>
          <cell r="G4660" t="str">
            <v>B</v>
          </cell>
          <cell r="H4660">
            <v>25.18</v>
          </cell>
        </row>
        <row r="4661">
          <cell r="A4661" t="str">
            <v>1;11;L;B;PAQ00a02</v>
          </cell>
          <cell r="B4661">
            <v>730069</v>
          </cell>
          <cell r="C4661" t="str">
            <v>L</v>
          </cell>
          <cell r="D4661" t="str">
            <v>PORTUGAL</v>
          </cell>
          <cell r="E4661" t="str">
            <v>11</v>
          </cell>
          <cell r="F4661" t="str">
            <v>PAQ00a02</v>
          </cell>
          <cell r="G4661" t="str">
            <v>B</v>
          </cell>
          <cell r="H4661">
            <v>34.880000000000003</v>
          </cell>
        </row>
        <row r="4662">
          <cell r="A4662" t="str">
            <v>1;11;L;B;PAQ02a05</v>
          </cell>
          <cell r="B4662">
            <v>730069</v>
          </cell>
          <cell r="C4662" t="str">
            <v>L</v>
          </cell>
          <cell r="D4662" t="str">
            <v>PORTUGAL</v>
          </cell>
          <cell r="E4662" t="str">
            <v>11</v>
          </cell>
          <cell r="F4662" t="str">
            <v>PAQ02a05</v>
          </cell>
          <cell r="G4662" t="str">
            <v>B</v>
          </cell>
          <cell r="H4662">
            <v>34.880000000000003</v>
          </cell>
        </row>
        <row r="4663">
          <cell r="A4663" t="str">
            <v>1;11;L;B;PAQ05a10</v>
          </cell>
          <cell r="B4663">
            <v>730069</v>
          </cell>
          <cell r="C4663" t="str">
            <v>L</v>
          </cell>
          <cell r="D4663" t="str">
            <v>PORTUGAL</v>
          </cell>
          <cell r="E4663" t="str">
            <v>11</v>
          </cell>
          <cell r="F4663" t="str">
            <v>PAQ05a10</v>
          </cell>
          <cell r="G4663" t="str">
            <v>B</v>
          </cell>
          <cell r="H4663">
            <v>52.48</v>
          </cell>
        </row>
        <row r="4664">
          <cell r="A4664" t="str">
            <v>1;11;L;B;PAQ10a15</v>
          </cell>
          <cell r="B4664">
            <v>730069</v>
          </cell>
          <cell r="C4664" t="str">
            <v>L</v>
          </cell>
          <cell r="D4664" t="str">
            <v>PORTUGAL</v>
          </cell>
          <cell r="E4664" t="str">
            <v>11</v>
          </cell>
          <cell r="F4664" t="str">
            <v>PAQ10a15</v>
          </cell>
          <cell r="G4664" t="str">
            <v>B</v>
          </cell>
          <cell r="H4664">
            <v>72.099999999999994</v>
          </cell>
        </row>
        <row r="4665">
          <cell r="A4665" t="str">
            <v>1;11;L;B;PAQ15a20</v>
          </cell>
          <cell r="B4665">
            <v>730069</v>
          </cell>
          <cell r="C4665" t="str">
            <v>L</v>
          </cell>
          <cell r="D4665" t="str">
            <v>PORTUGAL</v>
          </cell>
          <cell r="E4665" t="str">
            <v>11</v>
          </cell>
          <cell r="F4665" t="str">
            <v>PAQ15a20</v>
          </cell>
          <cell r="G4665" t="str">
            <v>B</v>
          </cell>
          <cell r="H4665">
            <v>91.73</v>
          </cell>
        </row>
        <row r="4666">
          <cell r="A4666" t="str">
            <v>1;11;L;B;PAQ20a25</v>
          </cell>
          <cell r="B4666">
            <v>730069</v>
          </cell>
          <cell r="C4666" t="str">
            <v>L</v>
          </cell>
          <cell r="D4666" t="str">
            <v>PORTUGAL</v>
          </cell>
          <cell r="E4666" t="str">
            <v>11</v>
          </cell>
          <cell r="F4666" t="str">
            <v>PAQ20a25</v>
          </cell>
          <cell r="G4666" t="str">
            <v>B</v>
          </cell>
          <cell r="H4666">
            <v>111.36</v>
          </cell>
        </row>
        <row r="4667">
          <cell r="A4667" t="str">
            <v>1;11;L;B;PAQ25a30</v>
          </cell>
          <cell r="B4667">
            <v>730069</v>
          </cell>
          <cell r="C4667" t="str">
            <v>L</v>
          </cell>
          <cell r="D4667" t="str">
            <v>PORTUGAL</v>
          </cell>
          <cell r="E4667" t="str">
            <v>11</v>
          </cell>
          <cell r="F4667" t="str">
            <v>PAQ25a30</v>
          </cell>
          <cell r="G4667" t="str">
            <v>B</v>
          </cell>
          <cell r="H4667">
            <v>130.99</v>
          </cell>
        </row>
        <row r="4668">
          <cell r="A4668" t="str">
            <v>1;11;L;B;PAQ30a35</v>
          </cell>
          <cell r="B4668">
            <v>730069</v>
          </cell>
          <cell r="C4668" t="str">
            <v>L</v>
          </cell>
          <cell r="D4668" t="str">
            <v>PORTUGAL</v>
          </cell>
          <cell r="E4668" t="str">
            <v>11</v>
          </cell>
          <cell r="F4668" t="str">
            <v>PAQ30a35</v>
          </cell>
          <cell r="G4668" t="str">
            <v>B</v>
          </cell>
          <cell r="H4668">
            <v>150.62</v>
          </cell>
        </row>
        <row r="4669">
          <cell r="A4669" t="str">
            <v>1;11;L;B;PAQ35a40</v>
          </cell>
          <cell r="B4669">
            <v>730069</v>
          </cell>
          <cell r="C4669" t="str">
            <v>L</v>
          </cell>
          <cell r="D4669" t="str">
            <v>PORTUGAL</v>
          </cell>
          <cell r="E4669" t="str">
            <v>11</v>
          </cell>
          <cell r="F4669" t="str">
            <v>PAQ35a40</v>
          </cell>
          <cell r="G4669" t="str">
            <v>B</v>
          </cell>
          <cell r="H4669">
            <v>170.25</v>
          </cell>
        </row>
        <row r="4670">
          <cell r="A4670" t="str">
            <v>1;11;L;F;</v>
          </cell>
          <cell r="B4670">
            <v>730069</v>
          </cell>
          <cell r="C4670" t="str">
            <v>L</v>
          </cell>
          <cell r="D4670" t="str">
            <v>PORTUGAL</v>
          </cell>
          <cell r="E4670" t="str">
            <v>11</v>
          </cell>
          <cell r="F4670" t="str">
            <v/>
          </cell>
          <cell r="G4670" t="str">
            <v>F</v>
          </cell>
          <cell r="H4670">
            <v>19.62</v>
          </cell>
        </row>
        <row r="4671">
          <cell r="A4671" t="str">
            <v>1;11;L;P;</v>
          </cell>
          <cell r="B4671">
            <v>730069</v>
          </cell>
          <cell r="C4671" t="str">
            <v>L</v>
          </cell>
          <cell r="D4671" t="str">
            <v>PORTUGAL</v>
          </cell>
          <cell r="E4671" t="str">
            <v>11</v>
          </cell>
          <cell r="F4671" t="str">
            <v/>
          </cell>
          <cell r="G4671" t="str">
            <v>P</v>
          </cell>
          <cell r="H4671">
            <v>23.64</v>
          </cell>
        </row>
        <row r="4672">
          <cell r="A4672" t="str">
            <v>1;11;L;E;</v>
          </cell>
          <cell r="B4672">
            <v>730069</v>
          </cell>
          <cell r="C4672" t="str">
            <v>L</v>
          </cell>
          <cell r="D4672" t="str">
            <v>PORTUGAL</v>
          </cell>
          <cell r="E4672" t="str">
            <v>11</v>
          </cell>
          <cell r="F4672" t="str">
            <v/>
          </cell>
          <cell r="G4672" t="str">
            <v>E</v>
          </cell>
          <cell r="H4672">
            <v>23.64</v>
          </cell>
        </row>
        <row r="4673">
          <cell r="A4673" t="str">
            <v>1;12;L;B;BAG</v>
          </cell>
          <cell r="B4673">
            <v>730069</v>
          </cell>
          <cell r="C4673" t="str">
            <v>L</v>
          </cell>
          <cell r="D4673" t="str">
            <v>PORTUGAL</v>
          </cell>
          <cell r="E4673" t="str">
            <v>12</v>
          </cell>
          <cell r="F4673" t="str">
            <v>BAG</v>
          </cell>
          <cell r="G4673" t="str">
            <v>B</v>
          </cell>
          <cell r="H4673">
            <v>3.58</v>
          </cell>
        </row>
        <row r="4674">
          <cell r="A4674" t="str">
            <v>1;12;L;B;DOCS</v>
          </cell>
          <cell r="B4674">
            <v>730069</v>
          </cell>
          <cell r="C4674" t="str">
            <v>L</v>
          </cell>
          <cell r="D4674" t="str">
            <v>PORTUGAL</v>
          </cell>
          <cell r="E4674" t="str">
            <v>12</v>
          </cell>
          <cell r="F4674" t="str">
            <v>DOCS</v>
          </cell>
          <cell r="G4674" t="str">
            <v>B</v>
          </cell>
          <cell r="H4674">
            <v>3.58</v>
          </cell>
        </row>
        <row r="4675">
          <cell r="A4675" t="str">
            <v>1;13;L;B;PAQ00a02</v>
          </cell>
          <cell r="B4675">
            <v>730069</v>
          </cell>
          <cell r="C4675" t="str">
            <v>L</v>
          </cell>
          <cell r="D4675" t="str">
            <v>PORTUGAL</v>
          </cell>
          <cell r="E4675" t="str">
            <v>13</v>
          </cell>
          <cell r="F4675" t="str">
            <v>PAQ00a02</v>
          </cell>
          <cell r="G4675" t="str">
            <v>B</v>
          </cell>
          <cell r="H4675">
            <v>0</v>
          </cell>
        </row>
        <row r="4676">
          <cell r="A4676" t="str">
            <v>1;13;L;B;PAQ02a05</v>
          </cell>
          <cell r="B4676">
            <v>730069</v>
          </cell>
          <cell r="C4676" t="str">
            <v>L</v>
          </cell>
          <cell r="D4676" t="str">
            <v>PORTUGAL</v>
          </cell>
          <cell r="E4676" t="str">
            <v>13</v>
          </cell>
          <cell r="F4676" t="str">
            <v>PAQ02a05</v>
          </cell>
          <cell r="G4676" t="str">
            <v>B</v>
          </cell>
          <cell r="H4676">
            <v>0</v>
          </cell>
        </row>
        <row r="4677">
          <cell r="A4677" t="str">
            <v>1;13;L;B;PAQ05a10</v>
          </cell>
          <cell r="B4677">
            <v>730069</v>
          </cell>
          <cell r="C4677" t="str">
            <v>L</v>
          </cell>
          <cell r="D4677" t="str">
            <v>PORTUGAL</v>
          </cell>
          <cell r="E4677" t="str">
            <v>13</v>
          </cell>
          <cell r="F4677" t="str">
            <v>PAQ05a10</v>
          </cell>
          <cell r="G4677" t="str">
            <v>B</v>
          </cell>
          <cell r="H4677">
            <v>0</v>
          </cell>
        </row>
        <row r="4678">
          <cell r="A4678" t="str">
            <v>1;13;L;B;PAQ10a15</v>
          </cell>
          <cell r="B4678">
            <v>730069</v>
          </cell>
          <cell r="C4678" t="str">
            <v>L</v>
          </cell>
          <cell r="D4678" t="str">
            <v>PORTUGAL</v>
          </cell>
          <cell r="E4678" t="str">
            <v>13</v>
          </cell>
          <cell r="F4678" t="str">
            <v>PAQ10a15</v>
          </cell>
          <cell r="G4678" t="str">
            <v>B</v>
          </cell>
          <cell r="H4678">
            <v>0</v>
          </cell>
        </row>
        <row r="4679">
          <cell r="A4679" t="str">
            <v>1;13;L;B;PAQ15a20</v>
          </cell>
          <cell r="B4679">
            <v>730069</v>
          </cell>
          <cell r="C4679" t="str">
            <v>L</v>
          </cell>
          <cell r="D4679" t="str">
            <v>PORTUGAL</v>
          </cell>
          <cell r="E4679" t="str">
            <v>13</v>
          </cell>
          <cell r="F4679" t="str">
            <v>PAQ15a20</v>
          </cell>
          <cell r="G4679" t="str">
            <v>B</v>
          </cell>
          <cell r="H4679">
            <v>0</v>
          </cell>
        </row>
        <row r="4680">
          <cell r="A4680" t="str">
            <v>1;13;L;B;PAQ20a25</v>
          </cell>
          <cell r="B4680">
            <v>730069</v>
          </cell>
          <cell r="C4680" t="str">
            <v>L</v>
          </cell>
          <cell r="D4680" t="str">
            <v>PORTUGAL</v>
          </cell>
          <cell r="E4680" t="str">
            <v>13</v>
          </cell>
          <cell r="F4680" t="str">
            <v>PAQ20a25</v>
          </cell>
          <cell r="G4680" t="str">
            <v>B</v>
          </cell>
          <cell r="H4680">
            <v>0</v>
          </cell>
        </row>
        <row r="4681">
          <cell r="A4681" t="str">
            <v>1;13;L;B;PAQ25a30</v>
          </cell>
          <cell r="B4681">
            <v>730069</v>
          </cell>
          <cell r="C4681" t="str">
            <v>L</v>
          </cell>
          <cell r="D4681" t="str">
            <v>PORTUGAL</v>
          </cell>
          <cell r="E4681" t="str">
            <v>13</v>
          </cell>
          <cell r="F4681" t="str">
            <v>PAQ25a30</v>
          </cell>
          <cell r="G4681" t="str">
            <v>B</v>
          </cell>
          <cell r="H4681">
            <v>0</v>
          </cell>
        </row>
        <row r="4682">
          <cell r="A4682" t="str">
            <v>1;13;L;B;PAQ30a35</v>
          </cell>
          <cell r="B4682">
            <v>730069</v>
          </cell>
          <cell r="C4682" t="str">
            <v>L</v>
          </cell>
          <cell r="D4682" t="str">
            <v>PORTUGAL</v>
          </cell>
          <cell r="E4682" t="str">
            <v>13</v>
          </cell>
          <cell r="F4682" t="str">
            <v>PAQ30a35</v>
          </cell>
          <cell r="G4682" t="str">
            <v>B</v>
          </cell>
          <cell r="H4682">
            <v>0</v>
          </cell>
        </row>
        <row r="4683">
          <cell r="A4683" t="str">
            <v>1;13;L;B;PAQ35a40</v>
          </cell>
          <cell r="B4683">
            <v>730069</v>
          </cell>
          <cell r="C4683" t="str">
            <v>L</v>
          </cell>
          <cell r="D4683" t="str">
            <v>PORTUGAL</v>
          </cell>
          <cell r="E4683" t="str">
            <v>13</v>
          </cell>
          <cell r="F4683" t="str">
            <v>PAQ35a40</v>
          </cell>
          <cell r="G4683" t="str">
            <v>B</v>
          </cell>
          <cell r="H4683">
            <v>0</v>
          </cell>
        </row>
        <row r="4684">
          <cell r="A4684" t="str">
            <v>1;13;L;F;</v>
          </cell>
          <cell r="B4684">
            <v>730069</v>
          </cell>
          <cell r="C4684" t="str">
            <v>L</v>
          </cell>
          <cell r="D4684" t="str">
            <v>PORTUGAL</v>
          </cell>
          <cell r="E4684" t="str">
            <v>13</v>
          </cell>
          <cell r="F4684" t="str">
            <v/>
          </cell>
          <cell r="G4684" t="str">
            <v>F</v>
          </cell>
          <cell r="H4684">
            <v>0</v>
          </cell>
        </row>
        <row r="4685">
          <cell r="A4685" t="str">
            <v>1;13;L;P;</v>
          </cell>
          <cell r="B4685">
            <v>730069</v>
          </cell>
          <cell r="C4685" t="str">
            <v>L</v>
          </cell>
          <cell r="D4685" t="str">
            <v>PORTUGAL</v>
          </cell>
          <cell r="E4685" t="str">
            <v>13</v>
          </cell>
          <cell r="F4685" t="str">
            <v/>
          </cell>
          <cell r="G4685" t="str">
            <v>P</v>
          </cell>
          <cell r="H4685">
            <v>0</v>
          </cell>
        </row>
        <row r="4686">
          <cell r="A4686" t="str">
            <v>1;13;L;E;</v>
          </cell>
          <cell r="B4686">
            <v>730069</v>
          </cell>
          <cell r="C4686" t="str">
            <v>L</v>
          </cell>
          <cell r="D4686" t="str">
            <v>PORTUGAL</v>
          </cell>
          <cell r="E4686" t="str">
            <v>13</v>
          </cell>
          <cell r="F4686" t="str">
            <v/>
          </cell>
          <cell r="G4686" t="str">
            <v>E</v>
          </cell>
          <cell r="H4686">
            <v>0</v>
          </cell>
        </row>
        <row r="4687">
          <cell r="A4687" t="str">
            <v>1;14;L;B;BAG</v>
          </cell>
          <cell r="B4687">
            <v>730069</v>
          </cell>
          <cell r="C4687" t="str">
            <v>L</v>
          </cell>
          <cell r="D4687" t="str">
            <v>PORTUGAL</v>
          </cell>
          <cell r="E4687" t="str">
            <v>14</v>
          </cell>
          <cell r="F4687" t="str">
            <v>BAG</v>
          </cell>
          <cell r="G4687" t="str">
            <v>B</v>
          </cell>
          <cell r="H4687">
            <v>1.75</v>
          </cell>
        </row>
        <row r="4688">
          <cell r="A4688" t="str">
            <v>1;15;L;B;BAG</v>
          </cell>
          <cell r="B4688">
            <v>730069</v>
          </cell>
          <cell r="C4688" t="str">
            <v>L</v>
          </cell>
          <cell r="D4688" t="str">
            <v>PORTUGAL</v>
          </cell>
          <cell r="E4688" t="str">
            <v>15</v>
          </cell>
          <cell r="F4688" t="str">
            <v>BAG</v>
          </cell>
          <cell r="G4688" t="str">
            <v>B</v>
          </cell>
          <cell r="H4688">
            <v>1.75</v>
          </cell>
        </row>
        <row r="4689">
          <cell r="A4689" t="str">
            <v>1;17;L;B;PAQ00a02</v>
          </cell>
          <cell r="B4689">
            <v>730069</v>
          </cell>
          <cell r="C4689" t="str">
            <v>L</v>
          </cell>
          <cell r="D4689" t="str">
            <v>PORTUGAL</v>
          </cell>
          <cell r="E4689" t="str">
            <v>17</v>
          </cell>
          <cell r="F4689" t="str">
            <v>PAQ00a02</v>
          </cell>
          <cell r="G4689" t="str">
            <v>B</v>
          </cell>
          <cell r="H4689">
            <v>2.68</v>
          </cell>
        </row>
        <row r="4690">
          <cell r="A4690" t="str">
            <v>1;17;L;B;PAQ02a05</v>
          </cell>
          <cell r="B4690">
            <v>730069</v>
          </cell>
          <cell r="C4690" t="str">
            <v>L</v>
          </cell>
          <cell r="D4690" t="str">
            <v>PORTUGAL</v>
          </cell>
          <cell r="E4690" t="str">
            <v>17</v>
          </cell>
          <cell r="F4690" t="str">
            <v>PAQ02a05</v>
          </cell>
          <cell r="G4690" t="str">
            <v>B</v>
          </cell>
          <cell r="H4690">
            <v>5.18</v>
          </cell>
        </row>
        <row r="4691">
          <cell r="A4691" t="str">
            <v>1;17;L;B;PAQ05a10</v>
          </cell>
          <cell r="B4691">
            <v>730069</v>
          </cell>
          <cell r="C4691" t="str">
            <v>L</v>
          </cell>
          <cell r="D4691" t="str">
            <v>PORTUGAL</v>
          </cell>
          <cell r="E4691" t="str">
            <v>17</v>
          </cell>
          <cell r="F4691" t="str">
            <v>PAQ05a10</v>
          </cell>
          <cell r="G4691" t="str">
            <v>B</v>
          </cell>
          <cell r="H4691">
            <v>7.69</v>
          </cell>
        </row>
        <row r="4692">
          <cell r="A4692" t="str">
            <v>1;17;L;B;PAQ10a15</v>
          </cell>
          <cell r="B4692">
            <v>730069</v>
          </cell>
          <cell r="C4692" t="str">
            <v>L</v>
          </cell>
          <cell r="D4692" t="str">
            <v>PORTUGAL</v>
          </cell>
          <cell r="E4692" t="str">
            <v>17</v>
          </cell>
          <cell r="F4692" t="str">
            <v>PAQ10a15</v>
          </cell>
          <cell r="G4692" t="str">
            <v>B</v>
          </cell>
          <cell r="H4692">
            <v>8.94</v>
          </cell>
        </row>
        <row r="4693">
          <cell r="A4693" t="str">
            <v>1;17;L;B;PAQ15a20</v>
          </cell>
          <cell r="B4693">
            <v>730069</v>
          </cell>
          <cell r="C4693" t="str">
            <v>L</v>
          </cell>
          <cell r="D4693" t="str">
            <v>PORTUGAL</v>
          </cell>
          <cell r="E4693" t="str">
            <v>17</v>
          </cell>
          <cell r="F4693" t="str">
            <v>PAQ15a20</v>
          </cell>
          <cell r="G4693" t="str">
            <v>B</v>
          </cell>
          <cell r="H4693">
            <v>10.17</v>
          </cell>
        </row>
        <row r="4694">
          <cell r="A4694" t="str">
            <v>1;17;L;B;PAQ20a25</v>
          </cell>
          <cell r="B4694">
            <v>730069</v>
          </cell>
          <cell r="C4694" t="str">
            <v>L</v>
          </cell>
          <cell r="D4694" t="str">
            <v>PORTUGAL</v>
          </cell>
          <cell r="E4694" t="str">
            <v>17</v>
          </cell>
          <cell r="F4694" t="str">
            <v>PAQ20a25</v>
          </cell>
          <cell r="G4694" t="str">
            <v>B</v>
          </cell>
          <cell r="H4694">
            <v>15.81</v>
          </cell>
        </row>
        <row r="4695">
          <cell r="A4695" t="str">
            <v>1;17;L;B;PAQ25a30</v>
          </cell>
          <cell r="B4695">
            <v>730069</v>
          </cell>
          <cell r="C4695" t="str">
            <v>L</v>
          </cell>
          <cell r="D4695" t="str">
            <v>PORTUGAL</v>
          </cell>
          <cell r="E4695" t="str">
            <v>17</v>
          </cell>
          <cell r="F4695" t="str">
            <v>PAQ25a30</v>
          </cell>
          <cell r="G4695" t="str">
            <v>B</v>
          </cell>
          <cell r="H4695">
            <v>21.44</v>
          </cell>
        </row>
        <row r="4696">
          <cell r="A4696" t="str">
            <v>1;17;L;B;PAQ30a35</v>
          </cell>
          <cell r="B4696">
            <v>730069</v>
          </cell>
          <cell r="C4696" t="str">
            <v>L</v>
          </cell>
          <cell r="D4696" t="str">
            <v>PORTUGAL</v>
          </cell>
          <cell r="E4696" t="str">
            <v>17</v>
          </cell>
          <cell r="F4696" t="str">
            <v>PAQ30a35</v>
          </cell>
          <cell r="G4696" t="str">
            <v>B</v>
          </cell>
          <cell r="H4696">
            <v>27.08</v>
          </cell>
        </row>
        <row r="4697">
          <cell r="A4697" t="str">
            <v>1;17;L;B;PAQ35a40</v>
          </cell>
          <cell r="B4697">
            <v>730069</v>
          </cell>
          <cell r="C4697" t="str">
            <v>L</v>
          </cell>
          <cell r="D4697" t="str">
            <v>PORTUGAL</v>
          </cell>
          <cell r="E4697" t="str">
            <v>17</v>
          </cell>
          <cell r="F4697" t="str">
            <v>PAQ35a40</v>
          </cell>
          <cell r="G4697" t="str">
            <v>B</v>
          </cell>
          <cell r="H4697">
            <v>32.72</v>
          </cell>
        </row>
        <row r="4698">
          <cell r="A4698" t="str">
            <v>1;17;L;F;</v>
          </cell>
          <cell r="B4698">
            <v>730069</v>
          </cell>
          <cell r="C4698" t="str">
            <v>L</v>
          </cell>
          <cell r="D4698" t="str">
            <v>PORTUGAL</v>
          </cell>
          <cell r="E4698" t="str">
            <v>17</v>
          </cell>
          <cell r="F4698" t="str">
            <v/>
          </cell>
          <cell r="G4698" t="str">
            <v>F</v>
          </cell>
          <cell r="H4698">
            <v>5.64</v>
          </cell>
        </row>
        <row r="4699">
          <cell r="A4699" t="str">
            <v>1;17;L;E;</v>
          </cell>
          <cell r="B4699">
            <v>730069</v>
          </cell>
          <cell r="C4699" t="str">
            <v>L</v>
          </cell>
          <cell r="D4699" t="str">
            <v>PORTUGAL</v>
          </cell>
          <cell r="E4699" t="str">
            <v>17</v>
          </cell>
          <cell r="F4699" t="str">
            <v/>
          </cell>
          <cell r="G4699" t="str">
            <v>E</v>
          </cell>
          <cell r="H4699">
            <v>5.64</v>
          </cell>
        </row>
        <row r="4700">
          <cell r="A4700" t="str">
            <v>1;17;L;P;</v>
          </cell>
          <cell r="B4700">
            <v>730069</v>
          </cell>
          <cell r="C4700" t="str">
            <v>L</v>
          </cell>
          <cell r="D4700" t="str">
            <v>PORTUGAL</v>
          </cell>
          <cell r="E4700" t="str">
            <v>17</v>
          </cell>
          <cell r="F4700" t="str">
            <v/>
          </cell>
          <cell r="G4700" t="str">
            <v>P</v>
          </cell>
          <cell r="H4700">
            <v>0</v>
          </cell>
        </row>
        <row r="4701">
          <cell r="A4701" t="str">
            <v>1;18;L;B;BAG</v>
          </cell>
          <cell r="B4701">
            <v>730069</v>
          </cell>
          <cell r="C4701" t="str">
            <v>L</v>
          </cell>
          <cell r="D4701" t="str">
            <v>PORTUGAL</v>
          </cell>
          <cell r="E4701" t="str">
            <v>18</v>
          </cell>
          <cell r="F4701" t="str">
            <v>BAG</v>
          </cell>
          <cell r="G4701" t="str">
            <v>B</v>
          </cell>
          <cell r="H4701">
            <v>2.42</v>
          </cell>
        </row>
        <row r="4702">
          <cell r="A4702" t="str">
            <v>1;18;L;B;PAQ00a02</v>
          </cell>
          <cell r="B4702">
            <v>730069</v>
          </cell>
          <cell r="C4702" t="str">
            <v>L</v>
          </cell>
          <cell r="D4702" t="str">
            <v>PORTUGAL</v>
          </cell>
          <cell r="E4702" t="str">
            <v>18</v>
          </cell>
          <cell r="F4702" t="str">
            <v>PAQ00a02</v>
          </cell>
          <cell r="G4702" t="str">
            <v>B</v>
          </cell>
          <cell r="H4702">
            <v>2.42</v>
          </cell>
        </row>
        <row r="4703">
          <cell r="A4703" t="str">
            <v>1;18;L;B;PAQ02a05</v>
          </cell>
          <cell r="B4703">
            <v>730069</v>
          </cell>
          <cell r="C4703" t="str">
            <v>L</v>
          </cell>
          <cell r="D4703" t="str">
            <v>PORTUGAL</v>
          </cell>
          <cell r="E4703" t="str">
            <v>18</v>
          </cell>
          <cell r="F4703" t="str">
            <v>PAQ02a05</v>
          </cell>
          <cell r="G4703" t="str">
            <v>B</v>
          </cell>
          <cell r="H4703">
            <v>4.67</v>
          </cell>
        </row>
        <row r="4704">
          <cell r="A4704" t="str">
            <v>1;18;L;B;PAQ05a10</v>
          </cell>
          <cell r="B4704">
            <v>730069</v>
          </cell>
          <cell r="C4704" t="str">
            <v>L</v>
          </cell>
          <cell r="D4704" t="str">
            <v>PORTUGAL</v>
          </cell>
          <cell r="E4704" t="str">
            <v>18</v>
          </cell>
          <cell r="F4704" t="str">
            <v>PAQ05a10</v>
          </cell>
          <cell r="G4704" t="str">
            <v>B</v>
          </cell>
          <cell r="H4704">
            <v>5.88</v>
          </cell>
        </row>
        <row r="4705">
          <cell r="A4705" t="str">
            <v>1;18;L;B;PAQ10a15</v>
          </cell>
          <cell r="B4705">
            <v>730069</v>
          </cell>
          <cell r="C4705" t="str">
            <v>L</v>
          </cell>
          <cell r="D4705" t="str">
            <v>PORTUGAL</v>
          </cell>
          <cell r="E4705" t="str">
            <v>18</v>
          </cell>
          <cell r="F4705" t="str">
            <v>PAQ10a15</v>
          </cell>
          <cell r="G4705" t="str">
            <v>B</v>
          </cell>
          <cell r="H4705">
            <v>7.01</v>
          </cell>
        </row>
        <row r="4706">
          <cell r="A4706" t="str">
            <v>1;18;L;B;PAQ15a20</v>
          </cell>
          <cell r="B4706">
            <v>730069</v>
          </cell>
          <cell r="C4706" t="str">
            <v>L</v>
          </cell>
          <cell r="D4706" t="str">
            <v>PORTUGAL</v>
          </cell>
          <cell r="E4706" t="str">
            <v>18</v>
          </cell>
          <cell r="F4706" t="str">
            <v>PAQ15a20</v>
          </cell>
          <cell r="G4706" t="str">
            <v>B</v>
          </cell>
          <cell r="H4706">
            <v>8.1300000000000008</v>
          </cell>
        </row>
        <row r="4707">
          <cell r="A4707" t="str">
            <v>1;21;L;B;BAG</v>
          </cell>
          <cell r="B4707">
            <v>730069</v>
          </cell>
          <cell r="C4707" t="str">
            <v>L</v>
          </cell>
          <cell r="D4707" t="str">
            <v>PORTUGAL</v>
          </cell>
          <cell r="E4707" t="str">
            <v>21</v>
          </cell>
          <cell r="F4707" t="str">
            <v>BAG</v>
          </cell>
          <cell r="G4707" t="str">
            <v>B</v>
          </cell>
          <cell r="H4707">
            <v>22.66</v>
          </cell>
        </row>
        <row r="4708">
          <cell r="A4708" t="str">
            <v>1;21;L;B;DOCS</v>
          </cell>
          <cell r="B4708">
            <v>730069</v>
          </cell>
          <cell r="C4708" t="str">
            <v>L</v>
          </cell>
          <cell r="D4708" t="str">
            <v>PORTUGAL</v>
          </cell>
          <cell r="E4708" t="str">
            <v>21</v>
          </cell>
          <cell r="F4708" t="str">
            <v>DOCS</v>
          </cell>
          <cell r="G4708" t="str">
            <v>B</v>
          </cell>
          <cell r="H4708">
            <v>22.66</v>
          </cell>
        </row>
        <row r="4709">
          <cell r="A4709" t="str">
            <v>1;21;L;B;PAQ00a02</v>
          </cell>
          <cell r="B4709">
            <v>730069</v>
          </cell>
          <cell r="C4709" t="str">
            <v>L</v>
          </cell>
          <cell r="D4709" t="str">
            <v>PORTUGAL</v>
          </cell>
          <cell r="E4709" t="str">
            <v>21</v>
          </cell>
          <cell r="F4709" t="str">
            <v>PAQ00a02</v>
          </cell>
          <cell r="G4709" t="str">
            <v>B</v>
          </cell>
          <cell r="H4709">
            <v>25.64</v>
          </cell>
        </row>
        <row r="4710">
          <cell r="A4710" t="str">
            <v>1;21;L;B;PAQ02a05</v>
          </cell>
          <cell r="B4710">
            <v>730069</v>
          </cell>
          <cell r="C4710" t="str">
            <v>L</v>
          </cell>
          <cell r="D4710" t="str">
            <v>PORTUGAL</v>
          </cell>
          <cell r="E4710" t="str">
            <v>21</v>
          </cell>
          <cell r="F4710" t="str">
            <v>PAQ02a05</v>
          </cell>
          <cell r="G4710" t="str">
            <v>B</v>
          </cell>
          <cell r="H4710">
            <v>25.64</v>
          </cell>
        </row>
        <row r="4711">
          <cell r="A4711" t="str">
            <v>1;21;L;B;PAQ05a10</v>
          </cell>
          <cell r="B4711">
            <v>730069</v>
          </cell>
          <cell r="C4711" t="str">
            <v>L</v>
          </cell>
          <cell r="D4711" t="str">
            <v>PORTUGAL</v>
          </cell>
          <cell r="E4711" t="str">
            <v>21</v>
          </cell>
          <cell r="F4711" t="str">
            <v>PAQ05a10</v>
          </cell>
          <cell r="G4711" t="str">
            <v>B</v>
          </cell>
          <cell r="H4711">
            <v>34.69</v>
          </cell>
        </row>
        <row r="4712">
          <cell r="A4712" t="str">
            <v>1;21;L;B;PAQ10a15</v>
          </cell>
          <cell r="B4712">
            <v>730069</v>
          </cell>
          <cell r="C4712" t="str">
            <v>L</v>
          </cell>
          <cell r="D4712" t="str">
            <v>PORTUGAL</v>
          </cell>
          <cell r="E4712" t="str">
            <v>21</v>
          </cell>
          <cell r="F4712" t="str">
            <v>PAQ10a15</v>
          </cell>
          <cell r="G4712" t="str">
            <v>B</v>
          </cell>
          <cell r="H4712">
            <v>43.67</v>
          </cell>
        </row>
        <row r="4713">
          <cell r="A4713" t="str">
            <v>1;21;L;B;PAQ15a20</v>
          </cell>
          <cell r="B4713">
            <v>730069</v>
          </cell>
          <cell r="C4713" t="str">
            <v>L</v>
          </cell>
          <cell r="D4713" t="str">
            <v>PORTUGAL</v>
          </cell>
          <cell r="E4713" t="str">
            <v>21</v>
          </cell>
          <cell r="F4713" t="str">
            <v>PAQ15a20</v>
          </cell>
          <cell r="G4713" t="str">
            <v>B</v>
          </cell>
          <cell r="H4713">
            <v>52.65</v>
          </cell>
        </row>
        <row r="4714">
          <cell r="A4714" t="str">
            <v>1;21;L;B;PAQ20a25</v>
          </cell>
          <cell r="B4714">
            <v>730069</v>
          </cell>
          <cell r="C4714" t="str">
            <v>L</v>
          </cell>
          <cell r="D4714" t="str">
            <v>PORTUGAL</v>
          </cell>
          <cell r="E4714" t="str">
            <v>21</v>
          </cell>
          <cell r="F4714" t="str">
            <v>PAQ20a25</v>
          </cell>
          <cell r="G4714" t="str">
            <v>B</v>
          </cell>
          <cell r="H4714">
            <v>61.62</v>
          </cell>
        </row>
        <row r="4715">
          <cell r="A4715" t="str">
            <v>1;21;L;B;PAQ25a30</v>
          </cell>
          <cell r="B4715">
            <v>730069</v>
          </cell>
          <cell r="C4715" t="str">
            <v>L</v>
          </cell>
          <cell r="D4715" t="str">
            <v>PORTUGAL</v>
          </cell>
          <cell r="E4715" t="str">
            <v>21</v>
          </cell>
          <cell r="F4715" t="str">
            <v>PAQ25a30</v>
          </cell>
          <cell r="G4715" t="str">
            <v>B</v>
          </cell>
          <cell r="H4715">
            <v>70.599999999999994</v>
          </cell>
        </row>
        <row r="4716">
          <cell r="A4716" t="str">
            <v>1;21;L;B;PAQ30a35</v>
          </cell>
          <cell r="B4716">
            <v>730069</v>
          </cell>
          <cell r="C4716" t="str">
            <v>L</v>
          </cell>
          <cell r="D4716" t="str">
            <v>PORTUGAL</v>
          </cell>
          <cell r="E4716" t="str">
            <v>21</v>
          </cell>
          <cell r="F4716" t="str">
            <v>PAQ30a35</v>
          </cell>
          <cell r="G4716" t="str">
            <v>B</v>
          </cell>
          <cell r="H4716">
            <v>79.58</v>
          </cell>
        </row>
        <row r="4717">
          <cell r="A4717" t="str">
            <v>1;21;L;F;</v>
          </cell>
          <cell r="B4717">
            <v>730069</v>
          </cell>
          <cell r="C4717" t="str">
            <v>L</v>
          </cell>
          <cell r="D4717" t="str">
            <v>PORTUGAL</v>
          </cell>
          <cell r="E4717" t="str">
            <v>21</v>
          </cell>
          <cell r="F4717" t="str">
            <v/>
          </cell>
          <cell r="G4717" t="str">
            <v>F</v>
          </cell>
          <cell r="H4717">
            <v>8.98</v>
          </cell>
        </row>
        <row r="4718">
          <cell r="A4718" t="str">
            <v>1;21;L;B;PAQ35a40</v>
          </cell>
          <cell r="B4718">
            <v>730069</v>
          </cell>
          <cell r="C4718" t="str">
            <v>L</v>
          </cell>
          <cell r="D4718" t="str">
            <v>PORTUGAL</v>
          </cell>
          <cell r="E4718" t="str">
            <v>21</v>
          </cell>
          <cell r="F4718" t="str">
            <v>PAQ35a40</v>
          </cell>
          <cell r="G4718" t="str">
            <v>B</v>
          </cell>
          <cell r="H4718">
            <v>88.56</v>
          </cell>
        </row>
        <row r="4719">
          <cell r="A4719" t="str">
            <v>1;21;L;E;</v>
          </cell>
          <cell r="B4719">
            <v>730069</v>
          </cell>
          <cell r="C4719" t="str">
            <v>L</v>
          </cell>
          <cell r="D4719" t="str">
            <v>PORTUGAL</v>
          </cell>
          <cell r="E4719" t="str">
            <v>21</v>
          </cell>
          <cell r="F4719" t="str">
            <v/>
          </cell>
          <cell r="G4719" t="str">
            <v>E</v>
          </cell>
          <cell r="H4719">
            <v>18.350000000000001</v>
          </cell>
        </row>
        <row r="4720">
          <cell r="A4720" t="str">
            <v>1;21;L;P;</v>
          </cell>
          <cell r="B4720">
            <v>730069</v>
          </cell>
          <cell r="C4720" t="str">
            <v>L</v>
          </cell>
          <cell r="D4720" t="str">
            <v>PORTUGAL</v>
          </cell>
          <cell r="E4720" t="str">
            <v>21</v>
          </cell>
          <cell r="F4720" t="str">
            <v/>
          </cell>
          <cell r="G4720" t="str">
            <v>P</v>
          </cell>
          <cell r="H4720">
            <v>18.350000000000001</v>
          </cell>
        </row>
        <row r="4721">
          <cell r="A4721" t="str">
            <v>1;25;L;B;BICI</v>
          </cell>
          <cell r="B4721">
            <v>730069</v>
          </cell>
          <cell r="C4721" t="str">
            <v>L</v>
          </cell>
          <cell r="D4721" t="str">
            <v>PORTUGAL</v>
          </cell>
          <cell r="E4721" t="str">
            <v>25</v>
          </cell>
          <cell r="F4721" t="str">
            <v>BICI</v>
          </cell>
          <cell r="G4721" t="str">
            <v>B</v>
          </cell>
          <cell r="H4721">
            <v>31.4</v>
          </cell>
        </row>
        <row r="4722">
          <cell r="A4722" t="str">
            <v>1;25;L;B;BIIV</v>
          </cell>
          <cell r="B4722">
            <v>730069</v>
          </cell>
          <cell r="C4722" t="str">
            <v>L</v>
          </cell>
          <cell r="D4722" t="str">
            <v>PORTUGAL</v>
          </cell>
          <cell r="E4722" t="str">
            <v>25</v>
          </cell>
          <cell r="F4722" t="str">
            <v>BIIV</v>
          </cell>
          <cell r="G4722" t="str">
            <v>B</v>
          </cell>
          <cell r="H4722">
            <v>57.85</v>
          </cell>
        </row>
        <row r="4723">
          <cell r="A4723" t="str">
            <v>1;25;L;B;EQIV</v>
          </cell>
          <cell r="B4723">
            <v>730069</v>
          </cell>
          <cell r="C4723" t="str">
            <v>L</v>
          </cell>
          <cell r="D4723" t="str">
            <v>PORTUGAL</v>
          </cell>
          <cell r="E4723" t="str">
            <v>25</v>
          </cell>
          <cell r="F4723" t="str">
            <v>EQIV</v>
          </cell>
          <cell r="G4723" t="str">
            <v>B</v>
          </cell>
          <cell r="H4723">
            <v>41.32</v>
          </cell>
        </row>
        <row r="4724">
          <cell r="A4724" t="str">
            <v>1;25;L;B;EQUI</v>
          </cell>
          <cell r="B4724">
            <v>730069</v>
          </cell>
          <cell r="C4724" t="str">
            <v>L</v>
          </cell>
          <cell r="D4724" t="str">
            <v>PORTUGAL</v>
          </cell>
          <cell r="E4724" t="str">
            <v>25</v>
          </cell>
          <cell r="F4724" t="str">
            <v>EQUI</v>
          </cell>
          <cell r="G4724" t="str">
            <v>B</v>
          </cell>
          <cell r="H4724">
            <v>23.14</v>
          </cell>
        </row>
        <row r="4725">
          <cell r="A4725" t="str">
            <v>1;26;L;B;BAG</v>
          </cell>
          <cell r="B4725">
            <v>730069</v>
          </cell>
          <cell r="C4725" t="str">
            <v>L</v>
          </cell>
          <cell r="D4725" t="str">
            <v>PORTUGAL</v>
          </cell>
          <cell r="E4725" t="str">
            <v>26</v>
          </cell>
          <cell r="F4725" t="str">
            <v>BAG</v>
          </cell>
          <cell r="G4725" t="str">
            <v>B</v>
          </cell>
          <cell r="H4725">
            <v>5.46</v>
          </cell>
        </row>
        <row r="4726">
          <cell r="A4726" t="str">
            <v>1;26;L;B;PAQ00a02</v>
          </cell>
          <cell r="B4726">
            <v>730069</v>
          </cell>
          <cell r="C4726" t="str">
            <v>L</v>
          </cell>
          <cell r="D4726" t="str">
            <v>PORTUGAL</v>
          </cell>
          <cell r="E4726" t="str">
            <v>26</v>
          </cell>
          <cell r="F4726" t="str">
            <v>PAQ00a02</v>
          </cell>
          <cell r="G4726" t="str">
            <v>B</v>
          </cell>
          <cell r="H4726">
            <v>5.46</v>
          </cell>
        </row>
        <row r="4727">
          <cell r="A4727" t="str">
            <v>1;26;L;B;PAQ02a05</v>
          </cell>
          <cell r="B4727">
            <v>730069</v>
          </cell>
          <cell r="C4727" t="str">
            <v>L</v>
          </cell>
          <cell r="D4727" t="str">
            <v>PORTUGAL</v>
          </cell>
          <cell r="E4727" t="str">
            <v>26</v>
          </cell>
          <cell r="F4727" t="str">
            <v>PAQ02a05</v>
          </cell>
          <cell r="G4727" t="str">
            <v>B</v>
          </cell>
          <cell r="H4727">
            <v>5.95</v>
          </cell>
        </row>
        <row r="4728">
          <cell r="A4728" t="str">
            <v>1;26;L;B;PAQ05a10</v>
          </cell>
          <cell r="B4728">
            <v>730069</v>
          </cell>
          <cell r="C4728" t="str">
            <v>L</v>
          </cell>
          <cell r="D4728" t="str">
            <v>PORTUGAL</v>
          </cell>
          <cell r="E4728" t="str">
            <v>26</v>
          </cell>
          <cell r="F4728" t="str">
            <v>PAQ05a10</v>
          </cell>
          <cell r="G4728" t="str">
            <v>B</v>
          </cell>
          <cell r="H4728">
            <v>7.69</v>
          </cell>
        </row>
        <row r="4729">
          <cell r="A4729" t="str">
            <v>1;26;L;B;PAQ10a15</v>
          </cell>
          <cell r="B4729">
            <v>730069</v>
          </cell>
          <cell r="C4729" t="str">
            <v>L</v>
          </cell>
          <cell r="D4729" t="str">
            <v>PORTUGAL</v>
          </cell>
          <cell r="E4729" t="str">
            <v>26</v>
          </cell>
          <cell r="F4729" t="str">
            <v>PAQ10a15</v>
          </cell>
          <cell r="G4729" t="str">
            <v>B</v>
          </cell>
          <cell r="H4729">
            <v>9.93</v>
          </cell>
        </row>
        <row r="4730">
          <cell r="A4730" t="str">
            <v>1;26;L;B;PAQ15a20</v>
          </cell>
          <cell r="B4730">
            <v>730069</v>
          </cell>
          <cell r="C4730" t="str">
            <v>L</v>
          </cell>
          <cell r="D4730" t="str">
            <v>PORTUGAL</v>
          </cell>
          <cell r="E4730" t="str">
            <v>26</v>
          </cell>
          <cell r="F4730" t="str">
            <v>PAQ15a20</v>
          </cell>
          <cell r="G4730" t="str">
            <v>B</v>
          </cell>
          <cell r="H4730">
            <v>10.53</v>
          </cell>
        </row>
        <row r="4731">
          <cell r="A4731" t="str">
            <v>1;27;L;B;PAQ00a02</v>
          </cell>
          <cell r="B4731">
            <v>730069</v>
          </cell>
          <cell r="C4731" t="str">
            <v>L</v>
          </cell>
          <cell r="D4731" t="str">
            <v>PORTUGAL</v>
          </cell>
          <cell r="E4731" t="str">
            <v>27</v>
          </cell>
          <cell r="F4731" t="str">
            <v>PAQ00a02</v>
          </cell>
          <cell r="G4731" t="str">
            <v>B</v>
          </cell>
          <cell r="H4731">
            <v>7.14</v>
          </cell>
        </row>
        <row r="4732">
          <cell r="A4732" t="str">
            <v>1;27;L;B;PAQ02a05</v>
          </cell>
          <cell r="B4732">
            <v>730069</v>
          </cell>
          <cell r="C4732" t="str">
            <v>L</v>
          </cell>
          <cell r="D4732" t="str">
            <v>PORTUGAL</v>
          </cell>
          <cell r="E4732" t="str">
            <v>27</v>
          </cell>
          <cell r="F4732" t="str">
            <v>PAQ02a05</v>
          </cell>
          <cell r="G4732" t="str">
            <v>B</v>
          </cell>
          <cell r="H4732">
            <v>8.75</v>
          </cell>
        </row>
        <row r="4733">
          <cell r="A4733" t="str">
            <v>1;27;L;B;PAQ05a10</v>
          </cell>
          <cell r="B4733">
            <v>730069</v>
          </cell>
          <cell r="C4733" t="str">
            <v>L</v>
          </cell>
          <cell r="D4733" t="str">
            <v>PORTUGAL</v>
          </cell>
          <cell r="E4733" t="str">
            <v>27</v>
          </cell>
          <cell r="F4733" t="str">
            <v>PAQ05a10</v>
          </cell>
          <cell r="G4733" t="str">
            <v>B</v>
          </cell>
          <cell r="H4733">
            <v>11.25</v>
          </cell>
        </row>
        <row r="4734">
          <cell r="A4734" t="str">
            <v>1;27;L;B;PAQ10a15</v>
          </cell>
          <cell r="B4734">
            <v>730069</v>
          </cell>
          <cell r="C4734" t="str">
            <v>L</v>
          </cell>
          <cell r="D4734" t="str">
            <v>PORTUGAL</v>
          </cell>
          <cell r="E4734" t="str">
            <v>27</v>
          </cell>
          <cell r="F4734" t="str">
            <v>PAQ10a15</v>
          </cell>
          <cell r="G4734" t="str">
            <v>B</v>
          </cell>
          <cell r="H4734">
            <v>16.96</v>
          </cell>
        </row>
        <row r="4735">
          <cell r="A4735" t="str">
            <v>1;27;L;B;PAQ15a20</v>
          </cell>
          <cell r="B4735">
            <v>730069</v>
          </cell>
          <cell r="C4735" t="str">
            <v>L</v>
          </cell>
          <cell r="D4735" t="str">
            <v>PORTUGAL</v>
          </cell>
          <cell r="E4735" t="str">
            <v>27</v>
          </cell>
          <cell r="F4735" t="str">
            <v>PAQ15a20</v>
          </cell>
          <cell r="G4735" t="str">
            <v>B</v>
          </cell>
          <cell r="H4735">
            <v>19.079999999999998</v>
          </cell>
        </row>
        <row r="4736">
          <cell r="A4736" t="str">
            <v>1;27;L;B;PAQ20a25</v>
          </cell>
          <cell r="B4736">
            <v>730069</v>
          </cell>
          <cell r="C4736" t="str">
            <v>L</v>
          </cell>
          <cell r="D4736" t="str">
            <v>PORTUGAL</v>
          </cell>
          <cell r="E4736" t="str">
            <v>27</v>
          </cell>
          <cell r="F4736" t="str">
            <v>PAQ20a25</v>
          </cell>
          <cell r="G4736" t="str">
            <v>B</v>
          </cell>
          <cell r="H4736">
            <v>24.72</v>
          </cell>
        </row>
        <row r="4737">
          <cell r="A4737" t="str">
            <v>1;27;L;B;PAQ25a30</v>
          </cell>
          <cell r="B4737">
            <v>730069</v>
          </cell>
          <cell r="C4737" t="str">
            <v>L</v>
          </cell>
          <cell r="D4737" t="str">
            <v>PORTUGAL</v>
          </cell>
          <cell r="E4737" t="str">
            <v>27</v>
          </cell>
          <cell r="F4737" t="str">
            <v>PAQ25a30</v>
          </cell>
          <cell r="G4737" t="str">
            <v>B</v>
          </cell>
          <cell r="H4737">
            <v>30.35</v>
          </cell>
        </row>
        <row r="4738">
          <cell r="A4738" t="str">
            <v>1;27;L;B;PAQ30a35</v>
          </cell>
          <cell r="B4738">
            <v>730069</v>
          </cell>
          <cell r="C4738" t="str">
            <v>L</v>
          </cell>
          <cell r="D4738" t="str">
            <v>PORTUGAL</v>
          </cell>
          <cell r="E4738" t="str">
            <v>27</v>
          </cell>
          <cell r="F4738" t="str">
            <v>PAQ30a35</v>
          </cell>
          <cell r="G4738" t="str">
            <v>B</v>
          </cell>
          <cell r="H4738">
            <v>35.979999999999997</v>
          </cell>
        </row>
        <row r="4739">
          <cell r="A4739" t="str">
            <v>1;27;L;B;PAQ35a40</v>
          </cell>
          <cell r="B4739">
            <v>730069</v>
          </cell>
          <cell r="C4739" t="str">
            <v>L</v>
          </cell>
          <cell r="D4739" t="str">
            <v>PORTUGAL</v>
          </cell>
          <cell r="E4739" t="str">
            <v>27</v>
          </cell>
          <cell r="F4739" t="str">
            <v>PAQ35a40</v>
          </cell>
          <cell r="G4739" t="str">
            <v>B</v>
          </cell>
          <cell r="H4739">
            <v>41.6</v>
          </cell>
        </row>
        <row r="4740">
          <cell r="A4740" t="str">
            <v>1;27;L;F;</v>
          </cell>
          <cell r="B4740">
            <v>730069</v>
          </cell>
          <cell r="C4740" t="str">
            <v>L</v>
          </cell>
          <cell r="D4740" t="str">
            <v>PORTUGAL</v>
          </cell>
          <cell r="E4740" t="str">
            <v>27</v>
          </cell>
          <cell r="F4740" t="str">
            <v/>
          </cell>
          <cell r="G4740" t="str">
            <v>F</v>
          </cell>
          <cell r="H4740">
            <v>5.86</v>
          </cell>
        </row>
        <row r="4741">
          <cell r="A4741" t="str">
            <v>1;27;L;E;</v>
          </cell>
          <cell r="B4741">
            <v>730069</v>
          </cell>
          <cell r="C4741" t="str">
            <v>L</v>
          </cell>
          <cell r="D4741" t="str">
            <v>PORTUGAL</v>
          </cell>
          <cell r="E4741" t="str">
            <v>27</v>
          </cell>
          <cell r="F4741" t="str">
            <v/>
          </cell>
          <cell r="G4741" t="str">
            <v>E</v>
          </cell>
          <cell r="H4741">
            <v>5.86</v>
          </cell>
        </row>
        <row r="4742">
          <cell r="A4742" t="str">
            <v>1;27;L;P;</v>
          </cell>
          <cell r="B4742">
            <v>730069</v>
          </cell>
          <cell r="C4742" t="str">
            <v>L</v>
          </cell>
          <cell r="D4742" t="str">
            <v>PORTUGAL</v>
          </cell>
          <cell r="E4742" t="str">
            <v>27</v>
          </cell>
          <cell r="F4742" t="str">
            <v/>
          </cell>
          <cell r="G4742" t="str">
            <v>P</v>
          </cell>
          <cell r="H4742">
            <v>0</v>
          </cell>
        </row>
        <row r="4743">
          <cell r="A4743" t="str">
            <v>1;31;L;B;PAQ00a02</v>
          </cell>
          <cell r="B4743">
            <v>730069</v>
          </cell>
          <cell r="C4743" t="str">
            <v>L</v>
          </cell>
          <cell r="D4743" t="str">
            <v>PORTUGAL</v>
          </cell>
          <cell r="E4743" t="str">
            <v>31</v>
          </cell>
          <cell r="F4743" t="str">
            <v>PAQ00a02</v>
          </cell>
          <cell r="G4743" t="str">
            <v>B</v>
          </cell>
          <cell r="H4743">
            <v>5.0999999999999996</v>
          </cell>
        </row>
        <row r="4744">
          <cell r="A4744" t="str">
            <v>1;31;L;B;PAQ02a05</v>
          </cell>
          <cell r="B4744">
            <v>730069</v>
          </cell>
          <cell r="C4744" t="str">
            <v>L</v>
          </cell>
          <cell r="D4744" t="str">
            <v>PORTUGAL</v>
          </cell>
          <cell r="E4744" t="str">
            <v>31</v>
          </cell>
          <cell r="F4744" t="str">
            <v>PAQ02a05</v>
          </cell>
          <cell r="G4744" t="str">
            <v>B</v>
          </cell>
          <cell r="H4744">
            <v>6.34</v>
          </cell>
        </row>
        <row r="4745">
          <cell r="A4745" t="str">
            <v>1;31;L;B;PAQ05a10</v>
          </cell>
          <cell r="B4745">
            <v>730069</v>
          </cell>
          <cell r="C4745" t="str">
            <v>L</v>
          </cell>
          <cell r="D4745" t="str">
            <v>PORTUGAL</v>
          </cell>
          <cell r="E4745" t="str">
            <v>31</v>
          </cell>
          <cell r="F4745" t="str">
            <v>PAQ05a10</v>
          </cell>
          <cell r="G4745" t="str">
            <v>B</v>
          </cell>
          <cell r="H4745">
            <v>8.2200000000000006</v>
          </cell>
        </row>
        <row r="4746">
          <cell r="A4746" t="str">
            <v>1;31;L;B;PAQ10a15</v>
          </cell>
          <cell r="B4746">
            <v>730069</v>
          </cell>
          <cell r="C4746" t="str">
            <v>L</v>
          </cell>
          <cell r="D4746" t="str">
            <v>PORTUGAL</v>
          </cell>
          <cell r="E4746" t="str">
            <v>31</v>
          </cell>
          <cell r="F4746" t="str">
            <v>PAQ10a15</v>
          </cell>
          <cell r="G4746" t="str">
            <v>B</v>
          </cell>
          <cell r="H4746">
            <v>11.04</v>
          </cell>
        </row>
        <row r="4747">
          <cell r="A4747" t="str">
            <v>1;31;L;B;PAQ15a20</v>
          </cell>
          <cell r="B4747">
            <v>730069</v>
          </cell>
          <cell r="C4747" t="str">
            <v>L</v>
          </cell>
          <cell r="D4747" t="str">
            <v>PORTUGAL</v>
          </cell>
          <cell r="E4747" t="str">
            <v>31</v>
          </cell>
          <cell r="F4747" t="str">
            <v>PAQ15a20</v>
          </cell>
          <cell r="G4747" t="str">
            <v>B</v>
          </cell>
          <cell r="H4747">
            <v>14.41</v>
          </cell>
        </row>
        <row r="4748">
          <cell r="A4748" t="str">
            <v>1;33;L;B;PAQ00a02</v>
          </cell>
          <cell r="B4748">
            <v>730069</v>
          </cell>
          <cell r="C4748" t="str">
            <v>L</v>
          </cell>
          <cell r="D4748" t="str">
            <v>PORTUGAL</v>
          </cell>
          <cell r="E4748" t="str">
            <v>33</v>
          </cell>
          <cell r="F4748" t="str">
            <v>PAQ00a02</v>
          </cell>
          <cell r="G4748" t="str">
            <v>B</v>
          </cell>
          <cell r="H4748">
            <v>9.7799999999999994</v>
          </cell>
        </row>
        <row r="4749">
          <cell r="A4749" t="str">
            <v>1;33;L;B;PAQ02a05</v>
          </cell>
          <cell r="B4749">
            <v>730069</v>
          </cell>
          <cell r="C4749" t="str">
            <v>L</v>
          </cell>
          <cell r="D4749" t="str">
            <v>PORTUGAL</v>
          </cell>
          <cell r="E4749" t="str">
            <v>33</v>
          </cell>
          <cell r="F4749" t="str">
            <v>PAQ02a05</v>
          </cell>
          <cell r="G4749" t="str">
            <v>B</v>
          </cell>
          <cell r="H4749">
            <v>12.98</v>
          </cell>
        </row>
        <row r="4750">
          <cell r="A4750" t="str">
            <v>1;33;L;B;PAQ05a10</v>
          </cell>
          <cell r="B4750">
            <v>730069</v>
          </cell>
          <cell r="C4750" t="str">
            <v>L</v>
          </cell>
          <cell r="D4750" t="str">
            <v>PORTUGAL</v>
          </cell>
          <cell r="E4750" t="str">
            <v>33</v>
          </cell>
          <cell r="F4750" t="str">
            <v>PAQ05a10</v>
          </cell>
          <cell r="G4750" t="str">
            <v>B</v>
          </cell>
          <cell r="H4750">
            <v>16.72</v>
          </cell>
        </row>
        <row r="4751">
          <cell r="A4751" t="str">
            <v>1;33;L;B;PAQ10a15</v>
          </cell>
          <cell r="B4751">
            <v>730069</v>
          </cell>
          <cell r="C4751" t="str">
            <v>L</v>
          </cell>
          <cell r="D4751" t="str">
            <v>PORTUGAL</v>
          </cell>
          <cell r="E4751" t="str">
            <v>33</v>
          </cell>
          <cell r="F4751" t="str">
            <v>PAQ10a15</v>
          </cell>
          <cell r="G4751" t="str">
            <v>B</v>
          </cell>
          <cell r="H4751">
            <v>25.31</v>
          </cell>
        </row>
        <row r="4752">
          <cell r="A4752" t="str">
            <v>1;33;L;B;PAQ15a20</v>
          </cell>
          <cell r="B4752">
            <v>730069</v>
          </cell>
          <cell r="C4752" t="str">
            <v>L</v>
          </cell>
          <cell r="D4752" t="str">
            <v>PORTUGAL</v>
          </cell>
          <cell r="E4752" t="str">
            <v>33</v>
          </cell>
          <cell r="F4752" t="str">
            <v>PAQ15a20</v>
          </cell>
          <cell r="G4752" t="str">
            <v>B</v>
          </cell>
          <cell r="H4752">
            <v>28.82</v>
          </cell>
        </row>
        <row r="4753">
          <cell r="A4753" t="str">
            <v>1;33;L;B;PAQ20a25</v>
          </cell>
          <cell r="B4753">
            <v>730069</v>
          </cell>
          <cell r="C4753" t="str">
            <v>L</v>
          </cell>
          <cell r="D4753" t="str">
            <v>PORTUGAL</v>
          </cell>
          <cell r="E4753" t="str">
            <v>33</v>
          </cell>
          <cell r="F4753" t="str">
            <v>PAQ20a25</v>
          </cell>
          <cell r="G4753" t="str">
            <v>B</v>
          </cell>
          <cell r="H4753">
            <v>37.26</v>
          </cell>
        </row>
        <row r="4754">
          <cell r="A4754" t="str">
            <v>1;33;L;B;PAQ25a30</v>
          </cell>
          <cell r="B4754">
            <v>730069</v>
          </cell>
          <cell r="C4754" t="str">
            <v>L</v>
          </cell>
          <cell r="D4754" t="str">
            <v>PORTUGAL</v>
          </cell>
          <cell r="E4754" t="str">
            <v>33</v>
          </cell>
          <cell r="F4754" t="str">
            <v>PAQ25a30</v>
          </cell>
          <cell r="G4754" t="str">
            <v>B</v>
          </cell>
          <cell r="H4754">
            <v>45.72</v>
          </cell>
        </row>
        <row r="4755">
          <cell r="A4755" t="str">
            <v>1;33;L;B;PAQ30a35</v>
          </cell>
          <cell r="B4755">
            <v>730069</v>
          </cell>
          <cell r="C4755" t="str">
            <v>L</v>
          </cell>
          <cell r="D4755" t="str">
            <v>PORTUGAL</v>
          </cell>
          <cell r="E4755" t="str">
            <v>33</v>
          </cell>
          <cell r="F4755" t="str">
            <v>PAQ30a35</v>
          </cell>
          <cell r="G4755" t="str">
            <v>B</v>
          </cell>
          <cell r="H4755">
            <v>54.16</v>
          </cell>
        </row>
        <row r="4756">
          <cell r="A4756" t="str">
            <v>1;33;L;B;PAQ35a40</v>
          </cell>
          <cell r="B4756">
            <v>730069</v>
          </cell>
          <cell r="C4756" t="str">
            <v>L</v>
          </cell>
          <cell r="D4756" t="str">
            <v>PORTUGAL</v>
          </cell>
          <cell r="E4756" t="str">
            <v>33</v>
          </cell>
          <cell r="F4756" t="str">
            <v>PAQ35a40</v>
          </cell>
          <cell r="G4756" t="str">
            <v>B</v>
          </cell>
          <cell r="H4756">
            <v>62.61</v>
          </cell>
        </row>
        <row r="4757">
          <cell r="A4757" t="str">
            <v>1;33;L;F;</v>
          </cell>
          <cell r="B4757">
            <v>730069</v>
          </cell>
          <cell r="C4757" t="str">
            <v>L</v>
          </cell>
          <cell r="D4757" t="str">
            <v>PORTUGAL</v>
          </cell>
          <cell r="E4757" t="str">
            <v>33</v>
          </cell>
          <cell r="F4757" t="str">
            <v/>
          </cell>
          <cell r="G4757" t="str">
            <v>F</v>
          </cell>
          <cell r="H4757">
            <v>8.44</v>
          </cell>
        </row>
        <row r="4758">
          <cell r="A4758" t="str">
            <v>1;33;L;E;</v>
          </cell>
          <cell r="B4758">
            <v>730069</v>
          </cell>
          <cell r="C4758" t="str">
            <v>L</v>
          </cell>
          <cell r="D4758" t="str">
            <v>PORTUGAL</v>
          </cell>
          <cell r="E4758" t="str">
            <v>33</v>
          </cell>
          <cell r="F4758" t="str">
            <v/>
          </cell>
          <cell r="G4758" t="str">
            <v>E</v>
          </cell>
          <cell r="H4758">
            <v>8.44</v>
          </cell>
        </row>
        <row r="4759">
          <cell r="A4759" t="str">
            <v>1;33;L;P;</v>
          </cell>
          <cell r="B4759">
            <v>730069</v>
          </cell>
          <cell r="C4759" t="str">
            <v>L</v>
          </cell>
          <cell r="D4759" t="str">
            <v>PORTUGAL</v>
          </cell>
          <cell r="E4759" t="str">
            <v>33</v>
          </cell>
          <cell r="F4759" t="str">
            <v/>
          </cell>
          <cell r="G4759" t="str">
            <v>P</v>
          </cell>
          <cell r="H4759">
            <v>0</v>
          </cell>
        </row>
        <row r="4760">
          <cell r="A4760" t="str">
            <v>1;38;L;B;BAG</v>
          </cell>
          <cell r="B4760">
            <v>730069</v>
          </cell>
          <cell r="C4760" t="str">
            <v>L</v>
          </cell>
          <cell r="D4760" t="str">
            <v>PORTUGAL</v>
          </cell>
          <cell r="E4760" t="str">
            <v>38</v>
          </cell>
          <cell r="F4760" t="str">
            <v>BAG</v>
          </cell>
          <cell r="G4760" t="str">
            <v>B</v>
          </cell>
          <cell r="H4760">
            <v>7.33</v>
          </cell>
        </row>
        <row r="4761">
          <cell r="A4761" t="str">
            <v>1;38;L;B;PAQ00a02</v>
          </cell>
          <cell r="B4761">
            <v>730069</v>
          </cell>
          <cell r="C4761" t="str">
            <v>L</v>
          </cell>
          <cell r="D4761" t="str">
            <v>PORTUGAL</v>
          </cell>
          <cell r="E4761" t="str">
            <v>38</v>
          </cell>
          <cell r="F4761" t="str">
            <v>PAQ00a02</v>
          </cell>
          <cell r="G4761" t="str">
            <v>B</v>
          </cell>
          <cell r="H4761">
            <v>7.33</v>
          </cell>
        </row>
        <row r="4762">
          <cell r="A4762" t="str">
            <v>1;38;L;B;PAQ02a05</v>
          </cell>
          <cell r="B4762">
            <v>730069</v>
          </cell>
          <cell r="C4762" t="str">
            <v>L</v>
          </cell>
          <cell r="D4762" t="str">
            <v>PORTUGAL</v>
          </cell>
          <cell r="E4762" t="str">
            <v>38</v>
          </cell>
          <cell r="F4762" t="str">
            <v>PAQ02a05</v>
          </cell>
          <cell r="G4762" t="str">
            <v>B</v>
          </cell>
          <cell r="H4762">
            <v>8.9</v>
          </cell>
        </row>
        <row r="4763">
          <cell r="A4763" t="str">
            <v>1;38;L;B;PAQ05a10</v>
          </cell>
          <cell r="B4763">
            <v>730069</v>
          </cell>
          <cell r="C4763" t="str">
            <v>L</v>
          </cell>
          <cell r="D4763" t="str">
            <v>PORTUGAL</v>
          </cell>
          <cell r="E4763" t="str">
            <v>38</v>
          </cell>
          <cell r="F4763" t="str">
            <v>PAQ05a10</v>
          </cell>
          <cell r="G4763" t="str">
            <v>B</v>
          </cell>
          <cell r="H4763">
            <v>10.93</v>
          </cell>
        </row>
        <row r="4764">
          <cell r="A4764" t="str">
            <v>1;38;L;B;PAQ10a15</v>
          </cell>
          <cell r="B4764">
            <v>730069</v>
          </cell>
          <cell r="C4764" t="str">
            <v>L</v>
          </cell>
          <cell r="D4764" t="str">
            <v>PORTUGAL</v>
          </cell>
          <cell r="E4764" t="str">
            <v>38</v>
          </cell>
          <cell r="F4764" t="str">
            <v>PAQ10a15</v>
          </cell>
          <cell r="G4764" t="str">
            <v>B</v>
          </cell>
          <cell r="H4764">
            <v>11.64</v>
          </cell>
        </row>
        <row r="4765">
          <cell r="A4765" t="str">
            <v>1;38;L;B;PAQ15a20</v>
          </cell>
          <cell r="B4765">
            <v>730069</v>
          </cell>
          <cell r="C4765" t="str">
            <v>L</v>
          </cell>
          <cell r="D4765" t="str">
            <v>PORTUGAL</v>
          </cell>
          <cell r="E4765" t="str">
            <v>38</v>
          </cell>
          <cell r="F4765" t="str">
            <v>PAQ15a20</v>
          </cell>
          <cell r="G4765" t="str">
            <v>B</v>
          </cell>
          <cell r="H4765">
            <v>12.34</v>
          </cell>
        </row>
        <row r="4766">
          <cell r="A4766" t="str">
            <v>1;40;L;B;PAQ00a02</v>
          </cell>
          <cell r="B4766">
            <v>730069</v>
          </cell>
          <cell r="C4766" t="str">
            <v>L</v>
          </cell>
          <cell r="D4766" t="str">
            <v>PORTUGAL</v>
          </cell>
          <cell r="E4766" t="str">
            <v>40</v>
          </cell>
          <cell r="F4766" t="str">
            <v>PAQ00a02</v>
          </cell>
          <cell r="G4766" t="str">
            <v>B</v>
          </cell>
          <cell r="H4766">
            <v>5.92</v>
          </cell>
        </row>
        <row r="4767">
          <cell r="A4767" t="str">
            <v>1;40;L;B;PAQ02a05</v>
          </cell>
          <cell r="B4767">
            <v>730069</v>
          </cell>
          <cell r="C4767" t="str">
            <v>L</v>
          </cell>
          <cell r="D4767" t="str">
            <v>PORTUGAL</v>
          </cell>
          <cell r="E4767" t="str">
            <v>40</v>
          </cell>
          <cell r="F4767" t="str">
            <v>PAQ02a05</v>
          </cell>
          <cell r="G4767" t="str">
            <v>B</v>
          </cell>
          <cell r="H4767">
            <v>7.25</v>
          </cell>
        </row>
        <row r="4768">
          <cell r="A4768" t="str">
            <v>1;40;L;B;PAQ05a10</v>
          </cell>
          <cell r="B4768">
            <v>730069</v>
          </cell>
          <cell r="C4768" t="str">
            <v>L</v>
          </cell>
          <cell r="D4768" t="str">
            <v>PORTUGAL</v>
          </cell>
          <cell r="E4768" t="str">
            <v>40</v>
          </cell>
          <cell r="F4768" t="str">
            <v>PAQ05a10</v>
          </cell>
          <cell r="G4768" t="str">
            <v>B</v>
          </cell>
          <cell r="H4768">
            <v>9.14</v>
          </cell>
        </row>
        <row r="4769">
          <cell r="A4769" t="str">
            <v>1;40;L;B;PAQ10a15</v>
          </cell>
          <cell r="B4769">
            <v>730069</v>
          </cell>
          <cell r="C4769" t="str">
            <v>L</v>
          </cell>
          <cell r="D4769" t="str">
            <v>PORTUGAL</v>
          </cell>
          <cell r="E4769" t="str">
            <v>40</v>
          </cell>
          <cell r="F4769" t="str">
            <v>PAQ10a15</v>
          </cell>
          <cell r="G4769" t="str">
            <v>B</v>
          </cell>
          <cell r="H4769">
            <v>10.46</v>
          </cell>
        </row>
        <row r="4770">
          <cell r="A4770" t="str">
            <v>1;40;L;B;PAQ15a20</v>
          </cell>
          <cell r="B4770">
            <v>730069</v>
          </cell>
          <cell r="C4770" t="str">
            <v>L</v>
          </cell>
          <cell r="D4770" t="str">
            <v>PORTUGAL</v>
          </cell>
          <cell r="E4770" t="str">
            <v>40</v>
          </cell>
          <cell r="F4770" t="str">
            <v>PAQ15a20</v>
          </cell>
          <cell r="G4770" t="str">
            <v>B</v>
          </cell>
          <cell r="H4770">
            <v>11.39</v>
          </cell>
        </row>
        <row r="4771">
          <cell r="A4771" t="str">
            <v>1;41;L;B;PAQ00a02</v>
          </cell>
          <cell r="B4771">
            <v>730069</v>
          </cell>
          <cell r="C4771" t="str">
            <v>L</v>
          </cell>
          <cell r="D4771" t="str">
            <v>PORTUGAL</v>
          </cell>
          <cell r="E4771" t="str">
            <v>41</v>
          </cell>
          <cell r="F4771" t="str">
            <v>PAQ00a02</v>
          </cell>
          <cell r="G4771" t="str">
            <v>B</v>
          </cell>
          <cell r="H4771">
            <v>2.61</v>
          </cell>
        </row>
        <row r="4772">
          <cell r="A4772" t="str">
            <v>1;41;L;B;PAQ02a05</v>
          </cell>
          <cell r="B4772">
            <v>730069</v>
          </cell>
          <cell r="C4772" t="str">
            <v>L</v>
          </cell>
          <cell r="D4772" t="str">
            <v>PORTUGAL</v>
          </cell>
          <cell r="E4772" t="str">
            <v>41</v>
          </cell>
          <cell r="F4772" t="str">
            <v>PAQ02a05</v>
          </cell>
          <cell r="G4772" t="str">
            <v>B</v>
          </cell>
          <cell r="H4772">
            <v>5.05</v>
          </cell>
        </row>
        <row r="4773">
          <cell r="A4773" t="str">
            <v>1;41;L;B;PAQ05a10</v>
          </cell>
          <cell r="B4773">
            <v>730069</v>
          </cell>
          <cell r="C4773" t="str">
            <v>L</v>
          </cell>
          <cell r="D4773" t="str">
            <v>PORTUGAL</v>
          </cell>
          <cell r="E4773" t="str">
            <v>41</v>
          </cell>
          <cell r="F4773" t="str">
            <v>PAQ05a10</v>
          </cell>
          <cell r="G4773" t="str">
            <v>B</v>
          </cell>
          <cell r="H4773">
            <v>6.36</v>
          </cell>
        </row>
        <row r="4774">
          <cell r="A4774" t="str">
            <v>1;41;L;B;PAQ10a15</v>
          </cell>
          <cell r="B4774">
            <v>730069</v>
          </cell>
          <cell r="C4774" t="str">
            <v>L</v>
          </cell>
          <cell r="D4774" t="str">
            <v>PORTUGAL</v>
          </cell>
          <cell r="E4774" t="str">
            <v>41</v>
          </cell>
          <cell r="F4774" t="str">
            <v>PAQ10a15</v>
          </cell>
          <cell r="G4774" t="str">
            <v>B</v>
          </cell>
          <cell r="H4774">
            <v>7.58</v>
          </cell>
        </row>
        <row r="4775">
          <cell r="A4775" t="str">
            <v>1;41;L;B;PAQ15a20</v>
          </cell>
          <cell r="B4775">
            <v>730069</v>
          </cell>
          <cell r="C4775" t="str">
            <v>L</v>
          </cell>
          <cell r="D4775" t="str">
            <v>PORTUGAL</v>
          </cell>
          <cell r="E4775" t="str">
            <v>41</v>
          </cell>
          <cell r="F4775" t="str">
            <v>PAQ15a20</v>
          </cell>
          <cell r="G4775" t="str">
            <v>B</v>
          </cell>
          <cell r="H4775">
            <v>8.7899999999999991</v>
          </cell>
        </row>
        <row r="4776">
          <cell r="A4776" t="str">
            <v>1;44;L;B;PAQ00a02</v>
          </cell>
          <cell r="B4776">
            <v>730069</v>
          </cell>
          <cell r="C4776" t="str">
            <v>L</v>
          </cell>
          <cell r="D4776" t="str">
            <v>PORTUGAL</v>
          </cell>
          <cell r="E4776" t="str">
            <v>44</v>
          </cell>
          <cell r="F4776" t="str">
            <v>PAQ00a02</v>
          </cell>
          <cell r="G4776" t="str">
            <v>B</v>
          </cell>
          <cell r="H4776">
            <v>3.94</v>
          </cell>
        </row>
        <row r="4777">
          <cell r="A4777" t="str">
            <v>1;44;L;B;PAQ02a05</v>
          </cell>
          <cell r="B4777">
            <v>730069</v>
          </cell>
          <cell r="C4777" t="str">
            <v>L</v>
          </cell>
          <cell r="D4777" t="str">
            <v>PORTUGAL</v>
          </cell>
          <cell r="E4777" t="str">
            <v>44</v>
          </cell>
          <cell r="F4777" t="str">
            <v>PAQ02a05</v>
          </cell>
          <cell r="G4777" t="str">
            <v>B</v>
          </cell>
          <cell r="H4777">
            <v>5.13</v>
          </cell>
        </row>
        <row r="4778">
          <cell r="A4778" t="str">
            <v>1;44;L;B;PAQ05a10</v>
          </cell>
          <cell r="B4778">
            <v>730069</v>
          </cell>
          <cell r="C4778" t="str">
            <v>L</v>
          </cell>
          <cell r="D4778" t="str">
            <v>PORTUGAL</v>
          </cell>
          <cell r="E4778" t="str">
            <v>44</v>
          </cell>
          <cell r="F4778" t="str">
            <v>PAQ05a10</v>
          </cell>
          <cell r="G4778" t="str">
            <v>B</v>
          </cell>
          <cell r="H4778">
            <v>6.26</v>
          </cell>
        </row>
        <row r="4779">
          <cell r="A4779" t="str">
            <v>1;44;L;B;PAQ10a15</v>
          </cell>
          <cell r="B4779">
            <v>730069</v>
          </cell>
          <cell r="C4779" t="str">
            <v>L</v>
          </cell>
          <cell r="D4779" t="str">
            <v>PORTUGAL</v>
          </cell>
          <cell r="E4779" t="str">
            <v>44</v>
          </cell>
          <cell r="F4779" t="str">
            <v>PAQ10a15</v>
          </cell>
          <cell r="G4779" t="str">
            <v>B</v>
          </cell>
          <cell r="H4779">
            <v>8.3800000000000008</v>
          </cell>
        </row>
        <row r="4780">
          <cell r="A4780" t="str">
            <v>1;44;L;B;PAQ15a20</v>
          </cell>
          <cell r="B4780">
            <v>730069</v>
          </cell>
          <cell r="C4780" t="str">
            <v>L</v>
          </cell>
          <cell r="D4780" t="str">
            <v>PORTUGAL</v>
          </cell>
          <cell r="E4780" t="str">
            <v>44</v>
          </cell>
          <cell r="F4780" t="str">
            <v>PAQ15a20</v>
          </cell>
          <cell r="G4780" t="str">
            <v>B</v>
          </cell>
          <cell r="H4780">
            <v>9.15</v>
          </cell>
        </row>
        <row r="4781">
          <cell r="A4781" t="str">
            <v>1;60;L;B;BAG</v>
          </cell>
          <cell r="B4781">
            <v>730069</v>
          </cell>
          <cell r="C4781" t="str">
            <v>L</v>
          </cell>
          <cell r="D4781" t="str">
            <v>PORTUGAL</v>
          </cell>
          <cell r="E4781" t="str">
            <v>60</v>
          </cell>
          <cell r="F4781" t="str">
            <v>BAG</v>
          </cell>
          <cell r="G4781" t="str">
            <v>B</v>
          </cell>
          <cell r="H4781">
            <v>31.71</v>
          </cell>
        </row>
        <row r="4782">
          <cell r="A4782" t="str">
            <v>1;60;L;B;PAQ00a05</v>
          </cell>
          <cell r="B4782">
            <v>730069</v>
          </cell>
          <cell r="C4782" t="str">
            <v>L</v>
          </cell>
          <cell r="D4782" t="str">
            <v>PORTUGAL</v>
          </cell>
          <cell r="E4782" t="str">
            <v>60</v>
          </cell>
          <cell r="F4782" t="str">
            <v>PAQ00a05</v>
          </cell>
          <cell r="G4782" t="str">
            <v>B</v>
          </cell>
          <cell r="H4782">
            <v>36.33</v>
          </cell>
        </row>
        <row r="4783">
          <cell r="A4783" t="str">
            <v>1;60;L;B;PAQ05a10</v>
          </cell>
          <cell r="B4783">
            <v>730069</v>
          </cell>
          <cell r="C4783" t="str">
            <v>L</v>
          </cell>
          <cell r="D4783" t="str">
            <v>PORTUGAL</v>
          </cell>
          <cell r="E4783" t="str">
            <v>60</v>
          </cell>
          <cell r="F4783" t="str">
            <v>PAQ05a10</v>
          </cell>
          <cell r="G4783" t="str">
            <v>B</v>
          </cell>
          <cell r="H4783">
            <v>53.93</v>
          </cell>
        </row>
        <row r="4784">
          <cell r="A4784" t="str">
            <v>1;60;L;B;PAQ10a15</v>
          </cell>
          <cell r="B4784">
            <v>730069</v>
          </cell>
          <cell r="C4784" t="str">
            <v>L</v>
          </cell>
          <cell r="D4784" t="str">
            <v>PORTUGAL</v>
          </cell>
          <cell r="E4784" t="str">
            <v>60</v>
          </cell>
          <cell r="F4784" t="str">
            <v>PAQ10a15</v>
          </cell>
          <cell r="G4784" t="str">
            <v>B</v>
          </cell>
          <cell r="H4784">
            <v>73.55</v>
          </cell>
        </row>
        <row r="4785">
          <cell r="A4785" t="str">
            <v>1;60;L;B;PAQ15a20</v>
          </cell>
          <cell r="B4785">
            <v>730069</v>
          </cell>
          <cell r="C4785" t="str">
            <v>L</v>
          </cell>
          <cell r="D4785" t="str">
            <v>PORTUGAL</v>
          </cell>
          <cell r="E4785" t="str">
            <v>60</v>
          </cell>
          <cell r="F4785" t="str">
            <v>PAQ15a20</v>
          </cell>
          <cell r="G4785" t="str">
            <v>B</v>
          </cell>
          <cell r="H4785">
            <v>93.18</v>
          </cell>
        </row>
        <row r="4786">
          <cell r="A4786" t="str">
            <v>1;60;L;B;PAQ20a25</v>
          </cell>
          <cell r="B4786">
            <v>730069</v>
          </cell>
          <cell r="C4786" t="str">
            <v>L</v>
          </cell>
          <cell r="D4786" t="str">
            <v>PORTUGAL</v>
          </cell>
          <cell r="E4786" t="str">
            <v>60</v>
          </cell>
          <cell r="F4786" t="str">
            <v>PAQ20a25</v>
          </cell>
          <cell r="G4786" t="str">
            <v>B</v>
          </cell>
          <cell r="H4786">
            <v>112.81</v>
          </cell>
        </row>
        <row r="4787">
          <cell r="A4787" t="str">
            <v>1;60;L;B;PAQ25a30</v>
          </cell>
          <cell r="B4787">
            <v>730069</v>
          </cell>
          <cell r="C4787" t="str">
            <v>L</v>
          </cell>
          <cell r="D4787" t="str">
            <v>PORTUGAL</v>
          </cell>
          <cell r="E4787" t="str">
            <v>60</v>
          </cell>
          <cell r="F4787" t="str">
            <v>PAQ25a30</v>
          </cell>
          <cell r="G4787" t="str">
            <v>B</v>
          </cell>
          <cell r="H4787">
            <v>132.44</v>
          </cell>
        </row>
        <row r="4788">
          <cell r="A4788" t="str">
            <v>1;60;L;B;PAQ30a35</v>
          </cell>
          <cell r="B4788">
            <v>730069</v>
          </cell>
          <cell r="C4788" t="str">
            <v>L</v>
          </cell>
          <cell r="D4788" t="str">
            <v>PORTUGAL</v>
          </cell>
          <cell r="E4788" t="str">
            <v>60</v>
          </cell>
          <cell r="F4788" t="str">
            <v>PAQ30a35</v>
          </cell>
          <cell r="G4788" t="str">
            <v>B</v>
          </cell>
          <cell r="H4788">
            <v>152.07</v>
          </cell>
        </row>
        <row r="4789">
          <cell r="A4789" t="str">
            <v>1;60;L;B;PAQ35a40</v>
          </cell>
          <cell r="B4789">
            <v>730069</v>
          </cell>
          <cell r="C4789" t="str">
            <v>L</v>
          </cell>
          <cell r="D4789" t="str">
            <v>PORTUGAL</v>
          </cell>
          <cell r="E4789" t="str">
            <v>60</v>
          </cell>
          <cell r="F4789" t="str">
            <v>PAQ35a40</v>
          </cell>
          <cell r="G4789" t="str">
            <v>B</v>
          </cell>
          <cell r="H4789">
            <v>171.7</v>
          </cell>
        </row>
        <row r="4790">
          <cell r="A4790" t="str">
            <v>1;60;L;F;</v>
          </cell>
          <cell r="B4790">
            <v>730069</v>
          </cell>
          <cell r="C4790" t="str">
            <v>L</v>
          </cell>
          <cell r="D4790" t="str">
            <v>PORTUGAL</v>
          </cell>
          <cell r="E4790" t="str">
            <v>60</v>
          </cell>
          <cell r="F4790" t="str">
            <v/>
          </cell>
          <cell r="G4790" t="str">
            <v>F</v>
          </cell>
          <cell r="H4790">
            <v>19.62</v>
          </cell>
        </row>
        <row r="4791">
          <cell r="A4791" t="str">
            <v>1;60;L;E;</v>
          </cell>
          <cell r="B4791">
            <v>730069</v>
          </cell>
          <cell r="C4791" t="str">
            <v>L</v>
          </cell>
          <cell r="D4791" t="str">
            <v>PORTUGAL</v>
          </cell>
          <cell r="E4791" t="str">
            <v>60</v>
          </cell>
          <cell r="F4791" t="str">
            <v/>
          </cell>
          <cell r="G4791" t="str">
            <v>E</v>
          </cell>
          <cell r="H4791">
            <v>25.08</v>
          </cell>
        </row>
        <row r="4792">
          <cell r="A4792" t="str">
            <v>1;60;L;P;</v>
          </cell>
          <cell r="B4792">
            <v>730069</v>
          </cell>
          <cell r="C4792" t="str">
            <v>L</v>
          </cell>
          <cell r="D4792" t="str">
            <v>PORTUGAL</v>
          </cell>
          <cell r="E4792" t="str">
            <v>60</v>
          </cell>
          <cell r="F4792" t="str">
            <v/>
          </cell>
          <cell r="G4792" t="str">
            <v>P</v>
          </cell>
          <cell r="H4792">
            <v>25.08</v>
          </cell>
        </row>
        <row r="4793">
          <cell r="A4793" t="str">
            <v>1;61;L;B;BAG</v>
          </cell>
          <cell r="B4793">
            <v>730069</v>
          </cell>
          <cell r="C4793" t="str">
            <v>L</v>
          </cell>
          <cell r="D4793" t="str">
            <v>PORTUGAL</v>
          </cell>
          <cell r="E4793" t="str">
            <v>61</v>
          </cell>
          <cell r="F4793" t="str">
            <v>BAG</v>
          </cell>
          <cell r="G4793" t="str">
            <v>B</v>
          </cell>
          <cell r="H4793">
            <v>20.45</v>
          </cell>
        </row>
        <row r="4794">
          <cell r="A4794" t="str">
            <v>1;61;L;B;PAQ00a05</v>
          </cell>
          <cell r="B4794">
            <v>730069</v>
          </cell>
          <cell r="C4794" t="str">
            <v>L</v>
          </cell>
          <cell r="D4794" t="str">
            <v>PORTUGAL</v>
          </cell>
          <cell r="E4794" t="str">
            <v>61</v>
          </cell>
          <cell r="F4794" t="str">
            <v>PAQ00a05</v>
          </cell>
          <cell r="G4794" t="str">
            <v>B</v>
          </cell>
          <cell r="H4794">
            <v>25.08</v>
          </cell>
        </row>
        <row r="4795">
          <cell r="A4795" t="str">
            <v>1;61;L;B;PAQ05a10</v>
          </cell>
          <cell r="B4795">
            <v>730069</v>
          </cell>
          <cell r="C4795" t="str">
            <v>L</v>
          </cell>
          <cell r="D4795" t="str">
            <v>PORTUGAL</v>
          </cell>
          <cell r="E4795" t="str">
            <v>61</v>
          </cell>
          <cell r="F4795" t="str">
            <v>PAQ05a10</v>
          </cell>
          <cell r="G4795" t="str">
            <v>B</v>
          </cell>
          <cell r="H4795">
            <v>42.67</v>
          </cell>
        </row>
        <row r="4796">
          <cell r="A4796" t="str">
            <v>1;61;L;B;PAQ10a15</v>
          </cell>
          <cell r="B4796">
            <v>730069</v>
          </cell>
          <cell r="C4796" t="str">
            <v>L</v>
          </cell>
          <cell r="D4796" t="str">
            <v>PORTUGAL</v>
          </cell>
          <cell r="E4796" t="str">
            <v>61</v>
          </cell>
          <cell r="F4796" t="str">
            <v>PAQ10a15</v>
          </cell>
          <cell r="G4796" t="str">
            <v>B</v>
          </cell>
          <cell r="H4796">
            <v>62.31</v>
          </cell>
        </row>
        <row r="4797">
          <cell r="A4797" t="str">
            <v>1;61;L;B;PAQ15a20</v>
          </cell>
          <cell r="B4797">
            <v>730069</v>
          </cell>
          <cell r="C4797" t="str">
            <v>L</v>
          </cell>
          <cell r="D4797" t="str">
            <v>PORTUGAL</v>
          </cell>
          <cell r="E4797" t="str">
            <v>61</v>
          </cell>
          <cell r="F4797" t="str">
            <v>PAQ15a20</v>
          </cell>
          <cell r="G4797" t="str">
            <v>B</v>
          </cell>
          <cell r="H4797">
            <v>81.93</v>
          </cell>
        </row>
        <row r="4798">
          <cell r="A4798" t="str">
            <v>1;61;L;B;PAQ20a25</v>
          </cell>
          <cell r="B4798">
            <v>730069</v>
          </cell>
          <cell r="C4798" t="str">
            <v>L</v>
          </cell>
          <cell r="D4798" t="str">
            <v>PORTUGAL</v>
          </cell>
          <cell r="E4798" t="str">
            <v>61</v>
          </cell>
          <cell r="F4798" t="str">
            <v>PAQ20a25</v>
          </cell>
          <cell r="G4798" t="str">
            <v>B</v>
          </cell>
          <cell r="H4798">
            <v>101.57</v>
          </cell>
        </row>
        <row r="4799">
          <cell r="A4799" t="str">
            <v>1;61;L;B;PAQ25a30</v>
          </cell>
          <cell r="B4799">
            <v>730069</v>
          </cell>
          <cell r="C4799" t="str">
            <v>L</v>
          </cell>
          <cell r="D4799" t="str">
            <v>PORTUGAL</v>
          </cell>
          <cell r="E4799" t="str">
            <v>61</v>
          </cell>
          <cell r="F4799" t="str">
            <v>PAQ25a30</v>
          </cell>
          <cell r="G4799" t="str">
            <v>B</v>
          </cell>
          <cell r="H4799">
            <v>121.19</v>
          </cell>
        </row>
        <row r="4800">
          <cell r="A4800" t="str">
            <v>1;61;L;B;PAQ30a35</v>
          </cell>
          <cell r="B4800">
            <v>730069</v>
          </cell>
          <cell r="C4800" t="str">
            <v>L</v>
          </cell>
          <cell r="D4800" t="str">
            <v>PORTUGAL</v>
          </cell>
          <cell r="E4800" t="str">
            <v>61</v>
          </cell>
          <cell r="F4800" t="str">
            <v>PAQ30a35</v>
          </cell>
          <cell r="G4800" t="str">
            <v>B</v>
          </cell>
          <cell r="H4800">
            <v>140.83000000000001</v>
          </cell>
        </row>
        <row r="4801">
          <cell r="A4801" t="str">
            <v>1;61;L;B;PAQ35a40</v>
          </cell>
          <cell r="B4801">
            <v>730069</v>
          </cell>
          <cell r="C4801" t="str">
            <v>L</v>
          </cell>
          <cell r="D4801" t="str">
            <v>PORTUGAL</v>
          </cell>
          <cell r="E4801" t="str">
            <v>61</v>
          </cell>
          <cell r="F4801" t="str">
            <v>PAQ35a40</v>
          </cell>
          <cell r="G4801" t="str">
            <v>B</v>
          </cell>
          <cell r="H4801">
            <v>160.44999999999999</v>
          </cell>
        </row>
        <row r="4802">
          <cell r="A4802" t="str">
            <v>1;61;L;F;</v>
          </cell>
          <cell r="B4802">
            <v>730069</v>
          </cell>
          <cell r="C4802" t="str">
            <v>L</v>
          </cell>
          <cell r="D4802" t="str">
            <v>PORTUGAL</v>
          </cell>
          <cell r="E4802" t="str">
            <v>61</v>
          </cell>
          <cell r="F4802" t="str">
            <v/>
          </cell>
          <cell r="G4802" t="str">
            <v>F</v>
          </cell>
          <cell r="H4802">
            <v>19.62</v>
          </cell>
        </row>
        <row r="4803">
          <cell r="A4803" t="str">
            <v>1;61;L;E;</v>
          </cell>
          <cell r="B4803">
            <v>730069</v>
          </cell>
          <cell r="C4803" t="str">
            <v>L</v>
          </cell>
          <cell r="D4803" t="str">
            <v>PORTUGAL</v>
          </cell>
          <cell r="E4803" t="str">
            <v>61</v>
          </cell>
          <cell r="F4803" t="str">
            <v/>
          </cell>
          <cell r="G4803" t="str">
            <v>E</v>
          </cell>
          <cell r="H4803">
            <v>25.08</v>
          </cell>
        </row>
        <row r="4804">
          <cell r="A4804" t="str">
            <v>1;61;L;P;</v>
          </cell>
          <cell r="B4804">
            <v>730069</v>
          </cell>
          <cell r="C4804" t="str">
            <v>L</v>
          </cell>
          <cell r="D4804" t="str">
            <v>PORTUGAL</v>
          </cell>
          <cell r="E4804" t="str">
            <v>61</v>
          </cell>
          <cell r="F4804" t="str">
            <v/>
          </cell>
          <cell r="G4804" t="str">
            <v>P</v>
          </cell>
          <cell r="H4804">
            <v>25.08</v>
          </cell>
        </row>
        <row r="4805">
          <cell r="A4805" t="str">
            <v>1;62;L;B;BAG</v>
          </cell>
          <cell r="B4805">
            <v>730069</v>
          </cell>
          <cell r="C4805" t="str">
            <v>L</v>
          </cell>
          <cell r="D4805" t="str">
            <v>PORTUGAL</v>
          </cell>
          <cell r="E4805" t="str">
            <v>62</v>
          </cell>
          <cell r="F4805" t="str">
            <v>BAG</v>
          </cell>
          <cell r="G4805" t="str">
            <v>B</v>
          </cell>
          <cell r="H4805">
            <v>16.829999999999998</v>
          </cell>
        </row>
        <row r="4806">
          <cell r="A4806" t="str">
            <v>1;62;L;B;PAQ00a05</v>
          </cell>
          <cell r="B4806">
            <v>730069</v>
          </cell>
          <cell r="C4806" t="str">
            <v>L</v>
          </cell>
          <cell r="D4806" t="str">
            <v>PORTUGAL</v>
          </cell>
          <cell r="E4806" t="str">
            <v>62</v>
          </cell>
          <cell r="F4806" t="str">
            <v>PAQ00a05</v>
          </cell>
          <cell r="G4806" t="str">
            <v>B</v>
          </cell>
          <cell r="H4806">
            <v>19.809999999999999</v>
          </cell>
        </row>
        <row r="4807">
          <cell r="A4807" t="str">
            <v>1;62;L;B;PAQ05a10</v>
          </cell>
          <cell r="B4807">
            <v>730069</v>
          </cell>
          <cell r="C4807" t="str">
            <v>L</v>
          </cell>
          <cell r="D4807" t="str">
            <v>PORTUGAL</v>
          </cell>
          <cell r="E4807" t="str">
            <v>62</v>
          </cell>
          <cell r="F4807" t="str">
            <v>PAQ05a10</v>
          </cell>
          <cell r="G4807" t="str">
            <v>B</v>
          </cell>
          <cell r="H4807">
            <v>28.85</v>
          </cell>
        </row>
        <row r="4808">
          <cell r="A4808" t="str">
            <v>1;62;L;B;PAQ10a15</v>
          </cell>
          <cell r="B4808">
            <v>730069</v>
          </cell>
          <cell r="C4808" t="str">
            <v>L</v>
          </cell>
          <cell r="D4808" t="str">
            <v>PORTUGAL</v>
          </cell>
          <cell r="E4808" t="str">
            <v>62</v>
          </cell>
          <cell r="F4808" t="str">
            <v>PAQ10a15</v>
          </cell>
          <cell r="G4808" t="str">
            <v>B</v>
          </cell>
          <cell r="H4808">
            <v>37.83</v>
          </cell>
        </row>
        <row r="4809">
          <cell r="A4809" t="str">
            <v>1;62;L;B;PAQ15a20</v>
          </cell>
          <cell r="B4809">
            <v>730069</v>
          </cell>
          <cell r="C4809" t="str">
            <v>L</v>
          </cell>
          <cell r="D4809" t="str">
            <v>PORTUGAL</v>
          </cell>
          <cell r="E4809" t="str">
            <v>62</v>
          </cell>
          <cell r="F4809" t="str">
            <v>PAQ15a20</v>
          </cell>
          <cell r="G4809" t="str">
            <v>B</v>
          </cell>
          <cell r="H4809">
            <v>46.81</v>
          </cell>
        </row>
        <row r="4810">
          <cell r="A4810" t="str">
            <v>1;62;L;B;PAQ20a25</v>
          </cell>
          <cell r="B4810">
            <v>730069</v>
          </cell>
          <cell r="C4810" t="str">
            <v>L</v>
          </cell>
          <cell r="D4810" t="str">
            <v>PORTUGAL</v>
          </cell>
          <cell r="E4810" t="str">
            <v>62</v>
          </cell>
          <cell r="F4810" t="str">
            <v>PAQ20a25</v>
          </cell>
          <cell r="G4810" t="str">
            <v>B</v>
          </cell>
          <cell r="H4810">
            <v>55.79</v>
          </cell>
        </row>
        <row r="4811">
          <cell r="A4811" t="str">
            <v>1;62;L;B;PAQ25a30</v>
          </cell>
          <cell r="B4811">
            <v>730069</v>
          </cell>
          <cell r="C4811" t="str">
            <v>L</v>
          </cell>
          <cell r="D4811" t="str">
            <v>PORTUGAL</v>
          </cell>
          <cell r="E4811" t="str">
            <v>62</v>
          </cell>
          <cell r="F4811" t="str">
            <v>PAQ25a30</v>
          </cell>
          <cell r="G4811" t="str">
            <v>B</v>
          </cell>
          <cell r="H4811">
            <v>64.760000000000005</v>
          </cell>
        </row>
        <row r="4812">
          <cell r="A4812" t="str">
            <v>1;62;L;B;PAQ30a35</v>
          </cell>
          <cell r="B4812">
            <v>730069</v>
          </cell>
          <cell r="C4812" t="str">
            <v>L</v>
          </cell>
          <cell r="D4812" t="str">
            <v>PORTUGAL</v>
          </cell>
          <cell r="E4812" t="str">
            <v>62</v>
          </cell>
          <cell r="F4812" t="str">
            <v>PAQ30a35</v>
          </cell>
          <cell r="G4812" t="str">
            <v>B</v>
          </cell>
          <cell r="H4812">
            <v>73.739999999999995</v>
          </cell>
        </row>
        <row r="4813">
          <cell r="A4813" t="str">
            <v>1;62;L;B;PAQ35a40</v>
          </cell>
          <cell r="B4813">
            <v>730069</v>
          </cell>
          <cell r="C4813" t="str">
            <v>L</v>
          </cell>
          <cell r="D4813" t="str">
            <v>PORTUGAL</v>
          </cell>
          <cell r="E4813" t="str">
            <v>62</v>
          </cell>
          <cell r="F4813" t="str">
            <v>PAQ35a40</v>
          </cell>
          <cell r="G4813" t="str">
            <v>B</v>
          </cell>
          <cell r="H4813">
            <v>82.71</v>
          </cell>
        </row>
        <row r="4814">
          <cell r="A4814" t="str">
            <v>1;62;L;F;</v>
          </cell>
          <cell r="B4814">
            <v>730069</v>
          </cell>
          <cell r="C4814" t="str">
            <v>L</v>
          </cell>
          <cell r="D4814" t="str">
            <v>PORTUGAL</v>
          </cell>
          <cell r="E4814" t="str">
            <v>62</v>
          </cell>
          <cell r="F4814" t="str">
            <v/>
          </cell>
          <cell r="G4814" t="str">
            <v>F</v>
          </cell>
          <cell r="H4814">
            <v>8.98</v>
          </cell>
        </row>
        <row r="4815">
          <cell r="A4815" t="str">
            <v>1;62;L;E;</v>
          </cell>
          <cell r="B4815">
            <v>730069</v>
          </cell>
          <cell r="C4815" t="str">
            <v>L</v>
          </cell>
          <cell r="D4815" t="str">
            <v>PORTUGAL</v>
          </cell>
          <cell r="E4815" t="str">
            <v>62</v>
          </cell>
          <cell r="F4815" t="str">
            <v/>
          </cell>
          <cell r="G4815" t="str">
            <v>E</v>
          </cell>
          <cell r="H4815">
            <v>19.809999999999999</v>
          </cell>
        </row>
        <row r="4816">
          <cell r="A4816" t="str">
            <v>1;62;L;P;</v>
          </cell>
          <cell r="B4816">
            <v>730069</v>
          </cell>
          <cell r="C4816" t="str">
            <v>L</v>
          </cell>
          <cell r="D4816" t="str">
            <v>PORTUGAL</v>
          </cell>
          <cell r="E4816" t="str">
            <v>62</v>
          </cell>
          <cell r="F4816" t="str">
            <v/>
          </cell>
          <cell r="G4816" t="str">
            <v>P</v>
          </cell>
          <cell r="H4816">
            <v>19.809999999999999</v>
          </cell>
        </row>
        <row r="4817">
          <cell r="A4817" t="str">
            <v>1;63;L;B;BAG</v>
          </cell>
          <cell r="B4817">
            <v>730069</v>
          </cell>
          <cell r="C4817" t="str">
            <v>L</v>
          </cell>
          <cell r="D4817" t="str">
            <v>PORTUGAL</v>
          </cell>
          <cell r="E4817" t="str">
            <v>63</v>
          </cell>
          <cell r="F4817" t="str">
            <v>BAG</v>
          </cell>
          <cell r="G4817" t="str">
            <v>B</v>
          </cell>
          <cell r="H4817">
            <v>24.12</v>
          </cell>
        </row>
        <row r="4818">
          <cell r="A4818" t="str">
            <v>1;63;L;B;PAQ00a05</v>
          </cell>
          <cell r="B4818">
            <v>730069</v>
          </cell>
          <cell r="C4818" t="str">
            <v>L</v>
          </cell>
          <cell r="D4818" t="str">
            <v>PORTUGAL</v>
          </cell>
          <cell r="E4818" t="str">
            <v>63</v>
          </cell>
          <cell r="F4818" t="str">
            <v>PAQ00a05</v>
          </cell>
          <cell r="G4818" t="str">
            <v>B</v>
          </cell>
          <cell r="H4818">
            <v>27.09</v>
          </cell>
        </row>
        <row r="4819">
          <cell r="A4819" t="str">
            <v>1;63;L;B;PAQ05a10</v>
          </cell>
          <cell r="B4819">
            <v>730069</v>
          </cell>
          <cell r="C4819" t="str">
            <v>L</v>
          </cell>
          <cell r="D4819" t="str">
            <v>PORTUGAL</v>
          </cell>
          <cell r="E4819" t="str">
            <v>63</v>
          </cell>
          <cell r="F4819" t="str">
            <v>PAQ05a10</v>
          </cell>
          <cell r="G4819" t="str">
            <v>B</v>
          </cell>
          <cell r="H4819">
            <v>36.130000000000003</v>
          </cell>
        </row>
        <row r="4820">
          <cell r="A4820" t="str">
            <v>1;63;L;B;PAQ10a15</v>
          </cell>
          <cell r="B4820">
            <v>730069</v>
          </cell>
          <cell r="C4820" t="str">
            <v>L</v>
          </cell>
          <cell r="D4820" t="str">
            <v>PORTUGAL</v>
          </cell>
          <cell r="E4820" t="str">
            <v>63</v>
          </cell>
          <cell r="F4820" t="str">
            <v>PAQ10a15</v>
          </cell>
          <cell r="G4820" t="str">
            <v>B</v>
          </cell>
          <cell r="H4820">
            <v>45.11</v>
          </cell>
        </row>
        <row r="4821">
          <cell r="A4821" t="str">
            <v>1;63;L;B;PAQ15a20</v>
          </cell>
          <cell r="B4821">
            <v>730069</v>
          </cell>
          <cell r="C4821" t="str">
            <v>L</v>
          </cell>
          <cell r="D4821" t="str">
            <v>PORTUGAL</v>
          </cell>
          <cell r="E4821" t="str">
            <v>63</v>
          </cell>
          <cell r="F4821" t="str">
            <v>PAQ15a20</v>
          </cell>
          <cell r="G4821" t="str">
            <v>B</v>
          </cell>
          <cell r="H4821">
            <v>54.09</v>
          </cell>
        </row>
        <row r="4822">
          <cell r="A4822" t="str">
            <v>1;63;L;B;PAQ20a25</v>
          </cell>
          <cell r="B4822">
            <v>730069</v>
          </cell>
          <cell r="C4822" t="str">
            <v>L</v>
          </cell>
          <cell r="D4822" t="str">
            <v>PORTUGAL</v>
          </cell>
          <cell r="E4822" t="str">
            <v>63</v>
          </cell>
          <cell r="F4822" t="str">
            <v>PAQ20a25</v>
          </cell>
          <cell r="G4822" t="str">
            <v>B</v>
          </cell>
          <cell r="H4822">
            <v>63.06</v>
          </cell>
        </row>
        <row r="4823">
          <cell r="A4823" t="str">
            <v>1;63;L;B;PAQ25a30</v>
          </cell>
          <cell r="B4823">
            <v>730069</v>
          </cell>
          <cell r="C4823" t="str">
            <v>L</v>
          </cell>
          <cell r="D4823" t="str">
            <v>PORTUGAL</v>
          </cell>
          <cell r="E4823" t="str">
            <v>63</v>
          </cell>
          <cell r="F4823" t="str">
            <v>PAQ25a30</v>
          </cell>
          <cell r="G4823" t="str">
            <v>B</v>
          </cell>
          <cell r="H4823">
            <v>72.040000000000006</v>
          </cell>
        </row>
        <row r="4824">
          <cell r="A4824" t="str">
            <v>1;63;L;B;PAQ30a35</v>
          </cell>
          <cell r="B4824">
            <v>730069</v>
          </cell>
          <cell r="C4824" t="str">
            <v>L</v>
          </cell>
          <cell r="D4824" t="str">
            <v>PORTUGAL</v>
          </cell>
          <cell r="E4824" t="str">
            <v>63</v>
          </cell>
          <cell r="F4824" t="str">
            <v>PAQ30a35</v>
          </cell>
          <cell r="G4824" t="str">
            <v>B</v>
          </cell>
          <cell r="H4824">
            <v>81.02</v>
          </cell>
        </row>
        <row r="4825">
          <cell r="A4825" t="str">
            <v>1;63;L;B;PAQ35a40</v>
          </cell>
          <cell r="B4825">
            <v>730069</v>
          </cell>
          <cell r="C4825" t="str">
            <v>L</v>
          </cell>
          <cell r="D4825" t="str">
            <v>PORTUGAL</v>
          </cell>
          <cell r="E4825" t="str">
            <v>63</v>
          </cell>
          <cell r="F4825" t="str">
            <v>PAQ35a40</v>
          </cell>
          <cell r="G4825" t="str">
            <v>B</v>
          </cell>
          <cell r="H4825">
            <v>90</v>
          </cell>
        </row>
        <row r="4826">
          <cell r="A4826" t="str">
            <v>1;63;L;F;</v>
          </cell>
          <cell r="B4826">
            <v>730069</v>
          </cell>
          <cell r="C4826" t="str">
            <v>L</v>
          </cell>
          <cell r="D4826" t="str">
            <v>PORTUGAL</v>
          </cell>
          <cell r="E4826" t="str">
            <v>63</v>
          </cell>
          <cell r="F4826" t="str">
            <v/>
          </cell>
          <cell r="G4826" t="str">
            <v>F</v>
          </cell>
          <cell r="H4826">
            <v>8.98</v>
          </cell>
        </row>
        <row r="4827">
          <cell r="A4827" t="str">
            <v>1;63;L;E;</v>
          </cell>
          <cell r="B4827">
            <v>730069</v>
          </cell>
          <cell r="C4827" t="str">
            <v>L</v>
          </cell>
          <cell r="D4827" t="str">
            <v>PORTUGAL</v>
          </cell>
          <cell r="E4827" t="str">
            <v>63</v>
          </cell>
          <cell r="F4827" t="str">
            <v/>
          </cell>
          <cell r="G4827" t="str">
            <v>E</v>
          </cell>
          <cell r="H4827">
            <v>19.809999999999999</v>
          </cell>
        </row>
        <row r="4828">
          <cell r="A4828" t="str">
            <v>1;63;L;P;</v>
          </cell>
          <cell r="B4828">
            <v>730069</v>
          </cell>
          <cell r="C4828" t="str">
            <v>L</v>
          </cell>
          <cell r="D4828" t="str">
            <v>PORTUGAL</v>
          </cell>
          <cell r="E4828" t="str">
            <v>63</v>
          </cell>
          <cell r="F4828" t="str">
            <v/>
          </cell>
          <cell r="G4828" t="str">
            <v>P</v>
          </cell>
          <cell r="H4828">
            <v>19.809999999999999</v>
          </cell>
        </row>
        <row r="4829">
          <cell r="A4829" t="str">
            <v>1;70;L;B;48L 15-25</v>
          </cell>
          <cell r="B4829">
            <v>730069</v>
          </cell>
          <cell r="C4829" t="str">
            <v>L</v>
          </cell>
          <cell r="D4829" t="str">
            <v>PORTUGAL</v>
          </cell>
          <cell r="E4829" t="str">
            <v>70</v>
          </cell>
          <cell r="F4829" t="str">
            <v>48L 15-25</v>
          </cell>
          <cell r="G4829" t="str">
            <v>B</v>
          </cell>
          <cell r="H4829">
            <v>79.78</v>
          </cell>
        </row>
        <row r="4830">
          <cell r="A4830" t="str">
            <v>1;70;L;B;48LAR</v>
          </cell>
          <cell r="B4830">
            <v>730069</v>
          </cell>
          <cell r="C4830" t="str">
            <v>L</v>
          </cell>
          <cell r="D4830" t="str">
            <v>PORTUGAL</v>
          </cell>
          <cell r="E4830" t="str">
            <v>70</v>
          </cell>
          <cell r="F4830" t="str">
            <v>48LAR</v>
          </cell>
          <cell r="G4830" t="str">
            <v>B</v>
          </cell>
          <cell r="H4830">
            <v>70.28</v>
          </cell>
        </row>
        <row r="4831">
          <cell r="A4831" t="str">
            <v>1;70;L;B;48M 15-25</v>
          </cell>
          <cell r="B4831">
            <v>730069</v>
          </cell>
          <cell r="C4831" t="str">
            <v>L</v>
          </cell>
          <cell r="D4831" t="str">
            <v>PORTUGAL</v>
          </cell>
          <cell r="E4831" t="str">
            <v>70</v>
          </cell>
          <cell r="F4831" t="str">
            <v>48M 15-25</v>
          </cell>
          <cell r="G4831" t="str">
            <v>B</v>
          </cell>
          <cell r="H4831">
            <v>62.26</v>
          </cell>
        </row>
        <row r="4832">
          <cell r="A4832" t="str">
            <v>1;70;L;B;48MED</v>
          </cell>
          <cell r="B4832">
            <v>730069</v>
          </cell>
          <cell r="C4832" t="str">
            <v>L</v>
          </cell>
          <cell r="D4832" t="str">
            <v>PORTUGAL</v>
          </cell>
          <cell r="E4832" t="str">
            <v>70</v>
          </cell>
          <cell r="F4832" t="str">
            <v>48MED</v>
          </cell>
          <cell r="G4832" t="str">
            <v>B</v>
          </cell>
          <cell r="H4832">
            <v>59.64</v>
          </cell>
        </row>
        <row r="4833">
          <cell r="A4833" t="str">
            <v>1;70;L;B;48S 15-25</v>
          </cell>
          <cell r="B4833">
            <v>730069</v>
          </cell>
          <cell r="C4833" t="str">
            <v>L</v>
          </cell>
          <cell r="D4833" t="str">
            <v>PORTUGAL</v>
          </cell>
          <cell r="E4833" t="str">
            <v>70</v>
          </cell>
          <cell r="F4833" t="str">
            <v>48S 15-25</v>
          </cell>
          <cell r="G4833" t="str">
            <v>B</v>
          </cell>
          <cell r="H4833">
            <v>58.31</v>
          </cell>
        </row>
        <row r="4834">
          <cell r="A4834" t="str">
            <v>1;70;L;B;48SMA</v>
          </cell>
          <cell r="B4834">
            <v>730069</v>
          </cell>
          <cell r="C4834" t="str">
            <v>L</v>
          </cell>
          <cell r="D4834" t="str">
            <v>PORTUGAL</v>
          </cell>
          <cell r="E4834" t="str">
            <v>70</v>
          </cell>
          <cell r="F4834" t="str">
            <v>48SMA</v>
          </cell>
          <cell r="G4834" t="str">
            <v>B</v>
          </cell>
          <cell r="H4834">
            <v>55.7</v>
          </cell>
        </row>
        <row r="4835">
          <cell r="A4835" t="str">
            <v>1;70;L;B;96M 15-25</v>
          </cell>
          <cell r="B4835">
            <v>730069</v>
          </cell>
          <cell r="C4835" t="str">
            <v>L</v>
          </cell>
          <cell r="D4835" t="str">
            <v>PORTUGAL</v>
          </cell>
          <cell r="E4835" t="str">
            <v>70</v>
          </cell>
          <cell r="F4835" t="str">
            <v>96M 15-25</v>
          </cell>
          <cell r="G4835" t="str">
            <v>B</v>
          </cell>
          <cell r="H4835">
            <v>92.1</v>
          </cell>
        </row>
        <row r="4836">
          <cell r="A4836" t="str">
            <v>1;70;L;B;96MED</v>
          </cell>
          <cell r="B4836">
            <v>730069</v>
          </cell>
          <cell r="C4836" t="str">
            <v>L</v>
          </cell>
          <cell r="D4836" t="str">
            <v>PORTUGAL</v>
          </cell>
          <cell r="E4836" t="str">
            <v>70</v>
          </cell>
          <cell r="F4836" t="str">
            <v>96MED</v>
          </cell>
          <cell r="G4836" t="str">
            <v>B</v>
          </cell>
          <cell r="H4836">
            <v>84.9</v>
          </cell>
        </row>
        <row r="4837">
          <cell r="A4837" t="str">
            <v>1;70;L;B;96S 15-25</v>
          </cell>
          <cell r="B4837">
            <v>730069</v>
          </cell>
          <cell r="C4837" t="str">
            <v>L</v>
          </cell>
          <cell r="D4837" t="str">
            <v>PORTUGAL</v>
          </cell>
          <cell r="E4837" t="str">
            <v>70</v>
          </cell>
          <cell r="F4837" t="str">
            <v>96S 15-25</v>
          </cell>
          <cell r="G4837" t="str">
            <v>B</v>
          </cell>
          <cell r="H4837">
            <v>71.67</v>
          </cell>
        </row>
        <row r="4838">
          <cell r="A4838" t="str">
            <v>1;70;L;B;96SMA</v>
          </cell>
          <cell r="B4838">
            <v>730069</v>
          </cell>
          <cell r="C4838" t="str">
            <v>L</v>
          </cell>
          <cell r="D4838" t="str">
            <v>PORTUGAL</v>
          </cell>
          <cell r="E4838" t="str">
            <v>70</v>
          </cell>
          <cell r="F4838" t="str">
            <v>96SMA</v>
          </cell>
          <cell r="G4838" t="str">
            <v>B</v>
          </cell>
          <cell r="H4838">
            <v>70.84</v>
          </cell>
        </row>
        <row r="4839">
          <cell r="A4839" t="str">
            <v>1;72;L;B;48L 15-25</v>
          </cell>
          <cell r="B4839">
            <v>730069</v>
          </cell>
          <cell r="C4839" t="str">
            <v>L</v>
          </cell>
          <cell r="D4839" t="str">
            <v>PORTUGAL</v>
          </cell>
          <cell r="E4839" t="str">
            <v>72</v>
          </cell>
          <cell r="F4839" t="str">
            <v>48L 15-25</v>
          </cell>
          <cell r="G4839" t="str">
            <v>B</v>
          </cell>
          <cell r="H4839">
            <v>52.39</v>
          </cell>
        </row>
        <row r="4840">
          <cell r="A4840" t="str">
            <v>1;72;L;B;48LAR</v>
          </cell>
          <cell r="B4840">
            <v>730069</v>
          </cell>
          <cell r="C4840" t="str">
            <v>L</v>
          </cell>
          <cell r="D4840" t="str">
            <v>PORTUGAL</v>
          </cell>
          <cell r="E4840" t="str">
            <v>72</v>
          </cell>
          <cell r="F4840" t="str">
            <v>48LAR</v>
          </cell>
          <cell r="G4840" t="str">
            <v>B</v>
          </cell>
          <cell r="H4840">
            <v>45.06</v>
          </cell>
        </row>
        <row r="4841">
          <cell r="A4841" t="str">
            <v>1;72;L;B;48M 15-25</v>
          </cell>
          <cell r="B4841">
            <v>730069</v>
          </cell>
          <cell r="C4841" t="str">
            <v>L</v>
          </cell>
          <cell r="D4841" t="str">
            <v>PORTUGAL</v>
          </cell>
          <cell r="E4841" t="str">
            <v>72</v>
          </cell>
          <cell r="F4841" t="str">
            <v>48M 15-25</v>
          </cell>
          <cell r="G4841" t="str">
            <v>B</v>
          </cell>
          <cell r="H4841">
            <v>39.81</v>
          </cell>
        </row>
        <row r="4842">
          <cell r="A4842" t="str">
            <v>1;72;L;B;48MED</v>
          </cell>
          <cell r="B4842">
            <v>730069</v>
          </cell>
          <cell r="C4842" t="str">
            <v>L</v>
          </cell>
          <cell r="D4842" t="str">
            <v>PORTUGAL</v>
          </cell>
          <cell r="E4842" t="str">
            <v>72</v>
          </cell>
          <cell r="F4842" t="str">
            <v>48MED</v>
          </cell>
          <cell r="G4842" t="str">
            <v>B</v>
          </cell>
          <cell r="H4842">
            <v>37.11</v>
          </cell>
        </row>
        <row r="4843">
          <cell r="A4843" t="str">
            <v>1;72;L;B;48S 15-25</v>
          </cell>
          <cell r="B4843">
            <v>730069</v>
          </cell>
          <cell r="C4843" t="str">
            <v>L</v>
          </cell>
          <cell r="D4843" t="str">
            <v>PORTUGAL</v>
          </cell>
          <cell r="E4843" t="str">
            <v>72</v>
          </cell>
          <cell r="F4843" t="str">
            <v>48S 15-25</v>
          </cell>
          <cell r="G4843" t="str">
            <v>B</v>
          </cell>
          <cell r="H4843">
            <v>35.909999999999997</v>
          </cell>
        </row>
        <row r="4844">
          <cell r="A4844" t="str">
            <v>1;72;L;B;48SMA</v>
          </cell>
          <cell r="B4844">
            <v>730069</v>
          </cell>
          <cell r="C4844" t="str">
            <v>L</v>
          </cell>
          <cell r="D4844" t="str">
            <v>PORTUGAL</v>
          </cell>
          <cell r="E4844" t="str">
            <v>72</v>
          </cell>
          <cell r="F4844" t="str">
            <v>48SMA</v>
          </cell>
          <cell r="G4844" t="str">
            <v>B</v>
          </cell>
          <cell r="H4844">
            <v>33.19</v>
          </cell>
        </row>
        <row r="4845">
          <cell r="A4845" t="str">
            <v>1;72;L;B;96M 15-25</v>
          </cell>
          <cell r="B4845">
            <v>730069</v>
          </cell>
          <cell r="C4845" t="str">
            <v>L</v>
          </cell>
          <cell r="D4845" t="str">
            <v>PORTUGAL</v>
          </cell>
          <cell r="E4845" t="str">
            <v>72</v>
          </cell>
          <cell r="F4845" t="str">
            <v>96M 15-25</v>
          </cell>
          <cell r="G4845" t="str">
            <v>B</v>
          </cell>
          <cell r="H4845">
            <v>59.32</v>
          </cell>
        </row>
        <row r="4846">
          <cell r="A4846" t="str">
            <v>1;72;L;B;96MED</v>
          </cell>
          <cell r="B4846">
            <v>730069</v>
          </cell>
          <cell r="C4846" t="str">
            <v>L</v>
          </cell>
          <cell r="D4846" t="str">
            <v>PORTUGAL</v>
          </cell>
          <cell r="E4846" t="str">
            <v>72</v>
          </cell>
          <cell r="F4846" t="str">
            <v>96MED</v>
          </cell>
          <cell r="G4846" t="str">
            <v>B</v>
          </cell>
          <cell r="H4846">
            <v>55.02</v>
          </cell>
        </row>
        <row r="4847">
          <cell r="A4847" t="str">
            <v>1;72;L;B;96S 15-25</v>
          </cell>
          <cell r="B4847">
            <v>730069</v>
          </cell>
          <cell r="C4847" t="str">
            <v>L</v>
          </cell>
          <cell r="D4847" t="str">
            <v>PORTUGAL</v>
          </cell>
          <cell r="E4847" t="str">
            <v>72</v>
          </cell>
          <cell r="F4847" t="str">
            <v>96S 15-25</v>
          </cell>
          <cell r="G4847" t="str">
            <v>B</v>
          </cell>
          <cell r="H4847">
            <v>44.34</v>
          </cell>
        </row>
        <row r="4848">
          <cell r="A4848" t="str">
            <v>1;72;L;B;96SMA</v>
          </cell>
          <cell r="B4848">
            <v>730069</v>
          </cell>
          <cell r="C4848" t="str">
            <v>L</v>
          </cell>
          <cell r="D4848" t="str">
            <v>PORTUGAL</v>
          </cell>
          <cell r="E4848" t="str">
            <v>72</v>
          </cell>
          <cell r="F4848" t="str">
            <v>96SMA</v>
          </cell>
          <cell r="G4848" t="str">
            <v>B</v>
          </cell>
          <cell r="H4848">
            <v>43.5</v>
          </cell>
        </row>
        <row r="4849">
          <cell r="A4849" t="str">
            <v>1;73;L;B;48L 15-25</v>
          </cell>
          <cell r="B4849">
            <v>730069</v>
          </cell>
          <cell r="C4849" t="str">
            <v>L</v>
          </cell>
          <cell r="D4849" t="str">
            <v>PORTUGAL</v>
          </cell>
          <cell r="E4849" t="str">
            <v>73</v>
          </cell>
          <cell r="F4849" t="str">
            <v>48L 15-25</v>
          </cell>
          <cell r="G4849" t="str">
            <v>B</v>
          </cell>
          <cell r="H4849">
            <v>57.66</v>
          </cell>
        </row>
        <row r="4850">
          <cell r="A4850" t="str">
            <v>1;73;L;B;48LAR</v>
          </cell>
          <cell r="B4850">
            <v>730069</v>
          </cell>
          <cell r="C4850" t="str">
            <v>L</v>
          </cell>
          <cell r="D4850" t="str">
            <v>PORTUGAL</v>
          </cell>
          <cell r="E4850" t="str">
            <v>73</v>
          </cell>
          <cell r="F4850" t="str">
            <v>48LAR</v>
          </cell>
          <cell r="G4850" t="str">
            <v>B</v>
          </cell>
          <cell r="H4850">
            <v>51.9</v>
          </cell>
        </row>
        <row r="4851">
          <cell r="A4851" t="str">
            <v>1;73;L;B;48M 15-25</v>
          </cell>
          <cell r="B4851">
            <v>730069</v>
          </cell>
          <cell r="C4851" t="str">
            <v>L</v>
          </cell>
          <cell r="D4851" t="str">
            <v>PORTUGAL</v>
          </cell>
          <cell r="E4851" t="str">
            <v>73</v>
          </cell>
          <cell r="F4851" t="str">
            <v>48M 15-25</v>
          </cell>
          <cell r="G4851" t="str">
            <v>B</v>
          </cell>
          <cell r="H4851">
            <v>46.67</v>
          </cell>
        </row>
        <row r="4852">
          <cell r="A4852" t="str">
            <v>1;73;L;B;48MED</v>
          </cell>
          <cell r="B4852">
            <v>730069</v>
          </cell>
          <cell r="C4852" t="str">
            <v>L</v>
          </cell>
          <cell r="D4852" t="str">
            <v>PORTUGAL</v>
          </cell>
          <cell r="E4852" t="str">
            <v>73</v>
          </cell>
          <cell r="F4852" t="str">
            <v>48MED</v>
          </cell>
          <cell r="G4852" t="str">
            <v>B</v>
          </cell>
          <cell r="H4852">
            <v>43.99</v>
          </cell>
        </row>
        <row r="4853">
          <cell r="A4853" t="str">
            <v>1;73;L;B;48S 15-25</v>
          </cell>
          <cell r="B4853">
            <v>730069</v>
          </cell>
          <cell r="C4853" t="str">
            <v>L</v>
          </cell>
          <cell r="D4853" t="str">
            <v>PORTUGAL</v>
          </cell>
          <cell r="E4853" t="str">
            <v>73</v>
          </cell>
          <cell r="F4853" t="str">
            <v>48S 15-25</v>
          </cell>
          <cell r="G4853" t="str">
            <v>B</v>
          </cell>
          <cell r="H4853">
            <v>42.73</v>
          </cell>
        </row>
        <row r="4854">
          <cell r="A4854" t="str">
            <v>1;73;L;B;48SMA</v>
          </cell>
          <cell r="B4854">
            <v>730069</v>
          </cell>
          <cell r="C4854" t="str">
            <v>L</v>
          </cell>
          <cell r="D4854" t="str">
            <v>PORTUGAL</v>
          </cell>
          <cell r="E4854" t="str">
            <v>73</v>
          </cell>
          <cell r="F4854" t="str">
            <v>48SMA</v>
          </cell>
          <cell r="G4854" t="str">
            <v>B</v>
          </cell>
          <cell r="H4854">
            <v>40.07</v>
          </cell>
        </row>
        <row r="4855">
          <cell r="A4855" t="str">
            <v>1;73;L;B;96M 15-25</v>
          </cell>
          <cell r="B4855">
            <v>730069</v>
          </cell>
          <cell r="C4855" t="str">
            <v>L</v>
          </cell>
          <cell r="D4855" t="str">
            <v>PORTUGAL</v>
          </cell>
          <cell r="E4855" t="str">
            <v>73</v>
          </cell>
          <cell r="F4855" t="str">
            <v>96M 15-25</v>
          </cell>
          <cell r="G4855" t="str">
            <v>B</v>
          </cell>
          <cell r="H4855">
            <v>65.67</v>
          </cell>
        </row>
        <row r="4856">
          <cell r="A4856" t="str">
            <v>1;73;L;B;96MED</v>
          </cell>
          <cell r="B4856">
            <v>730069</v>
          </cell>
          <cell r="C4856" t="str">
            <v>L</v>
          </cell>
          <cell r="D4856" t="str">
            <v>PORTUGAL</v>
          </cell>
          <cell r="E4856" t="str">
            <v>73</v>
          </cell>
          <cell r="F4856" t="str">
            <v>96MED</v>
          </cell>
          <cell r="G4856" t="str">
            <v>B</v>
          </cell>
          <cell r="H4856">
            <v>61.88</v>
          </cell>
        </row>
        <row r="4857">
          <cell r="A4857" t="str">
            <v>1;73;L;B;96S 15-25</v>
          </cell>
          <cell r="B4857">
            <v>730069</v>
          </cell>
          <cell r="C4857" t="str">
            <v>L</v>
          </cell>
          <cell r="D4857" t="str">
            <v>PORTUGAL</v>
          </cell>
          <cell r="E4857" t="str">
            <v>73</v>
          </cell>
          <cell r="F4857" t="str">
            <v>96S 15-25</v>
          </cell>
          <cell r="G4857" t="str">
            <v>B</v>
          </cell>
          <cell r="H4857">
            <v>51.16</v>
          </cell>
        </row>
        <row r="4858">
          <cell r="A4858" t="str">
            <v>1;73;L;B;96SMA</v>
          </cell>
          <cell r="B4858">
            <v>730069</v>
          </cell>
          <cell r="C4858" t="str">
            <v>L</v>
          </cell>
          <cell r="D4858" t="str">
            <v>PORTUGAL</v>
          </cell>
          <cell r="E4858" t="str">
            <v>73</v>
          </cell>
          <cell r="F4858" t="str">
            <v>96SMA</v>
          </cell>
          <cell r="G4858" t="str">
            <v>B</v>
          </cell>
          <cell r="H4858">
            <v>50.32</v>
          </cell>
        </row>
        <row r="4859">
          <cell r="A4859" t="str">
            <v>1;78;L;B;48L 15-25</v>
          </cell>
          <cell r="B4859">
            <v>730069</v>
          </cell>
          <cell r="C4859" t="str">
            <v>L</v>
          </cell>
          <cell r="D4859" t="str">
            <v>PORTUGAL</v>
          </cell>
          <cell r="E4859" t="str">
            <v>78</v>
          </cell>
          <cell r="F4859" t="str">
            <v>48L 15-25</v>
          </cell>
          <cell r="G4859" t="str">
            <v>B</v>
          </cell>
          <cell r="H4859">
            <v>5</v>
          </cell>
        </row>
        <row r="4860">
          <cell r="A4860" t="str">
            <v>1;78;L;B;48LAR</v>
          </cell>
          <cell r="B4860">
            <v>730069</v>
          </cell>
          <cell r="C4860" t="str">
            <v>L</v>
          </cell>
          <cell r="D4860" t="str">
            <v>PORTUGAL</v>
          </cell>
          <cell r="E4860" t="str">
            <v>78</v>
          </cell>
          <cell r="F4860" t="str">
            <v>48LAR</v>
          </cell>
          <cell r="G4860" t="str">
            <v>B</v>
          </cell>
          <cell r="H4860">
            <v>5</v>
          </cell>
        </row>
        <row r="4861">
          <cell r="A4861" t="str">
            <v>1;78;L;B;48M 15-25</v>
          </cell>
          <cell r="B4861">
            <v>730069</v>
          </cell>
          <cell r="C4861" t="str">
            <v>L</v>
          </cell>
          <cell r="D4861" t="str">
            <v>PORTUGAL</v>
          </cell>
          <cell r="E4861" t="str">
            <v>78</v>
          </cell>
          <cell r="F4861" t="str">
            <v>48M 15-25</v>
          </cell>
          <cell r="G4861" t="str">
            <v>B</v>
          </cell>
          <cell r="H4861">
            <v>5</v>
          </cell>
        </row>
        <row r="4862">
          <cell r="A4862" t="str">
            <v>1;78;L;B;48MED</v>
          </cell>
          <cell r="B4862">
            <v>730069</v>
          </cell>
          <cell r="C4862" t="str">
            <v>L</v>
          </cell>
          <cell r="D4862" t="str">
            <v>PORTUGAL</v>
          </cell>
          <cell r="E4862" t="str">
            <v>78</v>
          </cell>
          <cell r="F4862" t="str">
            <v>48MED</v>
          </cell>
          <cell r="G4862" t="str">
            <v>B</v>
          </cell>
          <cell r="H4862">
            <v>5</v>
          </cell>
        </row>
        <row r="4863">
          <cell r="A4863" t="str">
            <v>1;78;L;B;48S 15-25</v>
          </cell>
          <cell r="B4863">
            <v>730069</v>
          </cell>
          <cell r="C4863" t="str">
            <v>L</v>
          </cell>
          <cell r="D4863" t="str">
            <v>PORTUGAL</v>
          </cell>
          <cell r="E4863" t="str">
            <v>78</v>
          </cell>
          <cell r="F4863" t="str">
            <v>48S 15-25</v>
          </cell>
          <cell r="G4863" t="str">
            <v>B</v>
          </cell>
          <cell r="H4863">
            <v>5</v>
          </cell>
        </row>
        <row r="4864">
          <cell r="A4864" t="str">
            <v>1;78;L;B;48SMA</v>
          </cell>
          <cell r="B4864">
            <v>730069</v>
          </cell>
          <cell r="C4864" t="str">
            <v>L</v>
          </cell>
          <cell r="D4864" t="str">
            <v>PORTUGAL</v>
          </cell>
          <cell r="E4864" t="str">
            <v>78</v>
          </cell>
          <cell r="F4864" t="str">
            <v>48SMA</v>
          </cell>
          <cell r="G4864" t="str">
            <v>B</v>
          </cell>
          <cell r="H4864">
            <v>5</v>
          </cell>
        </row>
        <row r="4865">
          <cell r="A4865" t="str">
            <v>1;78;L;B;96M 15-25</v>
          </cell>
          <cell r="B4865">
            <v>730069</v>
          </cell>
          <cell r="C4865" t="str">
            <v>L</v>
          </cell>
          <cell r="D4865" t="str">
            <v>PORTUGAL</v>
          </cell>
          <cell r="E4865" t="str">
            <v>78</v>
          </cell>
          <cell r="F4865" t="str">
            <v>96M 15-25</v>
          </cell>
          <cell r="G4865" t="str">
            <v>B</v>
          </cell>
          <cell r="H4865">
            <v>5</v>
          </cell>
        </row>
        <row r="4866">
          <cell r="A4866" t="str">
            <v>1;78;L;B;96MED</v>
          </cell>
          <cell r="B4866">
            <v>730069</v>
          </cell>
          <cell r="C4866" t="str">
            <v>L</v>
          </cell>
          <cell r="D4866" t="str">
            <v>PORTUGAL</v>
          </cell>
          <cell r="E4866" t="str">
            <v>78</v>
          </cell>
          <cell r="F4866" t="str">
            <v>96MED</v>
          </cell>
          <cell r="G4866" t="str">
            <v>B</v>
          </cell>
          <cell r="H4866">
            <v>5</v>
          </cell>
        </row>
        <row r="4867">
          <cell r="A4867" t="str">
            <v>1;78;L;B;96S 15-25</v>
          </cell>
          <cell r="B4867">
            <v>730069</v>
          </cell>
          <cell r="C4867" t="str">
            <v>L</v>
          </cell>
          <cell r="D4867" t="str">
            <v>PORTUGAL</v>
          </cell>
          <cell r="E4867" t="str">
            <v>78</v>
          </cell>
          <cell r="F4867" t="str">
            <v>96S 15-25</v>
          </cell>
          <cell r="G4867" t="str">
            <v>B</v>
          </cell>
          <cell r="H4867">
            <v>5</v>
          </cell>
        </row>
        <row r="4868">
          <cell r="A4868" t="str">
            <v>1;78;L;B;96SMA</v>
          </cell>
          <cell r="B4868">
            <v>730069</v>
          </cell>
          <cell r="C4868" t="str">
            <v>L</v>
          </cell>
          <cell r="D4868" t="str">
            <v>PORTUGAL</v>
          </cell>
          <cell r="E4868" t="str">
            <v>78</v>
          </cell>
          <cell r="F4868" t="str">
            <v>96SMA</v>
          </cell>
          <cell r="G4868" t="str">
            <v>B</v>
          </cell>
          <cell r="H4868">
            <v>5</v>
          </cell>
        </row>
        <row r="4869">
          <cell r="A4869" t="str">
            <v>1;79;L;B;48L 15-25</v>
          </cell>
          <cell r="B4869">
            <v>730069</v>
          </cell>
          <cell r="C4869" t="str">
            <v>L</v>
          </cell>
          <cell r="D4869" t="str">
            <v>PORTUGAL</v>
          </cell>
          <cell r="E4869" t="str">
            <v>79</v>
          </cell>
          <cell r="F4869" t="str">
            <v>48L 15-25</v>
          </cell>
          <cell r="G4869" t="str">
            <v>B</v>
          </cell>
          <cell r="H4869">
            <v>0</v>
          </cell>
        </row>
        <row r="4870">
          <cell r="A4870" t="str">
            <v>1;79;L;B;48LAR</v>
          </cell>
          <cell r="B4870">
            <v>730069</v>
          </cell>
          <cell r="C4870" t="str">
            <v>L</v>
          </cell>
          <cell r="D4870" t="str">
            <v>PORTUGAL</v>
          </cell>
          <cell r="E4870" t="str">
            <v>79</v>
          </cell>
          <cell r="F4870" t="str">
            <v>48LAR</v>
          </cell>
          <cell r="G4870" t="str">
            <v>B</v>
          </cell>
          <cell r="H4870">
            <v>0</v>
          </cell>
        </row>
        <row r="4871">
          <cell r="A4871" t="str">
            <v>1;79;L;B;48M 15-25</v>
          </cell>
          <cell r="B4871">
            <v>730069</v>
          </cell>
          <cell r="C4871" t="str">
            <v>L</v>
          </cell>
          <cell r="D4871" t="str">
            <v>PORTUGAL</v>
          </cell>
          <cell r="E4871" t="str">
            <v>79</v>
          </cell>
          <cell r="F4871" t="str">
            <v>48M 15-25</v>
          </cell>
          <cell r="G4871" t="str">
            <v>B</v>
          </cell>
          <cell r="H4871">
            <v>0</v>
          </cell>
        </row>
        <row r="4872">
          <cell r="A4872" t="str">
            <v>1;79;L;B;48MED</v>
          </cell>
          <cell r="B4872">
            <v>730069</v>
          </cell>
          <cell r="C4872" t="str">
            <v>L</v>
          </cell>
          <cell r="D4872" t="str">
            <v>PORTUGAL</v>
          </cell>
          <cell r="E4872" t="str">
            <v>79</v>
          </cell>
          <cell r="F4872" t="str">
            <v>48MED</v>
          </cell>
          <cell r="G4872" t="str">
            <v>B</v>
          </cell>
          <cell r="H4872">
            <v>0</v>
          </cell>
        </row>
        <row r="4873">
          <cell r="A4873" t="str">
            <v>1;79;L;B;48S 15-25</v>
          </cell>
          <cell r="B4873">
            <v>730069</v>
          </cell>
          <cell r="C4873" t="str">
            <v>L</v>
          </cell>
          <cell r="D4873" t="str">
            <v>PORTUGAL</v>
          </cell>
          <cell r="E4873" t="str">
            <v>79</v>
          </cell>
          <cell r="F4873" t="str">
            <v>48S 15-25</v>
          </cell>
          <cell r="G4873" t="str">
            <v>B</v>
          </cell>
          <cell r="H4873">
            <v>0</v>
          </cell>
        </row>
        <row r="4874">
          <cell r="A4874" t="str">
            <v>1;79;L;B;48SMA</v>
          </cell>
          <cell r="B4874">
            <v>730069</v>
          </cell>
          <cell r="C4874" t="str">
            <v>L</v>
          </cell>
          <cell r="D4874" t="str">
            <v>PORTUGAL</v>
          </cell>
          <cell r="E4874" t="str">
            <v>79</v>
          </cell>
          <cell r="F4874" t="str">
            <v>48SMA</v>
          </cell>
          <cell r="G4874" t="str">
            <v>B</v>
          </cell>
          <cell r="H4874">
            <v>0</v>
          </cell>
        </row>
        <row r="4875">
          <cell r="A4875" t="str">
            <v>1;79;L;B;96M 15-25</v>
          </cell>
          <cell r="B4875">
            <v>730069</v>
          </cell>
          <cell r="C4875" t="str">
            <v>L</v>
          </cell>
          <cell r="D4875" t="str">
            <v>PORTUGAL</v>
          </cell>
          <cell r="E4875" t="str">
            <v>79</v>
          </cell>
          <cell r="F4875" t="str">
            <v>96M 15-25</v>
          </cell>
          <cell r="G4875" t="str">
            <v>B</v>
          </cell>
          <cell r="H4875">
            <v>0</v>
          </cell>
        </row>
        <row r="4876">
          <cell r="A4876" t="str">
            <v>1;79;L;B;96MED</v>
          </cell>
          <cell r="B4876">
            <v>730069</v>
          </cell>
          <cell r="C4876" t="str">
            <v>L</v>
          </cell>
          <cell r="D4876" t="str">
            <v>PORTUGAL</v>
          </cell>
          <cell r="E4876" t="str">
            <v>79</v>
          </cell>
          <cell r="F4876" t="str">
            <v>96MED</v>
          </cell>
          <cell r="G4876" t="str">
            <v>B</v>
          </cell>
          <cell r="H4876">
            <v>0</v>
          </cell>
        </row>
        <row r="4877">
          <cell r="A4877" t="str">
            <v>1;79;L;B;96S 15-25</v>
          </cell>
          <cell r="B4877">
            <v>730069</v>
          </cell>
          <cell r="C4877" t="str">
            <v>L</v>
          </cell>
          <cell r="D4877" t="str">
            <v>PORTUGAL</v>
          </cell>
          <cell r="E4877" t="str">
            <v>79</v>
          </cell>
          <cell r="F4877" t="str">
            <v>96S 15-25</v>
          </cell>
          <cell r="G4877" t="str">
            <v>B</v>
          </cell>
          <cell r="H4877">
            <v>0</v>
          </cell>
        </row>
        <row r="4878">
          <cell r="A4878" t="str">
            <v>1;79;L;B;96SMA</v>
          </cell>
          <cell r="B4878">
            <v>730069</v>
          </cell>
          <cell r="C4878" t="str">
            <v>L</v>
          </cell>
          <cell r="D4878" t="str">
            <v>PORTUGAL</v>
          </cell>
          <cell r="E4878" t="str">
            <v>79</v>
          </cell>
          <cell r="F4878" t="str">
            <v>96SMA</v>
          </cell>
          <cell r="G4878" t="str">
            <v>B</v>
          </cell>
          <cell r="H4878">
            <v>0</v>
          </cell>
        </row>
        <row r="4879">
          <cell r="A4879" t="str">
            <v>1;E;M;B;BAG</v>
          </cell>
          <cell r="B4879">
            <v>730069</v>
          </cell>
          <cell r="C4879" t="str">
            <v>M</v>
          </cell>
          <cell r="D4879" t="str">
            <v>MELILLA</v>
          </cell>
          <cell r="E4879" t="str">
            <v>E</v>
          </cell>
          <cell r="F4879" t="str">
            <v>BAG</v>
          </cell>
          <cell r="G4879" t="str">
            <v>B</v>
          </cell>
          <cell r="H4879">
            <v>0</v>
          </cell>
        </row>
        <row r="4880">
          <cell r="A4880" t="str">
            <v>1;E;M;B;PAQ00a02</v>
          </cell>
          <cell r="B4880">
            <v>730069</v>
          </cell>
          <cell r="C4880" t="str">
            <v>M</v>
          </cell>
          <cell r="D4880" t="str">
            <v>MELILLA</v>
          </cell>
          <cell r="E4880" t="str">
            <v>E</v>
          </cell>
          <cell r="F4880" t="str">
            <v>PAQ00a02</v>
          </cell>
          <cell r="G4880" t="str">
            <v>B</v>
          </cell>
          <cell r="H4880">
            <v>0</v>
          </cell>
        </row>
        <row r="4881">
          <cell r="A4881" t="str">
            <v>1;E;M;B;PAQ02a04</v>
          </cell>
          <cell r="B4881">
            <v>730069</v>
          </cell>
          <cell r="C4881" t="str">
            <v>M</v>
          </cell>
          <cell r="D4881" t="str">
            <v>MELILLA</v>
          </cell>
          <cell r="E4881" t="str">
            <v>E</v>
          </cell>
          <cell r="F4881" t="str">
            <v>PAQ02a04</v>
          </cell>
          <cell r="G4881" t="str">
            <v>B</v>
          </cell>
          <cell r="H4881">
            <v>0</v>
          </cell>
        </row>
        <row r="4882">
          <cell r="A4882" t="str">
            <v>1;E;M;B;PAQ04a06</v>
          </cell>
          <cell r="B4882">
            <v>730069</v>
          </cell>
          <cell r="C4882" t="str">
            <v>M</v>
          </cell>
          <cell r="D4882" t="str">
            <v>MELILLA</v>
          </cell>
          <cell r="E4882" t="str">
            <v>E</v>
          </cell>
          <cell r="F4882" t="str">
            <v>PAQ04a06</v>
          </cell>
          <cell r="G4882" t="str">
            <v>B</v>
          </cell>
          <cell r="H4882">
            <v>0</v>
          </cell>
        </row>
        <row r="4883">
          <cell r="A4883" t="str">
            <v>1;E;M;B;PAQ06a08</v>
          </cell>
          <cell r="B4883">
            <v>730069</v>
          </cell>
          <cell r="C4883" t="str">
            <v>M</v>
          </cell>
          <cell r="D4883" t="str">
            <v>MELILLA</v>
          </cell>
          <cell r="E4883" t="str">
            <v>E</v>
          </cell>
          <cell r="F4883" t="str">
            <v>PAQ06a08</v>
          </cell>
          <cell r="G4883" t="str">
            <v>B</v>
          </cell>
          <cell r="H4883">
            <v>0</v>
          </cell>
        </row>
        <row r="4884">
          <cell r="A4884" t="str">
            <v>1;E;M;B;PAQ08a10</v>
          </cell>
          <cell r="B4884">
            <v>730069</v>
          </cell>
          <cell r="C4884" t="str">
            <v>M</v>
          </cell>
          <cell r="D4884" t="str">
            <v>MELILLA</v>
          </cell>
          <cell r="E4884" t="str">
            <v>E</v>
          </cell>
          <cell r="F4884" t="str">
            <v>PAQ08a10</v>
          </cell>
          <cell r="G4884" t="str">
            <v>B</v>
          </cell>
          <cell r="H4884">
            <v>0</v>
          </cell>
        </row>
        <row r="4885">
          <cell r="A4885" t="str">
            <v>1;E;M;B;PAQ10a12</v>
          </cell>
          <cell r="B4885">
            <v>730069</v>
          </cell>
          <cell r="C4885" t="str">
            <v>M</v>
          </cell>
          <cell r="D4885" t="str">
            <v>MELILLA</v>
          </cell>
          <cell r="E4885" t="str">
            <v>E</v>
          </cell>
          <cell r="F4885" t="str">
            <v>PAQ10a12</v>
          </cell>
          <cell r="G4885" t="str">
            <v>B</v>
          </cell>
          <cell r="H4885">
            <v>0</v>
          </cell>
        </row>
        <row r="4886">
          <cell r="A4886" t="str">
            <v>1;E;M;B;PAQ12a14</v>
          </cell>
          <cell r="B4886">
            <v>730069</v>
          </cell>
          <cell r="C4886" t="str">
            <v>M</v>
          </cell>
          <cell r="D4886" t="str">
            <v>MELILLA</v>
          </cell>
          <cell r="E4886" t="str">
            <v>E</v>
          </cell>
          <cell r="F4886" t="str">
            <v>PAQ12a14</v>
          </cell>
          <cell r="G4886" t="str">
            <v>B</v>
          </cell>
          <cell r="H4886">
            <v>0</v>
          </cell>
        </row>
        <row r="4887">
          <cell r="A4887" t="str">
            <v>1;E;M;B;PAQ14a16</v>
          </cell>
          <cell r="B4887">
            <v>730069</v>
          </cell>
          <cell r="C4887" t="str">
            <v>M</v>
          </cell>
          <cell r="D4887" t="str">
            <v>MELILLA</v>
          </cell>
          <cell r="E4887" t="str">
            <v>E</v>
          </cell>
          <cell r="F4887" t="str">
            <v>PAQ14a16</v>
          </cell>
          <cell r="G4887" t="str">
            <v>B</v>
          </cell>
          <cell r="H4887">
            <v>0</v>
          </cell>
        </row>
        <row r="4888">
          <cell r="A4888" t="str">
            <v>1;E;M;B;PAQ16a18</v>
          </cell>
          <cell r="B4888">
            <v>730069</v>
          </cell>
          <cell r="C4888" t="str">
            <v>M</v>
          </cell>
          <cell r="D4888" t="str">
            <v>MELILLA</v>
          </cell>
          <cell r="E4888" t="str">
            <v>E</v>
          </cell>
          <cell r="F4888" t="str">
            <v>PAQ16a18</v>
          </cell>
          <cell r="G4888" t="str">
            <v>B</v>
          </cell>
          <cell r="H4888">
            <v>0</v>
          </cell>
        </row>
        <row r="4889">
          <cell r="A4889" t="str">
            <v>1;E;M;B;PAQ18a20</v>
          </cell>
          <cell r="B4889">
            <v>730069</v>
          </cell>
          <cell r="C4889" t="str">
            <v>M</v>
          </cell>
          <cell r="D4889" t="str">
            <v>MELILLA</v>
          </cell>
          <cell r="E4889" t="str">
            <v>E</v>
          </cell>
          <cell r="F4889" t="str">
            <v>PAQ18a20</v>
          </cell>
          <cell r="G4889" t="str">
            <v>B</v>
          </cell>
          <cell r="H4889">
            <v>0</v>
          </cell>
        </row>
        <row r="4890">
          <cell r="A4890" t="str">
            <v>1;E;M;B;PAQ20a22</v>
          </cell>
          <cell r="B4890">
            <v>730069</v>
          </cell>
          <cell r="C4890" t="str">
            <v>M</v>
          </cell>
          <cell r="D4890" t="str">
            <v>MELILLA</v>
          </cell>
          <cell r="E4890" t="str">
            <v>E</v>
          </cell>
          <cell r="F4890" t="str">
            <v>PAQ20a22</v>
          </cell>
          <cell r="G4890" t="str">
            <v>B</v>
          </cell>
          <cell r="H4890">
            <v>0</v>
          </cell>
        </row>
        <row r="4891">
          <cell r="A4891" t="str">
            <v>1;E;M;B;PAQ22a24</v>
          </cell>
          <cell r="B4891">
            <v>730069</v>
          </cell>
          <cell r="C4891" t="str">
            <v>M</v>
          </cell>
          <cell r="D4891" t="str">
            <v>MELILLA</v>
          </cell>
          <cell r="E4891" t="str">
            <v>E</v>
          </cell>
          <cell r="F4891" t="str">
            <v>PAQ22a24</v>
          </cell>
          <cell r="G4891" t="str">
            <v>B</v>
          </cell>
          <cell r="H4891">
            <v>0</v>
          </cell>
        </row>
        <row r="4892">
          <cell r="A4892" t="str">
            <v>1;E;M;B;PAQ24a26</v>
          </cell>
          <cell r="B4892">
            <v>730069</v>
          </cell>
          <cell r="C4892" t="str">
            <v>M</v>
          </cell>
          <cell r="D4892" t="str">
            <v>MELILLA</v>
          </cell>
          <cell r="E4892" t="str">
            <v>E</v>
          </cell>
          <cell r="F4892" t="str">
            <v>PAQ24a26</v>
          </cell>
          <cell r="G4892" t="str">
            <v>B</v>
          </cell>
          <cell r="H4892">
            <v>0</v>
          </cell>
        </row>
        <row r="4893">
          <cell r="A4893" t="str">
            <v>1;E;M;B;PAQ26a28</v>
          </cell>
          <cell r="B4893">
            <v>730069</v>
          </cell>
          <cell r="C4893" t="str">
            <v>M</v>
          </cell>
          <cell r="D4893" t="str">
            <v>MELILLA</v>
          </cell>
          <cell r="E4893" t="str">
            <v>E</v>
          </cell>
          <cell r="F4893" t="str">
            <v>PAQ26a28</v>
          </cell>
          <cell r="G4893" t="str">
            <v>B</v>
          </cell>
          <cell r="H4893">
            <v>0</v>
          </cell>
        </row>
        <row r="4894">
          <cell r="A4894" t="str">
            <v>1;E;M;B;PAQ28a30</v>
          </cell>
          <cell r="B4894">
            <v>730069</v>
          </cell>
          <cell r="C4894" t="str">
            <v>M</v>
          </cell>
          <cell r="D4894" t="str">
            <v>MELILLA</v>
          </cell>
          <cell r="E4894" t="str">
            <v>E</v>
          </cell>
          <cell r="F4894" t="str">
            <v>PAQ28a30</v>
          </cell>
          <cell r="G4894" t="str">
            <v>B</v>
          </cell>
          <cell r="H4894">
            <v>0</v>
          </cell>
        </row>
        <row r="4895">
          <cell r="A4895" t="str">
            <v>1;E;M;B;PAQ30a32</v>
          </cell>
          <cell r="B4895">
            <v>730069</v>
          </cell>
          <cell r="C4895" t="str">
            <v>M</v>
          </cell>
          <cell r="D4895" t="str">
            <v>MELILLA</v>
          </cell>
          <cell r="E4895" t="str">
            <v>E</v>
          </cell>
          <cell r="F4895" t="str">
            <v>PAQ30a32</v>
          </cell>
          <cell r="G4895" t="str">
            <v>B</v>
          </cell>
          <cell r="H4895">
            <v>0</v>
          </cell>
        </row>
        <row r="4896">
          <cell r="A4896" t="str">
            <v>1;E;M;B;PAQ32a34</v>
          </cell>
          <cell r="B4896">
            <v>730069</v>
          </cell>
          <cell r="C4896" t="str">
            <v>M</v>
          </cell>
          <cell r="D4896" t="str">
            <v>MELILLA</v>
          </cell>
          <cell r="E4896" t="str">
            <v>E</v>
          </cell>
          <cell r="F4896" t="str">
            <v>PAQ32a34</v>
          </cell>
          <cell r="G4896" t="str">
            <v>B</v>
          </cell>
          <cell r="H4896">
            <v>0</v>
          </cell>
        </row>
        <row r="4897">
          <cell r="A4897" t="str">
            <v>1;E;M;B;PAQ34a36</v>
          </cell>
          <cell r="B4897">
            <v>730069</v>
          </cell>
          <cell r="C4897" t="str">
            <v>M</v>
          </cell>
          <cell r="D4897" t="str">
            <v>MELILLA</v>
          </cell>
          <cell r="E4897" t="str">
            <v>E</v>
          </cell>
          <cell r="F4897" t="str">
            <v>PAQ34a36</v>
          </cell>
          <cell r="G4897" t="str">
            <v>B</v>
          </cell>
          <cell r="H4897">
            <v>0</v>
          </cell>
        </row>
        <row r="4898">
          <cell r="A4898" t="str">
            <v>1;E;M;B;PAQ36a38</v>
          </cell>
          <cell r="B4898">
            <v>730069</v>
          </cell>
          <cell r="C4898" t="str">
            <v>M</v>
          </cell>
          <cell r="D4898" t="str">
            <v>MELILLA</v>
          </cell>
          <cell r="E4898" t="str">
            <v>E</v>
          </cell>
          <cell r="F4898" t="str">
            <v>PAQ36a38</v>
          </cell>
          <cell r="G4898" t="str">
            <v>B</v>
          </cell>
          <cell r="H4898">
            <v>0</v>
          </cell>
        </row>
        <row r="4899">
          <cell r="A4899" t="str">
            <v>1;E;M;F;</v>
          </cell>
          <cell r="B4899">
            <v>730069</v>
          </cell>
          <cell r="C4899" t="str">
            <v>M</v>
          </cell>
          <cell r="D4899" t="str">
            <v>MELILLA</v>
          </cell>
          <cell r="E4899" t="str">
            <v>E</v>
          </cell>
          <cell r="F4899" t="str">
            <v/>
          </cell>
          <cell r="G4899" t="str">
            <v>F</v>
          </cell>
          <cell r="H4899">
            <v>0</v>
          </cell>
        </row>
        <row r="4900">
          <cell r="A4900" t="str">
            <v>1;E;M;B;PAQ38a40</v>
          </cell>
          <cell r="B4900">
            <v>730069</v>
          </cell>
          <cell r="C4900" t="str">
            <v>M</v>
          </cell>
          <cell r="D4900" t="str">
            <v>MELILLA</v>
          </cell>
          <cell r="E4900" t="str">
            <v>E</v>
          </cell>
          <cell r="F4900" t="str">
            <v>PAQ38a40</v>
          </cell>
          <cell r="G4900" t="str">
            <v>B</v>
          </cell>
          <cell r="H4900">
            <v>0</v>
          </cell>
        </row>
        <row r="4901">
          <cell r="A4901" t="str">
            <v>1;E;M;E;</v>
          </cell>
          <cell r="B4901">
            <v>730069</v>
          </cell>
          <cell r="C4901" t="str">
            <v>M</v>
          </cell>
          <cell r="D4901" t="str">
            <v>MELILLA</v>
          </cell>
          <cell r="E4901" t="str">
            <v>E</v>
          </cell>
          <cell r="F4901" t="str">
            <v/>
          </cell>
          <cell r="G4901" t="str">
            <v>E</v>
          </cell>
          <cell r="H4901">
            <v>0</v>
          </cell>
        </row>
        <row r="4902">
          <cell r="A4902" t="str">
            <v>1;E;M;P;</v>
          </cell>
          <cell r="B4902">
            <v>730069</v>
          </cell>
          <cell r="C4902" t="str">
            <v>M</v>
          </cell>
          <cell r="D4902" t="str">
            <v>MELILLA</v>
          </cell>
          <cell r="E4902" t="str">
            <v>E</v>
          </cell>
          <cell r="F4902" t="str">
            <v/>
          </cell>
          <cell r="G4902" t="str">
            <v>P</v>
          </cell>
          <cell r="H4902">
            <v>0</v>
          </cell>
        </row>
        <row r="4903">
          <cell r="A4903" t="str">
            <v>1;F;M;B;BAG</v>
          </cell>
          <cell r="B4903">
            <v>730069</v>
          </cell>
          <cell r="C4903" t="str">
            <v>M</v>
          </cell>
          <cell r="D4903" t="str">
            <v>MELILLA</v>
          </cell>
          <cell r="E4903" t="str">
            <v>F</v>
          </cell>
          <cell r="F4903" t="str">
            <v>BAG</v>
          </cell>
          <cell r="G4903" t="str">
            <v>B</v>
          </cell>
          <cell r="H4903">
            <v>0</v>
          </cell>
        </row>
        <row r="4904">
          <cell r="A4904" t="str">
            <v>1;F;M;B;PAQ00a02</v>
          </cell>
          <cell r="B4904">
            <v>730069</v>
          </cell>
          <cell r="C4904" t="str">
            <v>M</v>
          </cell>
          <cell r="D4904" t="str">
            <v>MELILLA</v>
          </cell>
          <cell r="E4904" t="str">
            <v>F</v>
          </cell>
          <cell r="F4904" t="str">
            <v>PAQ00a02</v>
          </cell>
          <cell r="G4904" t="str">
            <v>B</v>
          </cell>
          <cell r="H4904">
            <v>0</v>
          </cell>
        </row>
        <row r="4905">
          <cell r="A4905" t="str">
            <v>1;F;M;B;PAQ02a04</v>
          </cell>
          <cell r="B4905">
            <v>730069</v>
          </cell>
          <cell r="C4905" t="str">
            <v>M</v>
          </cell>
          <cell r="D4905" t="str">
            <v>MELILLA</v>
          </cell>
          <cell r="E4905" t="str">
            <v>F</v>
          </cell>
          <cell r="F4905" t="str">
            <v>PAQ02a04</v>
          </cell>
          <cell r="G4905" t="str">
            <v>B</v>
          </cell>
          <cell r="H4905">
            <v>0</v>
          </cell>
        </row>
        <row r="4906">
          <cell r="A4906" t="str">
            <v>1;F;M;B;PAQ04a06</v>
          </cell>
          <cell r="B4906">
            <v>730069</v>
          </cell>
          <cell r="C4906" t="str">
            <v>M</v>
          </cell>
          <cell r="D4906" t="str">
            <v>MELILLA</v>
          </cell>
          <cell r="E4906" t="str">
            <v>F</v>
          </cell>
          <cell r="F4906" t="str">
            <v>PAQ04a06</v>
          </cell>
          <cell r="G4906" t="str">
            <v>B</v>
          </cell>
          <cell r="H4906">
            <v>0</v>
          </cell>
        </row>
        <row r="4907">
          <cell r="A4907" t="str">
            <v>1;F;M;B;PAQ06a08</v>
          </cell>
          <cell r="B4907">
            <v>730069</v>
          </cell>
          <cell r="C4907" t="str">
            <v>M</v>
          </cell>
          <cell r="D4907" t="str">
            <v>MELILLA</v>
          </cell>
          <cell r="E4907" t="str">
            <v>F</v>
          </cell>
          <cell r="F4907" t="str">
            <v>PAQ06a08</v>
          </cell>
          <cell r="G4907" t="str">
            <v>B</v>
          </cell>
          <cell r="H4907">
            <v>0</v>
          </cell>
        </row>
        <row r="4908">
          <cell r="A4908" t="str">
            <v>1;F;M;B;PAQ08a10</v>
          </cell>
          <cell r="B4908">
            <v>730069</v>
          </cell>
          <cell r="C4908" t="str">
            <v>M</v>
          </cell>
          <cell r="D4908" t="str">
            <v>MELILLA</v>
          </cell>
          <cell r="E4908" t="str">
            <v>F</v>
          </cell>
          <cell r="F4908" t="str">
            <v>PAQ08a10</v>
          </cell>
          <cell r="G4908" t="str">
            <v>B</v>
          </cell>
          <cell r="H4908">
            <v>0</v>
          </cell>
        </row>
        <row r="4909">
          <cell r="A4909" t="str">
            <v>1;F;M;B;PAQ10a12</v>
          </cell>
          <cell r="B4909">
            <v>730069</v>
          </cell>
          <cell r="C4909" t="str">
            <v>M</v>
          </cell>
          <cell r="D4909" t="str">
            <v>MELILLA</v>
          </cell>
          <cell r="E4909" t="str">
            <v>F</v>
          </cell>
          <cell r="F4909" t="str">
            <v>PAQ10a12</v>
          </cell>
          <cell r="G4909" t="str">
            <v>B</v>
          </cell>
          <cell r="H4909">
            <v>0</v>
          </cell>
        </row>
        <row r="4910">
          <cell r="A4910" t="str">
            <v>1;F;M;B;PAQ12a14</v>
          </cell>
          <cell r="B4910">
            <v>730069</v>
          </cell>
          <cell r="C4910" t="str">
            <v>M</v>
          </cell>
          <cell r="D4910" t="str">
            <v>MELILLA</v>
          </cell>
          <cell r="E4910" t="str">
            <v>F</v>
          </cell>
          <cell r="F4910" t="str">
            <v>PAQ12a14</v>
          </cell>
          <cell r="G4910" t="str">
            <v>B</v>
          </cell>
          <cell r="H4910">
            <v>0</v>
          </cell>
        </row>
        <row r="4911">
          <cell r="A4911" t="str">
            <v>1;F;M;B;PAQ14a16</v>
          </cell>
          <cell r="B4911">
            <v>730069</v>
          </cell>
          <cell r="C4911" t="str">
            <v>M</v>
          </cell>
          <cell r="D4911" t="str">
            <v>MELILLA</v>
          </cell>
          <cell r="E4911" t="str">
            <v>F</v>
          </cell>
          <cell r="F4911" t="str">
            <v>PAQ14a16</v>
          </cell>
          <cell r="G4911" t="str">
            <v>B</v>
          </cell>
          <cell r="H4911">
            <v>0</v>
          </cell>
        </row>
        <row r="4912">
          <cell r="A4912" t="str">
            <v>1;F;M;B;PAQ16a18</v>
          </cell>
          <cell r="B4912">
            <v>730069</v>
          </cell>
          <cell r="C4912" t="str">
            <v>M</v>
          </cell>
          <cell r="D4912" t="str">
            <v>MELILLA</v>
          </cell>
          <cell r="E4912" t="str">
            <v>F</v>
          </cell>
          <cell r="F4912" t="str">
            <v>PAQ16a18</v>
          </cell>
          <cell r="G4912" t="str">
            <v>B</v>
          </cell>
          <cell r="H4912">
            <v>0</v>
          </cell>
        </row>
        <row r="4913">
          <cell r="A4913" t="str">
            <v>1;F;M;B;PAQ18a20</v>
          </cell>
          <cell r="B4913">
            <v>730069</v>
          </cell>
          <cell r="C4913" t="str">
            <v>M</v>
          </cell>
          <cell r="D4913" t="str">
            <v>MELILLA</v>
          </cell>
          <cell r="E4913" t="str">
            <v>F</v>
          </cell>
          <cell r="F4913" t="str">
            <v>PAQ18a20</v>
          </cell>
          <cell r="G4913" t="str">
            <v>B</v>
          </cell>
          <cell r="H4913">
            <v>0</v>
          </cell>
        </row>
        <row r="4914">
          <cell r="A4914" t="str">
            <v>1;F;M;B;PAQ20a22</v>
          </cell>
          <cell r="B4914">
            <v>730069</v>
          </cell>
          <cell r="C4914" t="str">
            <v>M</v>
          </cell>
          <cell r="D4914" t="str">
            <v>MELILLA</v>
          </cell>
          <cell r="E4914" t="str">
            <v>F</v>
          </cell>
          <cell r="F4914" t="str">
            <v>PAQ20a22</v>
          </cell>
          <cell r="G4914" t="str">
            <v>B</v>
          </cell>
          <cell r="H4914">
            <v>0</v>
          </cell>
        </row>
        <row r="4915">
          <cell r="A4915" t="str">
            <v>1;F;M;B;PAQ22a24</v>
          </cell>
          <cell r="B4915">
            <v>730069</v>
          </cell>
          <cell r="C4915" t="str">
            <v>M</v>
          </cell>
          <cell r="D4915" t="str">
            <v>MELILLA</v>
          </cell>
          <cell r="E4915" t="str">
            <v>F</v>
          </cell>
          <cell r="F4915" t="str">
            <v>PAQ22a24</v>
          </cell>
          <cell r="G4915" t="str">
            <v>B</v>
          </cell>
          <cell r="H4915">
            <v>0</v>
          </cell>
        </row>
        <row r="4916">
          <cell r="A4916" t="str">
            <v>1;F;M;B;PAQ24a26</v>
          </cell>
          <cell r="B4916">
            <v>730069</v>
          </cell>
          <cell r="C4916" t="str">
            <v>M</v>
          </cell>
          <cell r="D4916" t="str">
            <v>MELILLA</v>
          </cell>
          <cell r="E4916" t="str">
            <v>F</v>
          </cell>
          <cell r="F4916" t="str">
            <v>PAQ24a26</v>
          </cell>
          <cell r="G4916" t="str">
            <v>B</v>
          </cell>
          <cell r="H4916">
            <v>0</v>
          </cell>
        </row>
        <row r="4917">
          <cell r="A4917" t="str">
            <v>1;F;M;B;PAQ26a28</v>
          </cell>
          <cell r="B4917">
            <v>730069</v>
          </cell>
          <cell r="C4917" t="str">
            <v>M</v>
          </cell>
          <cell r="D4917" t="str">
            <v>MELILLA</v>
          </cell>
          <cell r="E4917" t="str">
            <v>F</v>
          </cell>
          <cell r="F4917" t="str">
            <v>PAQ26a28</v>
          </cell>
          <cell r="G4917" t="str">
            <v>B</v>
          </cell>
          <cell r="H4917">
            <v>0</v>
          </cell>
        </row>
        <row r="4918">
          <cell r="A4918" t="str">
            <v>1;F;M;B;PAQ28a30</v>
          </cell>
          <cell r="B4918">
            <v>730069</v>
          </cell>
          <cell r="C4918" t="str">
            <v>M</v>
          </cell>
          <cell r="D4918" t="str">
            <v>MELILLA</v>
          </cell>
          <cell r="E4918" t="str">
            <v>F</v>
          </cell>
          <cell r="F4918" t="str">
            <v>PAQ28a30</v>
          </cell>
          <cell r="G4918" t="str">
            <v>B</v>
          </cell>
          <cell r="H4918">
            <v>0</v>
          </cell>
        </row>
        <row r="4919">
          <cell r="A4919" t="str">
            <v>1;F;M;B;PAQ30a32</v>
          </cell>
          <cell r="B4919">
            <v>730069</v>
          </cell>
          <cell r="C4919" t="str">
            <v>M</v>
          </cell>
          <cell r="D4919" t="str">
            <v>MELILLA</v>
          </cell>
          <cell r="E4919" t="str">
            <v>F</v>
          </cell>
          <cell r="F4919" t="str">
            <v>PAQ30a32</v>
          </cell>
          <cell r="G4919" t="str">
            <v>B</v>
          </cell>
          <cell r="H4919">
            <v>0</v>
          </cell>
        </row>
        <row r="4920">
          <cell r="A4920" t="str">
            <v>1;F;M;B;PAQ32a34</v>
          </cell>
          <cell r="B4920">
            <v>730069</v>
          </cell>
          <cell r="C4920" t="str">
            <v>M</v>
          </cell>
          <cell r="D4920" t="str">
            <v>MELILLA</v>
          </cell>
          <cell r="E4920" t="str">
            <v>F</v>
          </cell>
          <cell r="F4920" t="str">
            <v>PAQ32a34</v>
          </cell>
          <cell r="G4920" t="str">
            <v>B</v>
          </cell>
          <cell r="H4920">
            <v>0</v>
          </cell>
        </row>
        <row r="4921">
          <cell r="A4921" t="str">
            <v>1;F;M;B;PAQ34a36</v>
          </cell>
          <cell r="B4921">
            <v>730069</v>
          </cell>
          <cell r="C4921" t="str">
            <v>M</v>
          </cell>
          <cell r="D4921" t="str">
            <v>MELILLA</v>
          </cell>
          <cell r="E4921" t="str">
            <v>F</v>
          </cell>
          <cell r="F4921" t="str">
            <v>PAQ34a36</v>
          </cell>
          <cell r="G4921" t="str">
            <v>B</v>
          </cell>
          <cell r="H4921">
            <v>0</v>
          </cell>
        </row>
        <row r="4922">
          <cell r="A4922" t="str">
            <v>1;F;M;B;PAQ36a38</v>
          </cell>
          <cell r="B4922">
            <v>730069</v>
          </cell>
          <cell r="C4922" t="str">
            <v>M</v>
          </cell>
          <cell r="D4922" t="str">
            <v>MELILLA</v>
          </cell>
          <cell r="E4922" t="str">
            <v>F</v>
          </cell>
          <cell r="F4922" t="str">
            <v>PAQ36a38</v>
          </cell>
          <cell r="G4922" t="str">
            <v>B</v>
          </cell>
          <cell r="H4922">
            <v>0</v>
          </cell>
        </row>
        <row r="4923">
          <cell r="A4923" t="str">
            <v>1;F;M;B;PAQ38a40</v>
          </cell>
          <cell r="B4923">
            <v>730069</v>
          </cell>
          <cell r="C4923" t="str">
            <v>M</v>
          </cell>
          <cell r="D4923" t="str">
            <v>MELILLA</v>
          </cell>
          <cell r="E4923" t="str">
            <v>F</v>
          </cell>
          <cell r="F4923" t="str">
            <v>PAQ38a40</v>
          </cell>
          <cell r="G4923" t="str">
            <v>B</v>
          </cell>
          <cell r="H4923">
            <v>0</v>
          </cell>
        </row>
        <row r="4924">
          <cell r="A4924" t="str">
            <v>1;F;M;F;</v>
          </cell>
          <cell r="B4924">
            <v>730069</v>
          </cell>
          <cell r="C4924" t="str">
            <v>M</v>
          </cell>
          <cell r="D4924" t="str">
            <v>MELILLA</v>
          </cell>
          <cell r="E4924" t="str">
            <v>F</v>
          </cell>
          <cell r="F4924" t="str">
            <v/>
          </cell>
          <cell r="G4924" t="str">
            <v>F</v>
          </cell>
          <cell r="H4924">
            <v>0</v>
          </cell>
        </row>
        <row r="4925">
          <cell r="A4925" t="str">
            <v>1;F;M;E;</v>
          </cell>
          <cell r="B4925">
            <v>730069</v>
          </cell>
          <cell r="C4925" t="str">
            <v>M</v>
          </cell>
          <cell r="D4925" t="str">
            <v>MELILLA</v>
          </cell>
          <cell r="E4925" t="str">
            <v>F</v>
          </cell>
          <cell r="F4925" t="str">
            <v/>
          </cell>
          <cell r="G4925" t="str">
            <v>E</v>
          </cell>
          <cell r="H4925">
            <v>0</v>
          </cell>
        </row>
        <row r="4926">
          <cell r="A4926" t="str">
            <v>1;F;M;P;</v>
          </cell>
          <cell r="B4926">
            <v>730069</v>
          </cell>
          <cell r="C4926" t="str">
            <v>M</v>
          </cell>
          <cell r="D4926" t="str">
            <v>MELILLA</v>
          </cell>
          <cell r="E4926" t="str">
            <v>F</v>
          </cell>
          <cell r="F4926" t="str">
            <v/>
          </cell>
          <cell r="G4926" t="str">
            <v>P</v>
          </cell>
          <cell r="H4926">
            <v>0</v>
          </cell>
        </row>
        <row r="4927">
          <cell r="A4927" t="str">
            <v>1;G;M;B;BAG</v>
          </cell>
          <cell r="B4927">
            <v>730069</v>
          </cell>
          <cell r="C4927" t="str">
            <v>M</v>
          </cell>
          <cell r="D4927" t="str">
            <v>MELILLA</v>
          </cell>
          <cell r="E4927" t="str">
            <v>G</v>
          </cell>
          <cell r="F4927" t="str">
            <v>BAG</v>
          </cell>
          <cell r="G4927" t="str">
            <v>B</v>
          </cell>
          <cell r="H4927">
            <v>0</v>
          </cell>
        </row>
        <row r="4928">
          <cell r="A4928" t="str">
            <v>1;G;M;B;PAQ00a02</v>
          </cell>
          <cell r="B4928">
            <v>730069</v>
          </cell>
          <cell r="C4928" t="str">
            <v>M</v>
          </cell>
          <cell r="D4928" t="str">
            <v>MELILLA</v>
          </cell>
          <cell r="E4928" t="str">
            <v>G</v>
          </cell>
          <cell r="F4928" t="str">
            <v>PAQ00a02</v>
          </cell>
          <cell r="G4928" t="str">
            <v>B</v>
          </cell>
          <cell r="H4928">
            <v>0</v>
          </cell>
        </row>
        <row r="4929">
          <cell r="A4929" t="str">
            <v>1;G;M;B;PAQ02a04</v>
          </cell>
          <cell r="B4929">
            <v>730069</v>
          </cell>
          <cell r="C4929" t="str">
            <v>M</v>
          </cell>
          <cell r="D4929" t="str">
            <v>MELILLA</v>
          </cell>
          <cell r="E4929" t="str">
            <v>G</v>
          </cell>
          <cell r="F4929" t="str">
            <v>PAQ02a04</v>
          </cell>
          <cell r="G4929" t="str">
            <v>B</v>
          </cell>
          <cell r="H4929">
            <v>0</v>
          </cell>
        </row>
        <row r="4930">
          <cell r="A4930" t="str">
            <v>1;G;M;B;PAQ04a06</v>
          </cell>
          <cell r="B4930">
            <v>730069</v>
          </cell>
          <cell r="C4930" t="str">
            <v>M</v>
          </cell>
          <cell r="D4930" t="str">
            <v>MELILLA</v>
          </cell>
          <cell r="E4930" t="str">
            <v>G</v>
          </cell>
          <cell r="F4930" t="str">
            <v>PAQ04a06</v>
          </cell>
          <cell r="G4930" t="str">
            <v>B</v>
          </cell>
          <cell r="H4930">
            <v>0</v>
          </cell>
        </row>
        <row r="4931">
          <cell r="A4931" t="str">
            <v>1;G;M;B;PAQ06a08</v>
          </cell>
          <cell r="B4931">
            <v>730069</v>
          </cell>
          <cell r="C4931" t="str">
            <v>M</v>
          </cell>
          <cell r="D4931" t="str">
            <v>MELILLA</v>
          </cell>
          <cell r="E4931" t="str">
            <v>G</v>
          </cell>
          <cell r="F4931" t="str">
            <v>PAQ06a08</v>
          </cell>
          <cell r="G4931" t="str">
            <v>B</v>
          </cell>
          <cell r="H4931">
            <v>0</v>
          </cell>
        </row>
        <row r="4932">
          <cell r="A4932" t="str">
            <v>1;G;M;B;PAQ08a10</v>
          </cell>
          <cell r="B4932">
            <v>730069</v>
          </cell>
          <cell r="C4932" t="str">
            <v>M</v>
          </cell>
          <cell r="D4932" t="str">
            <v>MELILLA</v>
          </cell>
          <cell r="E4932" t="str">
            <v>G</v>
          </cell>
          <cell r="F4932" t="str">
            <v>PAQ08a10</v>
          </cell>
          <cell r="G4932" t="str">
            <v>B</v>
          </cell>
          <cell r="H4932">
            <v>0</v>
          </cell>
        </row>
        <row r="4933">
          <cell r="A4933" t="str">
            <v>1;G;M;B;PAQ10a12</v>
          </cell>
          <cell r="B4933">
            <v>730069</v>
          </cell>
          <cell r="C4933" t="str">
            <v>M</v>
          </cell>
          <cell r="D4933" t="str">
            <v>MELILLA</v>
          </cell>
          <cell r="E4933" t="str">
            <v>G</v>
          </cell>
          <cell r="F4933" t="str">
            <v>PAQ10a12</v>
          </cell>
          <cell r="G4933" t="str">
            <v>B</v>
          </cell>
          <cell r="H4933">
            <v>0</v>
          </cell>
        </row>
        <row r="4934">
          <cell r="A4934" t="str">
            <v>1;G;M;B;PAQ12a14</v>
          </cell>
          <cell r="B4934">
            <v>730069</v>
          </cell>
          <cell r="C4934" t="str">
            <v>M</v>
          </cell>
          <cell r="D4934" t="str">
            <v>MELILLA</v>
          </cell>
          <cell r="E4934" t="str">
            <v>G</v>
          </cell>
          <cell r="F4934" t="str">
            <v>PAQ12a14</v>
          </cell>
          <cell r="G4934" t="str">
            <v>B</v>
          </cell>
          <cell r="H4934">
            <v>0</v>
          </cell>
        </row>
        <row r="4935">
          <cell r="A4935" t="str">
            <v>1;G;M;B;PAQ14a16</v>
          </cell>
          <cell r="B4935">
            <v>730069</v>
          </cell>
          <cell r="C4935" t="str">
            <v>M</v>
          </cell>
          <cell r="D4935" t="str">
            <v>MELILLA</v>
          </cell>
          <cell r="E4935" t="str">
            <v>G</v>
          </cell>
          <cell r="F4935" t="str">
            <v>PAQ14a16</v>
          </cell>
          <cell r="G4935" t="str">
            <v>B</v>
          </cell>
          <cell r="H4935">
            <v>0</v>
          </cell>
        </row>
        <row r="4936">
          <cell r="A4936" t="str">
            <v>1;G;M;B;PAQ16a18</v>
          </cell>
          <cell r="B4936">
            <v>730069</v>
          </cell>
          <cell r="C4936" t="str">
            <v>M</v>
          </cell>
          <cell r="D4936" t="str">
            <v>MELILLA</v>
          </cell>
          <cell r="E4936" t="str">
            <v>G</v>
          </cell>
          <cell r="F4936" t="str">
            <v>PAQ16a18</v>
          </cell>
          <cell r="G4936" t="str">
            <v>B</v>
          </cell>
          <cell r="H4936">
            <v>0</v>
          </cell>
        </row>
        <row r="4937">
          <cell r="A4937" t="str">
            <v>1;G;M;B;PAQ18a20</v>
          </cell>
          <cell r="B4937">
            <v>730069</v>
          </cell>
          <cell r="C4937" t="str">
            <v>M</v>
          </cell>
          <cell r="D4937" t="str">
            <v>MELILLA</v>
          </cell>
          <cell r="E4937" t="str">
            <v>G</v>
          </cell>
          <cell r="F4937" t="str">
            <v>PAQ18a20</v>
          </cell>
          <cell r="G4937" t="str">
            <v>B</v>
          </cell>
          <cell r="H4937">
            <v>0</v>
          </cell>
        </row>
        <row r="4938">
          <cell r="A4938" t="str">
            <v>1;G;M;B;PAQ20a22</v>
          </cell>
          <cell r="B4938">
            <v>730069</v>
          </cell>
          <cell r="C4938" t="str">
            <v>M</v>
          </cell>
          <cell r="D4938" t="str">
            <v>MELILLA</v>
          </cell>
          <cell r="E4938" t="str">
            <v>G</v>
          </cell>
          <cell r="F4938" t="str">
            <v>PAQ20a22</v>
          </cell>
          <cell r="G4938" t="str">
            <v>B</v>
          </cell>
          <cell r="H4938">
            <v>0</v>
          </cell>
        </row>
        <row r="4939">
          <cell r="A4939" t="str">
            <v>1;G;M;B;PAQ22a24</v>
          </cell>
          <cell r="B4939">
            <v>730069</v>
          </cell>
          <cell r="C4939" t="str">
            <v>M</v>
          </cell>
          <cell r="D4939" t="str">
            <v>MELILLA</v>
          </cell>
          <cell r="E4939" t="str">
            <v>G</v>
          </cell>
          <cell r="F4939" t="str">
            <v>PAQ22a24</v>
          </cell>
          <cell r="G4939" t="str">
            <v>B</v>
          </cell>
          <cell r="H4939">
            <v>0</v>
          </cell>
        </row>
        <row r="4940">
          <cell r="A4940" t="str">
            <v>1;G;M;B;PAQ24a26</v>
          </cell>
          <cell r="B4940">
            <v>730069</v>
          </cell>
          <cell r="C4940" t="str">
            <v>M</v>
          </cell>
          <cell r="D4940" t="str">
            <v>MELILLA</v>
          </cell>
          <cell r="E4940" t="str">
            <v>G</v>
          </cell>
          <cell r="F4940" t="str">
            <v>PAQ24a26</v>
          </cell>
          <cell r="G4940" t="str">
            <v>B</v>
          </cell>
          <cell r="H4940">
            <v>0</v>
          </cell>
        </row>
        <row r="4941">
          <cell r="A4941" t="str">
            <v>1;G;M;B;PAQ26a28</v>
          </cell>
          <cell r="B4941">
            <v>730069</v>
          </cell>
          <cell r="C4941" t="str">
            <v>M</v>
          </cell>
          <cell r="D4941" t="str">
            <v>MELILLA</v>
          </cell>
          <cell r="E4941" t="str">
            <v>G</v>
          </cell>
          <cell r="F4941" t="str">
            <v>PAQ26a28</v>
          </cell>
          <cell r="G4941" t="str">
            <v>B</v>
          </cell>
          <cell r="H4941">
            <v>0</v>
          </cell>
        </row>
        <row r="4942">
          <cell r="A4942" t="str">
            <v>1;G;M;B;PAQ28a30</v>
          </cell>
          <cell r="B4942">
            <v>730069</v>
          </cell>
          <cell r="C4942" t="str">
            <v>M</v>
          </cell>
          <cell r="D4942" t="str">
            <v>MELILLA</v>
          </cell>
          <cell r="E4942" t="str">
            <v>G</v>
          </cell>
          <cell r="F4942" t="str">
            <v>PAQ28a30</v>
          </cell>
          <cell r="G4942" t="str">
            <v>B</v>
          </cell>
          <cell r="H4942">
            <v>0</v>
          </cell>
        </row>
        <row r="4943">
          <cell r="A4943" t="str">
            <v>1;G;M;B;PAQ30a32</v>
          </cell>
          <cell r="B4943">
            <v>730069</v>
          </cell>
          <cell r="C4943" t="str">
            <v>M</v>
          </cell>
          <cell r="D4943" t="str">
            <v>MELILLA</v>
          </cell>
          <cell r="E4943" t="str">
            <v>G</v>
          </cell>
          <cell r="F4943" t="str">
            <v>PAQ30a32</v>
          </cell>
          <cell r="G4943" t="str">
            <v>B</v>
          </cell>
          <cell r="H4943">
            <v>0</v>
          </cell>
        </row>
        <row r="4944">
          <cell r="A4944" t="str">
            <v>1;G;M;B;PAQ32a34</v>
          </cell>
          <cell r="B4944">
            <v>730069</v>
          </cell>
          <cell r="C4944" t="str">
            <v>M</v>
          </cell>
          <cell r="D4944" t="str">
            <v>MELILLA</v>
          </cell>
          <cell r="E4944" t="str">
            <v>G</v>
          </cell>
          <cell r="F4944" t="str">
            <v>PAQ32a34</v>
          </cell>
          <cell r="G4944" t="str">
            <v>B</v>
          </cell>
          <cell r="H4944">
            <v>0</v>
          </cell>
        </row>
        <row r="4945">
          <cell r="A4945" t="str">
            <v>1;G;M;B;PAQ34a36</v>
          </cell>
          <cell r="B4945">
            <v>730069</v>
          </cell>
          <cell r="C4945" t="str">
            <v>M</v>
          </cell>
          <cell r="D4945" t="str">
            <v>MELILLA</v>
          </cell>
          <cell r="E4945" t="str">
            <v>G</v>
          </cell>
          <cell r="F4945" t="str">
            <v>PAQ34a36</v>
          </cell>
          <cell r="G4945" t="str">
            <v>B</v>
          </cell>
          <cell r="H4945">
            <v>0</v>
          </cell>
        </row>
        <row r="4946">
          <cell r="A4946" t="str">
            <v>1;G;M;B;PAQ36a38</v>
          </cell>
          <cell r="B4946">
            <v>730069</v>
          </cell>
          <cell r="C4946" t="str">
            <v>M</v>
          </cell>
          <cell r="D4946" t="str">
            <v>MELILLA</v>
          </cell>
          <cell r="E4946" t="str">
            <v>G</v>
          </cell>
          <cell r="F4946" t="str">
            <v>PAQ36a38</v>
          </cell>
          <cell r="G4946" t="str">
            <v>B</v>
          </cell>
          <cell r="H4946">
            <v>0</v>
          </cell>
        </row>
        <row r="4947">
          <cell r="A4947" t="str">
            <v>1;G;M;F;</v>
          </cell>
          <cell r="B4947">
            <v>730069</v>
          </cell>
          <cell r="C4947" t="str">
            <v>M</v>
          </cell>
          <cell r="D4947" t="str">
            <v>MELILLA</v>
          </cell>
          <cell r="E4947" t="str">
            <v>G</v>
          </cell>
          <cell r="F4947" t="str">
            <v/>
          </cell>
          <cell r="G4947" t="str">
            <v>F</v>
          </cell>
          <cell r="H4947">
            <v>0</v>
          </cell>
        </row>
        <row r="4948">
          <cell r="A4948" t="str">
            <v>1;G;M;B;PAQ38a40</v>
          </cell>
          <cell r="B4948">
            <v>730069</v>
          </cell>
          <cell r="C4948" t="str">
            <v>M</v>
          </cell>
          <cell r="D4948" t="str">
            <v>MELILLA</v>
          </cell>
          <cell r="E4948" t="str">
            <v>G</v>
          </cell>
          <cell r="F4948" t="str">
            <v>PAQ38a40</v>
          </cell>
          <cell r="G4948" t="str">
            <v>B</v>
          </cell>
          <cell r="H4948">
            <v>0</v>
          </cell>
        </row>
        <row r="4949">
          <cell r="A4949" t="str">
            <v>1;G;M;E;</v>
          </cell>
          <cell r="B4949">
            <v>730069</v>
          </cell>
          <cell r="C4949" t="str">
            <v>M</v>
          </cell>
          <cell r="D4949" t="str">
            <v>MELILLA</v>
          </cell>
          <cell r="E4949" t="str">
            <v>G</v>
          </cell>
          <cell r="F4949" t="str">
            <v/>
          </cell>
          <cell r="G4949" t="str">
            <v>E</v>
          </cell>
          <cell r="H4949">
            <v>0</v>
          </cell>
        </row>
        <row r="4950">
          <cell r="A4950" t="str">
            <v>1;G;M;P;</v>
          </cell>
          <cell r="B4950">
            <v>730069</v>
          </cell>
          <cell r="C4950" t="str">
            <v>M</v>
          </cell>
          <cell r="D4950" t="str">
            <v>MELILLA</v>
          </cell>
          <cell r="E4950" t="str">
            <v>G</v>
          </cell>
          <cell r="F4950" t="str">
            <v/>
          </cell>
          <cell r="G4950" t="str">
            <v>P</v>
          </cell>
          <cell r="H4950">
            <v>0</v>
          </cell>
        </row>
        <row r="4951">
          <cell r="A4951" t="str">
            <v>1;01;M;B;BAG</v>
          </cell>
          <cell r="B4951">
            <v>730069</v>
          </cell>
          <cell r="C4951" t="str">
            <v>M</v>
          </cell>
          <cell r="D4951" t="str">
            <v>MELILLA</v>
          </cell>
          <cell r="E4951" t="str">
            <v>01</v>
          </cell>
          <cell r="F4951" t="str">
            <v>BAG</v>
          </cell>
          <cell r="G4951" t="str">
            <v>B</v>
          </cell>
          <cell r="H4951">
            <v>21.55</v>
          </cell>
        </row>
        <row r="4952">
          <cell r="A4952" t="str">
            <v>1;01;M;B;DOCS</v>
          </cell>
          <cell r="B4952">
            <v>730069</v>
          </cell>
          <cell r="C4952" t="str">
            <v>M</v>
          </cell>
          <cell r="D4952" t="str">
            <v>MELILLA</v>
          </cell>
          <cell r="E4952" t="str">
            <v>01</v>
          </cell>
          <cell r="F4952" t="str">
            <v>DOCS</v>
          </cell>
          <cell r="G4952" t="str">
            <v>B</v>
          </cell>
          <cell r="H4952">
            <v>14.2</v>
          </cell>
        </row>
        <row r="4953">
          <cell r="A4953" t="str">
            <v>1;01;M;B;PAQ00a02</v>
          </cell>
          <cell r="B4953">
            <v>730069</v>
          </cell>
          <cell r="C4953" t="str">
            <v>M</v>
          </cell>
          <cell r="D4953" t="str">
            <v>MELILLA</v>
          </cell>
          <cell r="E4953" t="str">
            <v>01</v>
          </cell>
          <cell r="F4953" t="str">
            <v>PAQ00a02</v>
          </cell>
          <cell r="G4953" t="str">
            <v>B</v>
          </cell>
          <cell r="H4953">
            <v>25.16</v>
          </cell>
        </row>
        <row r="4954">
          <cell r="A4954" t="str">
            <v>1;01;M;B;PAQ02a04</v>
          </cell>
          <cell r="B4954">
            <v>730069</v>
          </cell>
          <cell r="C4954" t="str">
            <v>M</v>
          </cell>
          <cell r="D4954" t="str">
            <v>MELILLA</v>
          </cell>
          <cell r="E4954" t="str">
            <v>01</v>
          </cell>
          <cell r="F4954" t="str">
            <v>PAQ02a04</v>
          </cell>
          <cell r="G4954" t="str">
            <v>B</v>
          </cell>
          <cell r="H4954">
            <v>42.04</v>
          </cell>
        </row>
        <row r="4955">
          <cell r="A4955" t="str">
            <v>1;01;M;B;PAQ04a06</v>
          </cell>
          <cell r="B4955">
            <v>730069</v>
          </cell>
          <cell r="C4955" t="str">
            <v>M</v>
          </cell>
          <cell r="D4955" t="str">
            <v>MELILLA</v>
          </cell>
          <cell r="E4955" t="str">
            <v>01</v>
          </cell>
          <cell r="F4955" t="str">
            <v>PAQ04a06</v>
          </cell>
          <cell r="G4955" t="str">
            <v>B</v>
          </cell>
          <cell r="H4955">
            <v>62.04</v>
          </cell>
        </row>
        <row r="4956">
          <cell r="A4956" t="str">
            <v>1;01;M;B;PAQ06a08</v>
          </cell>
          <cell r="B4956">
            <v>730069</v>
          </cell>
          <cell r="C4956" t="str">
            <v>M</v>
          </cell>
          <cell r="D4956" t="str">
            <v>MELILLA</v>
          </cell>
          <cell r="E4956" t="str">
            <v>01</v>
          </cell>
          <cell r="F4956" t="str">
            <v>PAQ06a08</v>
          </cell>
          <cell r="G4956" t="str">
            <v>B</v>
          </cell>
          <cell r="H4956">
            <v>82.06</v>
          </cell>
        </row>
        <row r="4957">
          <cell r="A4957" t="str">
            <v>1;01;M;B;PAQ08a10</v>
          </cell>
          <cell r="B4957">
            <v>730069</v>
          </cell>
          <cell r="C4957" t="str">
            <v>M</v>
          </cell>
          <cell r="D4957" t="str">
            <v>MELILLA</v>
          </cell>
          <cell r="E4957" t="str">
            <v>01</v>
          </cell>
          <cell r="F4957" t="str">
            <v>PAQ08a10</v>
          </cell>
          <cell r="G4957" t="str">
            <v>B</v>
          </cell>
          <cell r="H4957">
            <v>102.07</v>
          </cell>
        </row>
        <row r="4958">
          <cell r="A4958" t="str">
            <v>1;01;M;B;PAQ10a12</v>
          </cell>
          <cell r="B4958">
            <v>730069</v>
          </cell>
          <cell r="C4958" t="str">
            <v>M</v>
          </cell>
          <cell r="D4958" t="str">
            <v>MELILLA</v>
          </cell>
          <cell r="E4958" t="str">
            <v>01</v>
          </cell>
          <cell r="F4958" t="str">
            <v>PAQ10a12</v>
          </cell>
          <cell r="G4958" t="str">
            <v>B</v>
          </cell>
          <cell r="H4958">
            <v>122.08</v>
          </cell>
        </row>
        <row r="4959">
          <cell r="A4959" t="str">
            <v>1;01;M;B;PAQ12a14</v>
          </cell>
          <cell r="B4959">
            <v>730069</v>
          </cell>
          <cell r="C4959" t="str">
            <v>M</v>
          </cell>
          <cell r="D4959" t="str">
            <v>MELILLA</v>
          </cell>
          <cell r="E4959" t="str">
            <v>01</v>
          </cell>
          <cell r="F4959" t="str">
            <v>PAQ12a14</v>
          </cell>
          <cell r="G4959" t="str">
            <v>B</v>
          </cell>
          <cell r="H4959">
            <v>142.09</v>
          </cell>
        </row>
        <row r="4960">
          <cell r="A4960" t="str">
            <v>1;01;M;B;PAQ14a16</v>
          </cell>
          <cell r="B4960">
            <v>730069</v>
          </cell>
          <cell r="C4960" t="str">
            <v>M</v>
          </cell>
          <cell r="D4960" t="str">
            <v>MELILLA</v>
          </cell>
          <cell r="E4960" t="str">
            <v>01</v>
          </cell>
          <cell r="F4960" t="str">
            <v>PAQ14a16</v>
          </cell>
          <cell r="G4960" t="str">
            <v>B</v>
          </cell>
          <cell r="H4960">
            <v>162.1</v>
          </cell>
        </row>
        <row r="4961">
          <cell r="A4961" t="str">
            <v>1;01;M;B;PAQ16a18</v>
          </cell>
          <cell r="B4961">
            <v>730069</v>
          </cell>
          <cell r="C4961" t="str">
            <v>M</v>
          </cell>
          <cell r="D4961" t="str">
            <v>MELILLA</v>
          </cell>
          <cell r="E4961" t="str">
            <v>01</v>
          </cell>
          <cell r="F4961" t="str">
            <v>PAQ16a18</v>
          </cell>
          <cell r="G4961" t="str">
            <v>B</v>
          </cell>
          <cell r="H4961">
            <v>182.11</v>
          </cell>
        </row>
        <row r="4962">
          <cell r="A4962" t="str">
            <v>1;01;M;B;PAQ18a20</v>
          </cell>
          <cell r="B4962">
            <v>730069</v>
          </cell>
          <cell r="C4962" t="str">
            <v>M</v>
          </cell>
          <cell r="D4962" t="str">
            <v>MELILLA</v>
          </cell>
          <cell r="E4962" t="str">
            <v>01</v>
          </cell>
          <cell r="F4962" t="str">
            <v>PAQ18a20</v>
          </cell>
          <cell r="G4962" t="str">
            <v>B</v>
          </cell>
          <cell r="H4962">
            <v>202.13</v>
          </cell>
        </row>
        <row r="4963">
          <cell r="A4963" t="str">
            <v>1;01;M;B;PAQ20a22</v>
          </cell>
          <cell r="B4963">
            <v>730069</v>
          </cell>
          <cell r="C4963" t="str">
            <v>M</v>
          </cell>
          <cell r="D4963" t="str">
            <v>MELILLA</v>
          </cell>
          <cell r="E4963" t="str">
            <v>01</v>
          </cell>
          <cell r="F4963" t="str">
            <v>PAQ20a22</v>
          </cell>
          <cell r="G4963" t="str">
            <v>B</v>
          </cell>
          <cell r="H4963">
            <v>222.13</v>
          </cell>
        </row>
        <row r="4964">
          <cell r="A4964" t="str">
            <v>1;01;M;B;PAQ22a24</v>
          </cell>
          <cell r="B4964">
            <v>730069</v>
          </cell>
          <cell r="C4964" t="str">
            <v>M</v>
          </cell>
          <cell r="D4964" t="str">
            <v>MELILLA</v>
          </cell>
          <cell r="E4964" t="str">
            <v>01</v>
          </cell>
          <cell r="F4964" t="str">
            <v>PAQ22a24</v>
          </cell>
          <cell r="G4964" t="str">
            <v>B</v>
          </cell>
          <cell r="H4964">
            <v>242.14</v>
          </cell>
        </row>
        <row r="4965">
          <cell r="A4965" t="str">
            <v>1;01;M;B;PAQ24a26</v>
          </cell>
          <cell r="B4965">
            <v>730069</v>
          </cell>
          <cell r="C4965" t="str">
            <v>M</v>
          </cell>
          <cell r="D4965" t="str">
            <v>MELILLA</v>
          </cell>
          <cell r="E4965" t="str">
            <v>01</v>
          </cell>
          <cell r="F4965" t="str">
            <v>PAQ24a26</v>
          </cell>
          <cell r="G4965" t="str">
            <v>B</v>
          </cell>
          <cell r="H4965">
            <v>262.14999999999998</v>
          </cell>
        </row>
        <row r="4966">
          <cell r="A4966" t="str">
            <v>1;01;M;B;PAQ26a28</v>
          </cell>
          <cell r="B4966">
            <v>730069</v>
          </cell>
          <cell r="C4966" t="str">
            <v>M</v>
          </cell>
          <cell r="D4966" t="str">
            <v>MELILLA</v>
          </cell>
          <cell r="E4966" t="str">
            <v>01</v>
          </cell>
          <cell r="F4966" t="str">
            <v>PAQ26a28</v>
          </cell>
          <cell r="G4966" t="str">
            <v>B</v>
          </cell>
          <cell r="H4966">
            <v>282.17</v>
          </cell>
        </row>
        <row r="4967">
          <cell r="A4967" t="str">
            <v>1;01;M;B;PAQ28a30</v>
          </cell>
          <cell r="B4967">
            <v>730069</v>
          </cell>
          <cell r="C4967" t="str">
            <v>M</v>
          </cell>
          <cell r="D4967" t="str">
            <v>MELILLA</v>
          </cell>
          <cell r="E4967" t="str">
            <v>01</v>
          </cell>
          <cell r="F4967" t="str">
            <v>PAQ28a30</v>
          </cell>
          <cell r="G4967" t="str">
            <v>B</v>
          </cell>
          <cell r="H4967">
            <v>302.17</v>
          </cell>
        </row>
        <row r="4968">
          <cell r="A4968" t="str">
            <v>1;01;M;B;PAQ30a32</v>
          </cell>
          <cell r="B4968">
            <v>730069</v>
          </cell>
          <cell r="C4968" t="str">
            <v>M</v>
          </cell>
          <cell r="D4968" t="str">
            <v>MELILLA</v>
          </cell>
          <cell r="E4968" t="str">
            <v>01</v>
          </cell>
          <cell r="F4968" t="str">
            <v>PAQ30a32</v>
          </cell>
          <cell r="G4968" t="str">
            <v>B</v>
          </cell>
          <cell r="H4968">
            <v>322.18</v>
          </cell>
        </row>
        <row r="4969">
          <cell r="A4969" t="str">
            <v>1;01;M;B;PAQ32a34</v>
          </cell>
          <cell r="B4969">
            <v>730069</v>
          </cell>
          <cell r="C4969" t="str">
            <v>M</v>
          </cell>
          <cell r="D4969" t="str">
            <v>MELILLA</v>
          </cell>
          <cell r="E4969" t="str">
            <v>01</v>
          </cell>
          <cell r="F4969" t="str">
            <v>PAQ32a34</v>
          </cell>
          <cell r="G4969" t="str">
            <v>B</v>
          </cell>
          <cell r="H4969">
            <v>342.2</v>
          </cell>
        </row>
        <row r="4970">
          <cell r="A4970" t="str">
            <v>1;01;M;B;PAQ34a36</v>
          </cell>
          <cell r="B4970">
            <v>730069</v>
          </cell>
          <cell r="C4970" t="str">
            <v>M</v>
          </cell>
          <cell r="D4970" t="str">
            <v>MELILLA</v>
          </cell>
          <cell r="E4970" t="str">
            <v>01</v>
          </cell>
          <cell r="F4970" t="str">
            <v>PAQ34a36</v>
          </cell>
          <cell r="G4970" t="str">
            <v>B</v>
          </cell>
          <cell r="H4970">
            <v>362.21</v>
          </cell>
        </row>
        <row r="4971">
          <cell r="A4971" t="str">
            <v>1;01;M;B;PAQ36a38</v>
          </cell>
          <cell r="B4971">
            <v>730069</v>
          </cell>
          <cell r="C4971" t="str">
            <v>M</v>
          </cell>
          <cell r="D4971" t="str">
            <v>MELILLA</v>
          </cell>
          <cell r="E4971" t="str">
            <v>01</v>
          </cell>
          <cell r="F4971" t="str">
            <v>PAQ36a38</v>
          </cell>
          <cell r="G4971" t="str">
            <v>B</v>
          </cell>
          <cell r="H4971">
            <v>382.21</v>
          </cell>
        </row>
        <row r="4972">
          <cell r="A4972" t="str">
            <v>1;01;M;B;PAQ38a40</v>
          </cell>
          <cell r="B4972">
            <v>730069</v>
          </cell>
          <cell r="C4972" t="str">
            <v>M</v>
          </cell>
          <cell r="D4972" t="str">
            <v>MELILLA</v>
          </cell>
          <cell r="E4972" t="str">
            <v>01</v>
          </cell>
          <cell r="F4972" t="str">
            <v>PAQ38a40</v>
          </cell>
          <cell r="G4972" t="str">
            <v>B</v>
          </cell>
          <cell r="H4972">
            <v>402.22</v>
          </cell>
        </row>
        <row r="4973">
          <cell r="A4973" t="str">
            <v>1;01;M;F;</v>
          </cell>
          <cell r="B4973">
            <v>730069</v>
          </cell>
          <cell r="C4973" t="str">
            <v>M</v>
          </cell>
          <cell r="D4973" t="str">
            <v>MELILLA</v>
          </cell>
          <cell r="E4973" t="str">
            <v>01</v>
          </cell>
          <cell r="F4973" t="str">
            <v/>
          </cell>
          <cell r="G4973" t="str">
            <v>F</v>
          </cell>
          <cell r="H4973">
            <v>20.010000000000002</v>
          </cell>
        </row>
        <row r="4974">
          <cell r="A4974" t="str">
            <v>1;01;M;E;</v>
          </cell>
          <cell r="B4974">
            <v>730069</v>
          </cell>
          <cell r="C4974" t="str">
            <v>M</v>
          </cell>
          <cell r="D4974" t="str">
            <v>MELILLA</v>
          </cell>
          <cell r="E4974" t="str">
            <v>01</v>
          </cell>
          <cell r="F4974" t="str">
            <v/>
          </cell>
          <cell r="G4974" t="str">
            <v>E</v>
          </cell>
          <cell r="H4974">
            <v>0</v>
          </cell>
        </row>
        <row r="4975">
          <cell r="A4975" t="str">
            <v>1;01;M;P;</v>
          </cell>
          <cell r="B4975">
            <v>730069</v>
          </cell>
          <cell r="C4975" t="str">
            <v>M</v>
          </cell>
          <cell r="D4975" t="str">
            <v>MELILLA</v>
          </cell>
          <cell r="E4975" t="str">
            <v>01</v>
          </cell>
          <cell r="F4975" t="str">
            <v/>
          </cell>
          <cell r="G4975" t="str">
            <v>P</v>
          </cell>
          <cell r="H4975">
            <v>0</v>
          </cell>
        </row>
        <row r="4976">
          <cell r="A4976" t="str">
            <v>1;02;M;B;BAG</v>
          </cell>
          <cell r="B4976">
            <v>730069</v>
          </cell>
          <cell r="C4976" t="str">
            <v>M</v>
          </cell>
          <cell r="D4976" t="str">
            <v>MELILLA</v>
          </cell>
          <cell r="E4976" t="str">
            <v>02</v>
          </cell>
          <cell r="F4976" t="str">
            <v>BAG</v>
          </cell>
          <cell r="G4976" t="str">
            <v>B</v>
          </cell>
          <cell r="H4976">
            <v>19.54</v>
          </cell>
        </row>
        <row r="4977">
          <cell r="A4977" t="str">
            <v>1;02;M;B;DOCS</v>
          </cell>
          <cell r="B4977">
            <v>730069</v>
          </cell>
          <cell r="C4977" t="str">
            <v>M</v>
          </cell>
          <cell r="D4977" t="str">
            <v>MELILLA</v>
          </cell>
          <cell r="E4977" t="str">
            <v>02</v>
          </cell>
          <cell r="F4977" t="str">
            <v>DOCS</v>
          </cell>
          <cell r="G4977" t="str">
            <v>B</v>
          </cell>
          <cell r="H4977">
            <v>10.19</v>
          </cell>
        </row>
        <row r="4978">
          <cell r="A4978" t="str">
            <v>1;02;M;B;PAQ00a02</v>
          </cell>
          <cell r="B4978">
            <v>730069</v>
          </cell>
          <cell r="C4978" t="str">
            <v>M</v>
          </cell>
          <cell r="D4978" t="str">
            <v>MELILLA</v>
          </cell>
          <cell r="E4978" t="str">
            <v>02</v>
          </cell>
          <cell r="F4978" t="str">
            <v>PAQ00a02</v>
          </cell>
          <cell r="G4978" t="str">
            <v>B</v>
          </cell>
          <cell r="H4978">
            <v>23.05</v>
          </cell>
        </row>
        <row r="4979">
          <cell r="A4979" t="str">
            <v>1;02;M;B;PAQ02a04</v>
          </cell>
          <cell r="B4979">
            <v>730069</v>
          </cell>
          <cell r="C4979" t="str">
            <v>M</v>
          </cell>
          <cell r="D4979" t="str">
            <v>MELILLA</v>
          </cell>
          <cell r="E4979" t="str">
            <v>02</v>
          </cell>
          <cell r="F4979" t="str">
            <v>PAQ02a04</v>
          </cell>
          <cell r="G4979" t="str">
            <v>B</v>
          </cell>
          <cell r="H4979">
            <v>37.700000000000003</v>
          </cell>
        </row>
        <row r="4980">
          <cell r="A4980" t="str">
            <v>1;02;M;B;PAQ04a06</v>
          </cell>
          <cell r="B4980">
            <v>730069</v>
          </cell>
          <cell r="C4980" t="str">
            <v>M</v>
          </cell>
          <cell r="D4980" t="str">
            <v>MELILLA</v>
          </cell>
          <cell r="E4980" t="str">
            <v>02</v>
          </cell>
          <cell r="F4980" t="str">
            <v>PAQ04a06</v>
          </cell>
          <cell r="G4980" t="str">
            <v>B</v>
          </cell>
          <cell r="H4980">
            <v>49.93</v>
          </cell>
        </row>
        <row r="4981">
          <cell r="A4981" t="str">
            <v>1;02;M;B;PAQ06a08</v>
          </cell>
          <cell r="B4981">
            <v>730069</v>
          </cell>
          <cell r="C4981" t="str">
            <v>M</v>
          </cell>
          <cell r="D4981" t="str">
            <v>MELILLA</v>
          </cell>
          <cell r="E4981" t="str">
            <v>02</v>
          </cell>
          <cell r="F4981" t="str">
            <v>PAQ06a08</v>
          </cell>
          <cell r="G4981" t="str">
            <v>B</v>
          </cell>
          <cell r="H4981">
            <v>62.17</v>
          </cell>
        </row>
        <row r="4982">
          <cell r="A4982" t="str">
            <v>1;02;M;B;PAQ08a10</v>
          </cell>
          <cell r="B4982">
            <v>730069</v>
          </cell>
          <cell r="C4982" t="str">
            <v>M</v>
          </cell>
          <cell r="D4982" t="str">
            <v>MELILLA</v>
          </cell>
          <cell r="E4982" t="str">
            <v>02</v>
          </cell>
          <cell r="F4982" t="str">
            <v>PAQ08a10</v>
          </cell>
          <cell r="G4982" t="str">
            <v>B</v>
          </cell>
          <cell r="H4982">
            <v>74.400000000000006</v>
          </cell>
        </row>
        <row r="4983">
          <cell r="A4983" t="str">
            <v>1;02;M;B;PAQ10a12</v>
          </cell>
          <cell r="B4983">
            <v>730069</v>
          </cell>
          <cell r="C4983" t="str">
            <v>M</v>
          </cell>
          <cell r="D4983" t="str">
            <v>MELILLA</v>
          </cell>
          <cell r="E4983" t="str">
            <v>02</v>
          </cell>
          <cell r="F4983" t="str">
            <v>PAQ10a12</v>
          </cell>
          <cell r="G4983" t="str">
            <v>B</v>
          </cell>
          <cell r="H4983">
            <v>86.65</v>
          </cell>
        </row>
        <row r="4984">
          <cell r="A4984" t="str">
            <v>1;02;M;B;PAQ12a14</v>
          </cell>
          <cell r="B4984">
            <v>730069</v>
          </cell>
          <cell r="C4984" t="str">
            <v>M</v>
          </cell>
          <cell r="D4984" t="str">
            <v>MELILLA</v>
          </cell>
          <cell r="E4984" t="str">
            <v>02</v>
          </cell>
          <cell r="F4984" t="str">
            <v>PAQ12a14</v>
          </cell>
          <cell r="G4984" t="str">
            <v>B</v>
          </cell>
          <cell r="H4984">
            <v>98.88</v>
          </cell>
        </row>
        <row r="4985">
          <cell r="A4985" t="str">
            <v>1;02;M;B;PAQ14a16</v>
          </cell>
          <cell r="B4985">
            <v>730069</v>
          </cell>
          <cell r="C4985" t="str">
            <v>M</v>
          </cell>
          <cell r="D4985" t="str">
            <v>MELILLA</v>
          </cell>
          <cell r="E4985" t="str">
            <v>02</v>
          </cell>
          <cell r="F4985" t="str">
            <v>PAQ14a16</v>
          </cell>
          <cell r="G4985" t="str">
            <v>B</v>
          </cell>
          <cell r="H4985">
            <v>111.12</v>
          </cell>
        </row>
        <row r="4986">
          <cell r="A4986" t="str">
            <v>1;02;M;B;PAQ16a18</v>
          </cell>
          <cell r="B4986">
            <v>730069</v>
          </cell>
          <cell r="C4986" t="str">
            <v>M</v>
          </cell>
          <cell r="D4986" t="str">
            <v>MELILLA</v>
          </cell>
          <cell r="E4986" t="str">
            <v>02</v>
          </cell>
          <cell r="F4986" t="str">
            <v>PAQ16a18</v>
          </cell>
          <cell r="G4986" t="str">
            <v>B</v>
          </cell>
          <cell r="H4986">
            <v>123.35</v>
          </cell>
        </row>
        <row r="4987">
          <cell r="A4987" t="str">
            <v>1;02;M;B;PAQ18a20</v>
          </cell>
          <cell r="B4987">
            <v>730069</v>
          </cell>
          <cell r="C4987" t="str">
            <v>M</v>
          </cell>
          <cell r="D4987" t="str">
            <v>MELILLA</v>
          </cell>
          <cell r="E4987" t="str">
            <v>02</v>
          </cell>
          <cell r="F4987" t="str">
            <v>PAQ18a20</v>
          </cell>
          <cell r="G4987" t="str">
            <v>B</v>
          </cell>
          <cell r="H4987">
            <v>135.6</v>
          </cell>
        </row>
        <row r="4988">
          <cell r="A4988" t="str">
            <v>1;02;M;B;PAQ20a22</v>
          </cell>
          <cell r="B4988">
            <v>730069</v>
          </cell>
          <cell r="C4988" t="str">
            <v>M</v>
          </cell>
          <cell r="D4988" t="str">
            <v>MELILLA</v>
          </cell>
          <cell r="E4988" t="str">
            <v>02</v>
          </cell>
          <cell r="F4988" t="str">
            <v>PAQ20a22</v>
          </cell>
          <cell r="G4988" t="str">
            <v>B</v>
          </cell>
          <cell r="H4988">
            <v>147.83000000000001</v>
          </cell>
        </row>
        <row r="4989">
          <cell r="A4989" t="str">
            <v>1;02;M;B;PAQ22a24</v>
          </cell>
          <cell r="B4989">
            <v>730069</v>
          </cell>
          <cell r="C4989" t="str">
            <v>M</v>
          </cell>
          <cell r="D4989" t="str">
            <v>MELILLA</v>
          </cell>
          <cell r="E4989" t="str">
            <v>02</v>
          </cell>
          <cell r="F4989" t="str">
            <v>PAQ22a24</v>
          </cell>
          <cell r="G4989" t="str">
            <v>B</v>
          </cell>
          <cell r="H4989">
            <v>160.07</v>
          </cell>
        </row>
        <row r="4990">
          <cell r="A4990" t="str">
            <v>1;02;M;B;PAQ24a26</v>
          </cell>
          <cell r="B4990">
            <v>730069</v>
          </cell>
          <cell r="C4990" t="str">
            <v>M</v>
          </cell>
          <cell r="D4990" t="str">
            <v>MELILLA</v>
          </cell>
          <cell r="E4990" t="str">
            <v>02</v>
          </cell>
          <cell r="F4990" t="str">
            <v>PAQ24a26</v>
          </cell>
          <cell r="G4990" t="str">
            <v>B</v>
          </cell>
          <cell r="H4990">
            <v>172.31</v>
          </cell>
        </row>
        <row r="4991">
          <cell r="A4991" t="str">
            <v>1;02;M;B;PAQ26a28</v>
          </cell>
          <cell r="B4991">
            <v>730069</v>
          </cell>
          <cell r="C4991" t="str">
            <v>M</v>
          </cell>
          <cell r="D4991" t="str">
            <v>MELILLA</v>
          </cell>
          <cell r="E4991" t="str">
            <v>02</v>
          </cell>
          <cell r="F4991" t="str">
            <v>PAQ26a28</v>
          </cell>
          <cell r="G4991" t="str">
            <v>B</v>
          </cell>
          <cell r="H4991">
            <v>184.55</v>
          </cell>
        </row>
        <row r="4992">
          <cell r="A4992" t="str">
            <v>1;02;M;B;PAQ28a30</v>
          </cell>
          <cell r="B4992">
            <v>730069</v>
          </cell>
          <cell r="C4992" t="str">
            <v>M</v>
          </cell>
          <cell r="D4992" t="str">
            <v>MELILLA</v>
          </cell>
          <cell r="E4992" t="str">
            <v>02</v>
          </cell>
          <cell r="F4992" t="str">
            <v>PAQ28a30</v>
          </cell>
          <cell r="G4992" t="str">
            <v>B</v>
          </cell>
          <cell r="H4992">
            <v>196.78</v>
          </cell>
        </row>
        <row r="4993">
          <cell r="A4993" t="str">
            <v>1;02;M;B;PAQ30a32</v>
          </cell>
          <cell r="B4993">
            <v>730069</v>
          </cell>
          <cell r="C4993" t="str">
            <v>M</v>
          </cell>
          <cell r="D4993" t="str">
            <v>MELILLA</v>
          </cell>
          <cell r="E4993" t="str">
            <v>02</v>
          </cell>
          <cell r="F4993" t="str">
            <v>PAQ30a32</v>
          </cell>
          <cell r="G4993" t="str">
            <v>B</v>
          </cell>
          <cell r="H4993">
            <v>209.02</v>
          </cell>
        </row>
        <row r="4994">
          <cell r="A4994" t="str">
            <v>1;02;M;B;PAQ32a34</v>
          </cell>
          <cell r="B4994">
            <v>730069</v>
          </cell>
          <cell r="C4994" t="str">
            <v>M</v>
          </cell>
          <cell r="D4994" t="str">
            <v>MELILLA</v>
          </cell>
          <cell r="E4994" t="str">
            <v>02</v>
          </cell>
          <cell r="F4994" t="str">
            <v>PAQ32a34</v>
          </cell>
          <cell r="G4994" t="str">
            <v>B</v>
          </cell>
          <cell r="H4994">
            <v>221.26</v>
          </cell>
        </row>
        <row r="4995">
          <cell r="A4995" t="str">
            <v>1;02;M;B;PAQ34a36</v>
          </cell>
          <cell r="B4995">
            <v>730069</v>
          </cell>
          <cell r="C4995" t="str">
            <v>M</v>
          </cell>
          <cell r="D4995" t="str">
            <v>MELILLA</v>
          </cell>
          <cell r="E4995" t="str">
            <v>02</v>
          </cell>
          <cell r="F4995" t="str">
            <v>PAQ34a36</v>
          </cell>
          <cell r="G4995" t="str">
            <v>B</v>
          </cell>
          <cell r="H4995">
            <v>233.5</v>
          </cell>
        </row>
        <row r="4996">
          <cell r="A4996" t="str">
            <v>1;02;M;B;PAQ36a38</v>
          </cell>
          <cell r="B4996">
            <v>730069</v>
          </cell>
          <cell r="C4996" t="str">
            <v>M</v>
          </cell>
          <cell r="D4996" t="str">
            <v>MELILLA</v>
          </cell>
          <cell r="E4996" t="str">
            <v>02</v>
          </cell>
          <cell r="F4996" t="str">
            <v>PAQ36a38</v>
          </cell>
          <cell r="G4996" t="str">
            <v>B</v>
          </cell>
          <cell r="H4996">
            <v>245.73</v>
          </cell>
        </row>
        <row r="4997">
          <cell r="A4997" t="str">
            <v>1;02;M;B;PAQ38a40</v>
          </cell>
          <cell r="B4997">
            <v>730069</v>
          </cell>
          <cell r="C4997" t="str">
            <v>M</v>
          </cell>
          <cell r="D4997" t="str">
            <v>MELILLA</v>
          </cell>
          <cell r="E4997" t="str">
            <v>02</v>
          </cell>
          <cell r="F4997" t="str">
            <v>PAQ38a40</v>
          </cell>
          <cell r="G4997" t="str">
            <v>B</v>
          </cell>
          <cell r="H4997">
            <v>257.97000000000003</v>
          </cell>
        </row>
        <row r="4998">
          <cell r="A4998" t="str">
            <v>1;02;M;F;</v>
          </cell>
          <cell r="B4998">
            <v>730069</v>
          </cell>
          <cell r="C4998" t="str">
            <v>M</v>
          </cell>
          <cell r="D4998" t="str">
            <v>MELILLA</v>
          </cell>
          <cell r="E4998" t="str">
            <v>02</v>
          </cell>
          <cell r="F4998" t="str">
            <v/>
          </cell>
          <cell r="G4998" t="str">
            <v>F</v>
          </cell>
          <cell r="H4998">
            <v>12.24</v>
          </cell>
        </row>
        <row r="4999">
          <cell r="A4999" t="str">
            <v>1;02;M;E;</v>
          </cell>
          <cell r="B4999">
            <v>730069</v>
          </cell>
          <cell r="C4999" t="str">
            <v>M</v>
          </cell>
          <cell r="D4999" t="str">
            <v>MELILLA</v>
          </cell>
          <cell r="E4999" t="str">
            <v>02</v>
          </cell>
          <cell r="F4999" t="str">
            <v/>
          </cell>
          <cell r="G4999" t="str">
            <v>E</v>
          </cell>
          <cell r="H4999">
            <v>0</v>
          </cell>
        </row>
        <row r="5000">
          <cell r="A5000" t="str">
            <v>1;02;M;P;</v>
          </cell>
          <cell r="B5000">
            <v>730069</v>
          </cell>
          <cell r="C5000" t="str">
            <v>M</v>
          </cell>
          <cell r="D5000" t="str">
            <v>MELILLA</v>
          </cell>
          <cell r="E5000" t="str">
            <v>02</v>
          </cell>
          <cell r="F5000" t="str">
            <v/>
          </cell>
          <cell r="G5000" t="str">
            <v>P</v>
          </cell>
          <cell r="H5000">
            <v>0</v>
          </cell>
        </row>
        <row r="5001">
          <cell r="A5001" t="str">
            <v>1;04;M;B;BAG</v>
          </cell>
          <cell r="B5001">
            <v>730069</v>
          </cell>
          <cell r="C5001" t="str">
            <v>M</v>
          </cell>
          <cell r="D5001" t="str">
            <v>MELILLA</v>
          </cell>
          <cell r="E5001" t="str">
            <v>04</v>
          </cell>
          <cell r="F5001" t="str">
            <v>BAG</v>
          </cell>
          <cell r="G5001" t="str">
            <v>B</v>
          </cell>
          <cell r="H5001">
            <v>5.76</v>
          </cell>
        </row>
        <row r="5002">
          <cell r="A5002" t="str">
            <v>1;05;M;B;BAG</v>
          </cell>
          <cell r="B5002">
            <v>730069</v>
          </cell>
          <cell r="C5002" t="str">
            <v>M</v>
          </cell>
          <cell r="D5002" t="str">
            <v>MELILLA</v>
          </cell>
          <cell r="E5002" t="str">
            <v>05</v>
          </cell>
          <cell r="F5002" t="str">
            <v>BAG</v>
          </cell>
          <cell r="G5002" t="str">
            <v>B</v>
          </cell>
          <cell r="H5002">
            <v>5.76</v>
          </cell>
        </row>
        <row r="5003">
          <cell r="A5003" t="str">
            <v>1;06;M;B;BAG</v>
          </cell>
          <cell r="B5003">
            <v>730069</v>
          </cell>
          <cell r="C5003" t="str">
            <v>M</v>
          </cell>
          <cell r="D5003" t="str">
            <v>MELILLA</v>
          </cell>
          <cell r="E5003" t="str">
            <v>06</v>
          </cell>
          <cell r="F5003" t="str">
            <v>BAG</v>
          </cell>
          <cell r="G5003" t="str">
            <v>B</v>
          </cell>
          <cell r="H5003">
            <v>0</v>
          </cell>
        </row>
        <row r="5004">
          <cell r="A5004" t="str">
            <v>1;06;M;B;DOCS</v>
          </cell>
          <cell r="B5004">
            <v>730069</v>
          </cell>
          <cell r="C5004" t="str">
            <v>M</v>
          </cell>
          <cell r="D5004" t="str">
            <v>MELILLA</v>
          </cell>
          <cell r="E5004" t="str">
            <v>06</v>
          </cell>
          <cell r="F5004" t="str">
            <v>DOCS</v>
          </cell>
          <cell r="G5004" t="str">
            <v>B</v>
          </cell>
          <cell r="H5004">
            <v>0</v>
          </cell>
        </row>
        <row r="5005">
          <cell r="A5005" t="str">
            <v>1;06;M;B;PAQ00a02</v>
          </cell>
          <cell r="B5005">
            <v>730069</v>
          </cell>
          <cell r="C5005" t="str">
            <v>M</v>
          </cell>
          <cell r="D5005" t="str">
            <v>MELILLA</v>
          </cell>
          <cell r="E5005" t="str">
            <v>06</v>
          </cell>
          <cell r="F5005" t="str">
            <v>PAQ00a02</v>
          </cell>
          <cell r="G5005" t="str">
            <v>B</v>
          </cell>
          <cell r="H5005">
            <v>0</v>
          </cell>
        </row>
        <row r="5006">
          <cell r="A5006" t="str">
            <v>1;06;M;B;PAQ02a04</v>
          </cell>
          <cell r="B5006">
            <v>730069</v>
          </cell>
          <cell r="C5006" t="str">
            <v>M</v>
          </cell>
          <cell r="D5006" t="str">
            <v>MELILLA</v>
          </cell>
          <cell r="E5006" t="str">
            <v>06</v>
          </cell>
          <cell r="F5006" t="str">
            <v>PAQ02a04</v>
          </cell>
          <cell r="G5006" t="str">
            <v>B</v>
          </cell>
          <cell r="H5006">
            <v>0</v>
          </cell>
        </row>
        <row r="5007">
          <cell r="A5007" t="str">
            <v>1;06;M;B;PAQ04a06</v>
          </cell>
          <cell r="B5007">
            <v>730069</v>
          </cell>
          <cell r="C5007" t="str">
            <v>M</v>
          </cell>
          <cell r="D5007" t="str">
            <v>MELILLA</v>
          </cell>
          <cell r="E5007" t="str">
            <v>06</v>
          </cell>
          <cell r="F5007" t="str">
            <v>PAQ04a06</v>
          </cell>
          <cell r="G5007" t="str">
            <v>B</v>
          </cell>
          <cell r="H5007">
            <v>0</v>
          </cell>
        </row>
        <row r="5008">
          <cell r="A5008" t="str">
            <v>1;06;M;B;PAQ06a08</v>
          </cell>
          <cell r="B5008">
            <v>730069</v>
          </cell>
          <cell r="C5008" t="str">
            <v>M</v>
          </cell>
          <cell r="D5008" t="str">
            <v>MELILLA</v>
          </cell>
          <cell r="E5008" t="str">
            <v>06</v>
          </cell>
          <cell r="F5008" t="str">
            <v>PAQ06a08</v>
          </cell>
          <cell r="G5008" t="str">
            <v>B</v>
          </cell>
          <cell r="H5008">
            <v>0</v>
          </cell>
        </row>
        <row r="5009">
          <cell r="A5009" t="str">
            <v>1;06;M;B;PAQ08a10</v>
          </cell>
          <cell r="B5009">
            <v>730069</v>
          </cell>
          <cell r="C5009" t="str">
            <v>M</v>
          </cell>
          <cell r="D5009" t="str">
            <v>MELILLA</v>
          </cell>
          <cell r="E5009" t="str">
            <v>06</v>
          </cell>
          <cell r="F5009" t="str">
            <v>PAQ08a10</v>
          </cell>
          <cell r="G5009" t="str">
            <v>B</v>
          </cell>
          <cell r="H5009">
            <v>0</v>
          </cell>
        </row>
        <row r="5010">
          <cell r="A5010" t="str">
            <v>1;06;M;B;PAQ10a12</v>
          </cell>
          <cell r="B5010">
            <v>730069</v>
          </cell>
          <cell r="C5010" t="str">
            <v>M</v>
          </cell>
          <cell r="D5010" t="str">
            <v>MELILLA</v>
          </cell>
          <cell r="E5010" t="str">
            <v>06</v>
          </cell>
          <cell r="F5010" t="str">
            <v>PAQ10a12</v>
          </cell>
          <cell r="G5010" t="str">
            <v>B</v>
          </cell>
          <cell r="H5010">
            <v>0</v>
          </cell>
        </row>
        <row r="5011">
          <cell r="A5011" t="str">
            <v>1;06;M;B;PAQ12a14</v>
          </cell>
          <cell r="B5011">
            <v>730069</v>
          </cell>
          <cell r="C5011" t="str">
            <v>M</v>
          </cell>
          <cell r="D5011" t="str">
            <v>MELILLA</v>
          </cell>
          <cell r="E5011" t="str">
            <v>06</v>
          </cell>
          <cell r="F5011" t="str">
            <v>PAQ12a14</v>
          </cell>
          <cell r="G5011" t="str">
            <v>B</v>
          </cell>
          <cell r="H5011">
            <v>0</v>
          </cell>
        </row>
        <row r="5012">
          <cell r="A5012" t="str">
            <v>1;06;M;B;PAQ14a16</v>
          </cell>
          <cell r="B5012">
            <v>730069</v>
          </cell>
          <cell r="C5012" t="str">
            <v>M</v>
          </cell>
          <cell r="D5012" t="str">
            <v>MELILLA</v>
          </cell>
          <cell r="E5012" t="str">
            <v>06</v>
          </cell>
          <cell r="F5012" t="str">
            <v>PAQ14a16</v>
          </cell>
          <cell r="G5012" t="str">
            <v>B</v>
          </cell>
          <cell r="H5012">
            <v>0</v>
          </cell>
        </row>
        <row r="5013">
          <cell r="A5013" t="str">
            <v>1;06;M;B;PAQ16a18</v>
          </cell>
          <cell r="B5013">
            <v>730069</v>
          </cell>
          <cell r="C5013" t="str">
            <v>M</v>
          </cell>
          <cell r="D5013" t="str">
            <v>MELILLA</v>
          </cell>
          <cell r="E5013" t="str">
            <v>06</v>
          </cell>
          <cell r="F5013" t="str">
            <v>PAQ16a18</v>
          </cell>
          <cell r="G5013" t="str">
            <v>B</v>
          </cell>
          <cell r="H5013">
            <v>0</v>
          </cell>
        </row>
        <row r="5014">
          <cell r="A5014" t="str">
            <v>1;06;M;B;PAQ18a20</v>
          </cell>
          <cell r="B5014">
            <v>730069</v>
          </cell>
          <cell r="C5014" t="str">
            <v>M</v>
          </cell>
          <cell r="D5014" t="str">
            <v>MELILLA</v>
          </cell>
          <cell r="E5014" t="str">
            <v>06</v>
          </cell>
          <cell r="F5014" t="str">
            <v>PAQ18a20</v>
          </cell>
          <cell r="G5014" t="str">
            <v>B</v>
          </cell>
          <cell r="H5014">
            <v>0</v>
          </cell>
        </row>
        <row r="5015">
          <cell r="A5015" t="str">
            <v>1;06;M;B;PAQ20a22</v>
          </cell>
          <cell r="B5015">
            <v>730069</v>
          </cell>
          <cell r="C5015" t="str">
            <v>M</v>
          </cell>
          <cell r="D5015" t="str">
            <v>MELILLA</v>
          </cell>
          <cell r="E5015" t="str">
            <v>06</v>
          </cell>
          <cell r="F5015" t="str">
            <v>PAQ20a22</v>
          </cell>
          <cell r="G5015" t="str">
            <v>B</v>
          </cell>
          <cell r="H5015">
            <v>0</v>
          </cell>
        </row>
        <row r="5016">
          <cell r="A5016" t="str">
            <v>1;06;M;B;PAQ22a24</v>
          </cell>
          <cell r="B5016">
            <v>730069</v>
          </cell>
          <cell r="C5016" t="str">
            <v>M</v>
          </cell>
          <cell r="D5016" t="str">
            <v>MELILLA</v>
          </cell>
          <cell r="E5016" t="str">
            <v>06</v>
          </cell>
          <cell r="F5016" t="str">
            <v>PAQ22a24</v>
          </cell>
          <cell r="G5016" t="str">
            <v>B</v>
          </cell>
          <cell r="H5016">
            <v>0</v>
          </cell>
        </row>
        <row r="5017">
          <cell r="A5017" t="str">
            <v>1;06;M;B;PAQ24a26</v>
          </cell>
          <cell r="B5017">
            <v>730069</v>
          </cell>
          <cell r="C5017" t="str">
            <v>M</v>
          </cell>
          <cell r="D5017" t="str">
            <v>MELILLA</v>
          </cell>
          <cell r="E5017" t="str">
            <v>06</v>
          </cell>
          <cell r="F5017" t="str">
            <v>PAQ24a26</v>
          </cell>
          <cell r="G5017" t="str">
            <v>B</v>
          </cell>
          <cell r="H5017">
            <v>0</v>
          </cell>
        </row>
        <row r="5018">
          <cell r="A5018" t="str">
            <v>1;06;M;B;PAQ26a28</v>
          </cell>
          <cell r="B5018">
            <v>730069</v>
          </cell>
          <cell r="C5018" t="str">
            <v>M</v>
          </cell>
          <cell r="D5018" t="str">
            <v>MELILLA</v>
          </cell>
          <cell r="E5018" t="str">
            <v>06</v>
          </cell>
          <cell r="F5018" t="str">
            <v>PAQ26a28</v>
          </cell>
          <cell r="G5018" t="str">
            <v>B</v>
          </cell>
          <cell r="H5018">
            <v>0</v>
          </cell>
        </row>
        <row r="5019">
          <cell r="A5019" t="str">
            <v>1;06;M;B;PAQ28a30</v>
          </cell>
          <cell r="B5019">
            <v>730069</v>
          </cell>
          <cell r="C5019" t="str">
            <v>M</v>
          </cell>
          <cell r="D5019" t="str">
            <v>MELILLA</v>
          </cell>
          <cell r="E5019" t="str">
            <v>06</v>
          </cell>
          <cell r="F5019" t="str">
            <v>PAQ28a30</v>
          </cell>
          <cell r="G5019" t="str">
            <v>B</v>
          </cell>
          <cell r="H5019">
            <v>0</v>
          </cell>
        </row>
        <row r="5020">
          <cell r="A5020" t="str">
            <v>1;06;M;B;PAQ30a32</v>
          </cell>
          <cell r="B5020">
            <v>730069</v>
          </cell>
          <cell r="C5020" t="str">
            <v>M</v>
          </cell>
          <cell r="D5020" t="str">
            <v>MELILLA</v>
          </cell>
          <cell r="E5020" t="str">
            <v>06</v>
          </cell>
          <cell r="F5020" t="str">
            <v>PAQ30a32</v>
          </cell>
          <cell r="G5020" t="str">
            <v>B</v>
          </cell>
          <cell r="H5020">
            <v>0</v>
          </cell>
        </row>
        <row r="5021">
          <cell r="A5021" t="str">
            <v>1;06;M;B;PAQ32a34</v>
          </cell>
          <cell r="B5021">
            <v>730069</v>
          </cell>
          <cell r="C5021" t="str">
            <v>M</v>
          </cell>
          <cell r="D5021" t="str">
            <v>MELILLA</v>
          </cell>
          <cell r="E5021" t="str">
            <v>06</v>
          </cell>
          <cell r="F5021" t="str">
            <v>PAQ32a34</v>
          </cell>
          <cell r="G5021" t="str">
            <v>B</v>
          </cell>
          <cell r="H5021">
            <v>0</v>
          </cell>
        </row>
        <row r="5022">
          <cell r="A5022" t="str">
            <v>1;06;M;B;PAQ34a36</v>
          </cell>
          <cell r="B5022">
            <v>730069</v>
          </cell>
          <cell r="C5022" t="str">
            <v>M</v>
          </cell>
          <cell r="D5022" t="str">
            <v>MELILLA</v>
          </cell>
          <cell r="E5022" t="str">
            <v>06</v>
          </cell>
          <cell r="F5022" t="str">
            <v>PAQ34a36</v>
          </cell>
          <cell r="G5022" t="str">
            <v>B</v>
          </cell>
          <cell r="H5022">
            <v>0</v>
          </cell>
        </row>
        <row r="5023">
          <cell r="A5023" t="str">
            <v>1;06;M;B;PAQ36a38</v>
          </cell>
          <cell r="B5023">
            <v>730069</v>
          </cell>
          <cell r="C5023" t="str">
            <v>M</v>
          </cell>
          <cell r="D5023" t="str">
            <v>MELILLA</v>
          </cell>
          <cell r="E5023" t="str">
            <v>06</v>
          </cell>
          <cell r="F5023" t="str">
            <v>PAQ36a38</v>
          </cell>
          <cell r="G5023" t="str">
            <v>B</v>
          </cell>
          <cell r="H5023">
            <v>0</v>
          </cell>
        </row>
        <row r="5024">
          <cell r="A5024" t="str">
            <v>1;06;M;F;</v>
          </cell>
          <cell r="B5024">
            <v>730069</v>
          </cell>
          <cell r="C5024" t="str">
            <v>M</v>
          </cell>
          <cell r="D5024" t="str">
            <v>MELILLA</v>
          </cell>
          <cell r="E5024" t="str">
            <v>06</v>
          </cell>
          <cell r="F5024" t="str">
            <v/>
          </cell>
          <cell r="G5024" t="str">
            <v>F</v>
          </cell>
          <cell r="H5024">
            <v>0</v>
          </cell>
        </row>
        <row r="5025">
          <cell r="A5025" t="str">
            <v>1;06;M;B;PAQ38a40</v>
          </cell>
          <cell r="B5025">
            <v>730069</v>
          </cell>
          <cell r="C5025" t="str">
            <v>M</v>
          </cell>
          <cell r="D5025" t="str">
            <v>MELILLA</v>
          </cell>
          <cell r="E5025" t="str">
            <v>06</v>
          </cell>
          <cell r="F5025" t="str">
            <v>PAQ38a40</v>
          </cell>
          <cell r="G5025" t="str">
            <v>B</v>
          </cell>
          <cell r="H5025">
            <v>0</v>
          </cell>
        </row>
        <row r="5026">
          <cell r="A5026" t="str">
            <v>1;06;M;P;</v>
          </cell>
          <cell r="B5026">
            <v>730069</v>
          </cell>
          <cell r="C5026" t="str">
            <v>M</v>
          </cell>
          <cell r="D5026" t="str">
            <v>MELILLA</v>
          </cell>
          <cell r="E5026" t="str">
            <v>06</v>
          </cell>
          <cell r="F5026" t="str">
            <v/>
          </cell>
          <cell r="G5026" t="str">
            <v>P</v>
          </cell>
          <cell r="H5026">
            <v>0</v>
          </cell>
        </row>
        <row r="5027">
          <cell r="A5027" t="str">
            <v>1;06;M;E;</v>
          </cell>
          <cell r="B5027">
            <v>730069</v>
          </cell>
          <cell r="C5027" t="str">
            <v>M</v>
          </cell>
          <cell r="D5027" t="str">
            <v>MELILLA</v>
          </cell>
          <cell r="E5027" t="str">
            <v>06</v>
          </cell>
          <cell r="F5027" t="str">
            <v/>
          </cell>
          <cell r="G5027" t="str">
            <v>E</v>
          </cell>
          <cell r="H5027">
            <v>0</v>
          </cell>
        </row>
        <row r="5028">
          <cell r="A5028" t="str">
            <v>1;07;M;B;BAG</v>
          </cell>
          <cell r="B5028">
            <v>730069</v>
          </cell>
          <cell r="C5028" t="str">
            <v>M</v>
          </cell>
          <cell r="D5028" t="str">
            <v>MELILLA</v>
          </cell>
          <cell r="E5028" t="str">
            <v>07</v>
          </cell>
          <cell r="F5028" t="str">
            <v>BAG</v>
          </cell>
          <cell r="G5028" t="str">
            <v>B</v>
          </cell>
          <cell r="H5028">
            <v>0</v>
          </cell>
        </row>
        <row r="5029">
          <cell r="A5029" t="str">
            <v>1;07;M;B;DOCS</v>
          </cell>
          <cell r="B5029">
            <v>730069</v>
          </cell>
          <cell r="C5029" t="str">
            <v>M</v>
          </cell>
          <cell r="D5029" t="str">
            <v>MELILLA</v>
          </cell>
          <cell r="E5029" t="str">
            <v>07</v>
          </cell>
          <cell r="F5029" t="str">
            <v>DOCS</v>
          </cell>
          <cell r="G5029" t="str">
            <v>B</v>
          </cell>
          <cell r="H5029">
            <v>0</v>
          </cell>
        </row>
        <row r="5030">
          <cell r="A5030" t="str">
            <v>1;07;M;B;PAQ00a02</v>
          </cell>
          <cell r="B5030">
            <v>730069</v>
          </cell>
          <cell r="C5030" t="str">
            <v>M</v>
          </cell>
          <cell r="D5030" t="str">
            <v>MELILLA</v>
          </cell>
          <cell r="E5030" t="str">
            <v>07</v>
          </cell>
          <cell r="F5030" t="str">
            <v>PAQ00a02</v>
          </cell>
          <cell r="G5030" t="str">
            <v>B</v>
          </cell>
          <cell r="H5030">
            <v>0</v>
          </cell>
        </row>
        <row r="5031">
          <cell r="A5031" t="str">
            <v>1;07;M;B;PAQ02a04</v>
          </cell>
          <cell r="B5031">
            <v>730069</v>
          </cell>
          <cell r="C5031" t="str">
            <v>M</v>
          </cell>
          <cell r="D5031" t="str">
            <v>MELILLA</v>
          </cell>
          <cell r="E5031" t="str">
            <v>07</v>
          </cell>
          <cell r="F5031" t="str">
            <v>PAQ02a04</v>
          </cell>
          <cell r="G5031" t="str">
            <v>B</v>
          </cell>
          <cell r="H5031">
            <v>0</v>
          </cell>
        </row>
        <row r="5032">
          <cell r="A5032" t="str">
            <v>1;07;M;B;PAQ04a06</v>
          </cell>
          <cell r="B5032">
            <v>730069</v>
          </cell>
          <cell r="C5032" t="str">
            <v>M</v>
          </cell>
          <cell r="D5032" t="str">
            <v>MELILLA</v>
          </cell>
          <cell r="E5032" t="str">
            <v>07</v>
          </cell>
          <cell r="F5032" t="str">
            <v>PAQ04a06</v>
          </cell>
          <cell r="G5032" t="str">
            <v>B</v>
          </cell>
          <cell r="H5032">
            <v>0</v>
          </cell>
        </row>
        <row r="5033">
          <cell r="A5033" t="str">
            <v>1;07;M;B;PAQ06a08</v>
          </cell>
          <cell r="B5033">
            <v>730069</v>
          </cell>
          <cell r="C5033" t="str">
            <v>M</v>
          </cell>
          <cell r="D5033" t="str">
            <v>MELILLA</v>
          </cell>
          <cell r="E5033" t="str">
            <v>07</v>
          </cell>
          <cell r="F5033" t="str">
            <v>PAQ06a08</v>
          </cell>
          <cell r="G5033" t="str">
            <v>B</v>
          </cell>
          <cell r="H5033">
            <v>0</v>
          </cell>
        </row>
        <row r="5034">
          <cell r="A5034" t="str">
            <v>1;07;M;B;PAQ08a10</v>
          </cell>
          <cell r="B5034">
            <v>730069</v>
          </cell>
          <cell r="C5034" t="str">
            <v>M</v>
          </cell>
          <cell r="D5034" t="str">
            <v>MELILLA</v>
          </cell>
          <cell r="E5034" t="str">
            <v>07</v>
          </cell>
          <cell r="F5034" t="str">
            <v>PAQ08a10</v>
          </cell>
          <cell r="G5034" t="str">
            <v>B</v>
          </cell>
          <cell r="H5034">
            <v>0</v>
          </cell>
        </row>
        <row r="5035">
          <cell r="A5035" t="str">
            <v>1;07;M;B;PAQ10a12</v>
          </cell>
          <cell r="B5035">
            <v>730069</v>
          </cell>
          <cell r="C5035" t="str">
            <v>M</v>
          </cell>
          <cell r="D5035" t="str">
            <v>MELILLA</v>
          </cell>
          <cell r="E5035" t="str">
            <v>07</v>
          </cell>
          <cell r="F5035" t="str">
            <v>PAQ10a12</v>
          </cell>
          <cell r="G5035" t="str">
            <v>B</v>
          </cell>
          <cell r="H5035">
            <v>0</v>
          </cell>
        </row>
        <row r="5036">
          <cell r="A5036" t="str">
            <v>1;07;M;B;PAQ12a14</v>
          </cell>
          <cell r="B5036">
            <v>730069</v>
          </cell>
          <cell r="C5036" t="str">
            <v>M</v>
          </cell>
          <cell r="D5036" t="str">
            <v>MELILLA</v>
          </cell>
          <cell r="E5036" t="str">
            <v>07</v>
          </cell>
          <cell r="F5036" t="str">
            <v>PAQ12a14</v>
          </cell>
          <cell r="G5036" t="str">
            <v>B</v>
          </cell>
          <cell r="H5036">
            <v>0</v>
          </cell>
        </row>
        <row r="5037">
          <cell r="A5037" t="str">
            <v>1;07;M;B;PAQ14a16</v>
          </cell>
          <cell r="B5037">
            <v>730069</v>
          </cell>
          <cell r="C5037" t="str">
            <v>M</v>
          </cell>
          <cell r="D5037" t="str">
            <v>MELILLA</v>
          </cell>
          <cell r="E5037" t="str">
            <v>07</v>
          </cell>
          <cell r="F5037" t="str">
            <v>PAQ14a16</v>
          </cell>
          <cell r="G5037" t="str">
            <v>B</v>
          </cell>
          <cell r="H5037">
            <v>0</v>
          </cell>
        </row>
        <row r="5038">
          <cell r="A5038" t="str">
            <v>1;07;M;B;PAQ16a18</v>
          </cell>
          <cell r="B5038">
            <v>730069</v>
          </cell>
          <cell r="C5038" t="str">
            <v>M</v>
          </cell>
          <cell r="D5038" t="str">
            <v>MELILLA</v>
          </cell>
          <cell r="E5038" t="str">
            <v>07</v>
          </cell>
          <cell r="F5038" t="str">
            <v>PAQ16a18</v>
          </cell>
          <cell r="G5038" t="str">
            <v>B</v>
          </cell>
          <cell r="H5038">
            <v>0</v>
          </cell>
        </row>
        <row r="5039">
          <cell r="A5039" t="str">
            <v>1;07;M;B;PAQ18a20</v>
          </cell>
          <cell r="B5039">
            <v>730069</v>
          </cell>
          <cell r="C5039" t="str">
            <v>M</v>
          </cell>
          <cell r="D5039" t="str">
            <v>MELILLA</v>
          </cell>
          <cell r="E5039" t="str">
            <v>07</v>
          </cell>
          <cell r="F5039" t="str">
            <v>PAQ18a20</v>
          </cell>
          <cell r="G5039" t="str">
            <v>B</v>
          </cell>
          <cell r="H5039">
            <v>0</v>
          </cell>
        </row>
        <row r="5040">
          <cell r="A5040" t="str">
            <v>1;07;M;B;PAQ20a22</v>
          </cell>
          <cell r="B5040">
            <v>730069</v>
          </cell>
          <cell r="C5040" t="str">
            <v>M</v>
          </cell>
          <cell r="D5040" t="str">
            <v>MELILLA</v>
          </cell>
          <cell r="E5040" t="str">
            <v>07</v>
          </cell>
          <cell r="F5040" t="str">
            <v>PAQ20a22</v>
          </cell>
          <cell r="G5040" t="str">
            <v>B</v>
          </cell>
          <cell r="H5040">
            <v>0</v>
          </cell>
        </row>
        <row r="5041">
          <cell r="A5041" t="str">
            <v>1;07;M;B;PAQ22a24</v>
          </cell>
          <cell r="B5041">
            <v>730069</v>
          </cell>
          <cell r="C5041" t="str">
            <v>M</v>
          </cell>
          <cell r="D5041" t="str">
            <v>MELILLA</v>
          </cell>
          <cell r="E5041" t="str">
            <v>07</v>
          </cell>
          <cell r="F5041" t="str">
            <v>PAQ22a24</v>
          </cell>
          <cell r="G5041" t="str">
            <v>B</v>
          </cell>
          <cell r="H5041">
            <v>0</v>
          </cell>
        </row>
        <row r="5042">
          <cell r="A5042" t="str">
            <v>1;07;M;B;PAQ24a26</v>
          </cell>
          <cell r="B5042">
            <v>730069</v>
          </cell>
          <cell r="C5042" t="str">
            <v>M</v>
          </cell>
          <cell r="D5042" t="str">
            <v>MELILLA</v>
          </cell>
          <cell r="E5042" t="str">
            <v>07</v>
          </cell>
          <cell r="F5042" t="str">
            <v>PAQ24a26</v>
          </cell>
          <cell r="G5042" t="str">
            <v>B</v>
          </cell>
          <cell r="H5042">
            <v>0</v>
          </cell>
        </row>
        <row r="5043">
          <cell r="A5043" t="str">
            <v>1;07;M;B;PAQ26a28</v>
          </cell>
          <cell r="B5043">
            <v>730069</v>
          </cell>
          <cell r="C5043" t="str">
            <v>M</v>
          </cell>
          <cell r="D5043" t="str">
            <v>MELILLA</v>
          </cell>
          <cell r="E5043" t="str">
            <v>07</v>
          </cell>
          <cell r="F5043" t="str">
            <v>PAQ26a28</v>
          </cell>
          <cell r="G5043" t="str">
            <v>B</v>
          </cell>
          <cell r="H5043">
            <v>0</v>
          </cell>
        </row>
        <row r="5044">
          <cell r="A5044" t="str">
            <v>1;07;M;B;PAQ28a30</v>
          </cell>
          <cell r="B5044">
            <v>730069</v>
          </cell>
          <cell r="C5044" t="str">
            <v>M</v>
          </cell>
          <cell r="D5044" t="str">
            <v>MELILLA</v>
          </cell>
          <cell r="E5044" t="str">
            <v>07</v>
          </cell>
          <cell r="F5044" t="str">
            <v>PAQ28a30</v>
          </cell>
          <cell r="G5044" t="str">
            <v>B</v>
          </cell>
          <cell r="H5044">
            <v>0</v>
          </cell>
        </row>
        <row r="5045">
          <cell r="A5045" t="str">
            <v>1;07;M;B;PAQ30a32</v>
          </cell>
          <cell r="B5045">
            <v>730069</v>
          </cell>
          <cell r="C5045" t="str">
            <v>M</v>
          </cell>
          <cell r="D5045" t="str">
            <v>MELILLA</v>
          </cell>
          <cell r="E5045" t="str">
            <v>07</v>
          </cell>
          <cell r="F5045" t="str">
            <v>PAQ30a32</v>
          </cell>
          <cell r="G5045" t="str">
            <v>B</v>
          </cell>
          <cell r="H5045">
            <v>0</v>
          </cell>
        </row>
        <row r="5046">
          <cell r="A5046" t="str">
            <v>1;07;M;B;PAQ32a34</v>
          </cell>
          <cell r="B5046">
            <v>730069</v>
          </cell>
          <cell r="C5046" t="str">
            <v>M</v>
          </cell>
          <cell r="D5046" t="str">
            <v>MELILLA</v>
          </cell>
          <cell r="E5046" t="str">
            <v>07</v>
          </cell>
          <cell r="F5046" t="str">
            <v>PAQ32a34</v>
          </cell>
          <cell r="G5046" t="str">
            <v>B</v>
          </cell>
          <cell r="H5046">
            <v>0</v>
          </cell>
        </row>
        <row r="5047">
          <cell r="A5047" t="str">
            <v>1;07;M;B;PAQ34a36</v>
          </cell>
          <cell r="B5047">
            <v>730069</v>
          </cell>
          <cell r="C5047" t="str">
            <v>M</v>
          </cell>
          <cell r="D5047" t="str">
            <v>MELILLA</v>
          </cell>
          <cell r="E5047" t="str">
            <v>07</v>
          </cell>
          <cell r="F5047" t="str">
            <v>PAQ34a36</v>
          </cell>
          <cell r="G5047" t="str">
            <v>B</v>
          </cell>
          <cell r="H5047">
            <v>0</v>
          </cell>
        </row>
        <row r="5048">
          <cell r="A5048" t="str">
            <v>1;07;M;B;PAQ36a38</v>
          </cell>
          <cell r="B5048">
            <v>730069</v>
          </cell>
          <cell r="C5048" t="str">
            <v>M</v>
          </cell>
          <cell r="D5048" t="str">
            <v>MELILLA</v>
          </cell>
          <cell r="E5048" t="str">
            <v>07</v>
          </cell>
          <cell r="F5048" t="str">
            <v>PAQ36a38</v>
          </cell>
          <cell r="G5048" t="str">
            <v>B</v>
          </cell>
          <cell r="H5048">
            <v>0</v>
          </cell>
        </row>
        <row r="5049">
          <cell r="A5049" t="str">
            <v>1;07;M;F;</v>
          </cell>
          <cell r="B5049">
            <v>730069</v>
          </cell>
          <cell r="C5049" t="str">
            <v>M</v>
          </cell>
          <cell r="D5049" t="str">
            <v>MELILLA</v>
          </cell>
          <cell r="E5049" t="str">
            <v>07</v>
          </cell>
          <cell r="F5049" t="str">
            <v/>
          </cell>
          <cell r="G5049" t="str">
            <v>F</v>
          </cell>
          <cell r="H5049">
            <v>0</v>
          </cell>
        </row>
        <row r="5050">
          <cell r="A5050" t="str">
            <v>1;07;M;B;PAQ38a40</v>
          </cell>
          <cell r="B5050">
            <v>730069</v>
          </cell>
          <cell r="C5050" t="str">
            <v>M</v>
          </cell>
          <cell r="D5050" t="str">
            <v>MELILLA</v>
          </cell>
          <cell r="E5050" t="str">
            <v>07</v>
          </cell>
          <cell r="F5050" t="str">
            <v>PAQ38a40</v>
          </cell>
          <cell r="G5050" t="str">
            <v>B</v>
          </cell>
          <cell r="H5050">
            <v>0</v>
          </cell>
        </row>
        <row r="5051">
          <cell r="A5051" t="str">
            <v>1;07;M;E;</v>
          </cell>
          <cell r="B5051">
            <v>730069</v>
          </cell>
          <cell r="C5051" t="str">
            <v>M</v>
          </cell>
          <cell r="D5051" t="str">
            <v>MELILLA</v>
          </cell>
          <cell r="E5051" t="str">
            <v>07</v>
          </cell>
          <cell r="F5051" t="str">
            <v/>
          </cell>
          <cell r="G5051" t="str">
            <v>E</v>
          </cell>
          <cell r="H5051">
            <v>0</v>
          </cell>
        </row>
        <row r="5052">
          <cell r="A5052" t="str">
            <v>1;07;M;P;</v>
          </cell>
          <cell r="B5052">
            <v>730069</v>
          </cell>
          <cell r="C5052" t="str">
            <v>M</v>
          </cell>
          <cell r="D5052" t="str">
            <v>MELILLA</v>
          </cell>
          <cell r="E5052" t="str">
            <v>07</v>
          </cell>
          <cell r="F5052" t="str">
            <v/>
          </cell>
          <cell r="G5052" t="str">
            <v>P</v>
          </cell>
          <cell r="H5052">
            <v>0</v>
          </cell>
        </row>
        <row r="5053">
          <cell r="A5053" t="str">
            <v>1;10;M;B;BAG</v>
          </cell>
          <cell r="B5053">
            <v>730069</v>
          </cell>
          <cell r="C5053" t="str">
            <v>M</v>
          </cell>
          <cell r="D5053" t="str">
            <v>MELILLA</v>
          </cell>
          <cell r="E5053" t="str">
            <v>10</v>
          </cell>
          <cell r="F5053" t="str">
            <v>BAG</v>
          </cell>
          <cell r="G5053" t="str">
            <v>B</v>
          </cell>
          <cell r="H5053">
            <v>1.7</v>
          </cell>
        </row>
        <row r="5054">
          <cell r="A5054" t="str">
            <v>1;10;M;B;DOCS</v>
          </cell>
          <cell r="B5054">
            <v>730069</v>
          </cell>
          <cell r="C5054" t="str">
            <v>M</v>
          </cell>
          <cell r="D5054" t="str">
            <v>MELILLA</v>
          </cell>
          <cell r="E5054" t="str">
            <v>10</v>
          </cell>
          <cell r="F5054" t="str">
            <v>DOCS</v>
          </cell>
          <cell r="G5054" t="str">
            <v>B</v>
          </cell>
          <cell r="H5054">
            <v>1.7</v>
          </cell>
        </row>
        <row r="5055">
          <cell r="A5055" t="str">
            <v>1;14;M;B;BAG</v>
          </cell>
          <cell r="B5055">
            <v>730069</v>
          </cell>
          <cell r="C5055" t="str">
            <v>M</v>
          </cell>
          <cell r="D5055" t="str">
            <v>MELILLA</v>
          </cell>
          <cell r="E5055" t="str">
            <v>14</v>
          </cell>
          <cell r="F5055" t="str">
            <v>BAG</v>
          </cell>
          <cell r="G5055" t="str">
            <v>B</v>
          </cell>
          <cell r="H5055">
            <v>1.79</v>
          </cell>
        </row>
        <row r="5056">
          <cell r="A5056" t="str">
            <v>1;15;M;B;BAG</v>
          </cell>
          <cell r="B5056">
            <v>730069</v>
          </cell>
          <cell r="C5056" t="str">
            <v>M</v>
          </cell>
          <cell r="D5056" t="str">
            <v>MELILLA</v>
          </cell>
          <cell r="E5056" t="str">
            <v>15</v>
          </cell>
          <cell r="F5056" t="str">
            <v>BAG</v>
          </cell>
          <cell r="G5056" t="str">
            <v>B</v>
          </cell>
          <cell r="H5056">
            <v>1.79</v>
          </cell>
        </row>
        <row r="5057">
          <cell r="A5057" t="str">
            <v>1;21;M;B;BAG</v>
          </cell>
          <cell r="B5057">
            <v>730069</v>
          </cell>
          <cell r="C5057" t="str">
            <v>M</v>
          </cell>
          <cell r="D5057" t="str">
            <v>MELILLA</v>
          </cell>
          <cell r="E5057" t="str">
            <v>21</v>
          </cell>
          <cell r="F5057" t="str">
            <v>BAG</v>
          </cell>
          <cell r="G5057" t="str">
            <v>B</v>
          </cell>
          <cell r="H5057">
            <v>28.96</v>
          </cell>
        </row>
        <row r="5058">
          <cell r="A5058" t="str">
            <v>1;21;M;B;DOCS</v>
          </cell>
          <cell r="B5058">
            <v>730069</v>
          </cell>
          <cell r="C5058" t="str">
            <v>M</v>
          </cell>
          <cell r="D5058" t="str">
            <v>MELILLA</v>
          </cell>
          <cell r="E5058" t="str">
            <v>21</v>
          </cell>
          <cell r="F5058" t="str">
            <v>DOCS</v>
          </cell>
          <cell r="G5058" t="str">
            <v>B</v>
          </cell>
          <cell r="H5058">
            <v>28.96</v>
          </cell>
        </row>
        <row r="5059">
          <cell r="A5059" t="str">
            <v>1;21;M;B;PAQ00a02</v>
          </cell>
          <cell r="B5059">
            <v>730069</v>
          </cell>
          <cell r="C5059" t="str">
            <v>M</v>
          </cell>
          <cell r="D5059" t="str">
            <v>MELILLA</v>
          </cell>
          <cell r="E5059" t="str">
            <v>21</v>
          </cell>
          <cell r="F5059" t="str">
            <v>PAQ00a02</v>
          </cell>
          <cell r="G5059" t="str">
            <v>B</v>
          </cell>
          <cell r="H5059">
            <v>32.590000000000003</v>
          </cell>
        </row>
        <row r="5060">
          <cell r="A5060" t="str">
            <v>1;21;M;B;PAQ02a04</v>
          </cell>
          <cell r="B5060">
            <v>730069</v>
          </cell>
          <cell r="C5060" t="str">
            <v>M</v>
          </cell>
          <cell r="D5060" t="str">
            <v>MELILLA</v>
          </cell>
          <cell r="E5060" t="str">
            <v>21</v>
          </cell>
          <cell r="F5060" t="str">
            <v>PAQ02a04</v>
          </cell>
          <cell r="G5060" t="str">
            <v>B</v>
          </cell>
          <cell r="H5060">
            <v>49.44</v>
          </cell>
        </row>
        <row r="5061">
          <cell r="A5061" t="str">
            <v>1;21;M;B;PAQ04a06</v>
          </cell>
          <cell r="B5061">
            <v>730069</v>
          </cell>
          <cell r="C5061" t="str">
            <v>M</v>
          </cell>
          <cell r="D5061" t="str">
            <v>MELILLA</v>
          </cell>
          <cell r="E5061" t="str">
            <v>21</v>
          </cell>
          <cell r="F5061" t="str">
            <v>PAQ04a06</v>
          </cell>
          <cell r="G5061" t="str">
            <v>B</v>
          </cell>
          <cell r="H5061">
            <v>69.459999999999994</v>
          </cell>
        </row>
        <row r="5062">
          <cell r="A5062" t="str">
            <v>1;21;M;B;PAQ06a08</v>
          </cell>
          <cell r="B5062">
            <v>730069</v>
          </cell>
          <cell r="C5062" t="str">
            <v>M</v>
          </cell>
          <cell r="D5062" t="str">
            <v>MELILLA</v>
          </cell>
          <cell r="E5062" t="str">
            <v>21</v>
          </cell>
          <cell r="F5062" t="str">
            <v>PAQ06a08</v>
          </cell>
          <cell r="G5062" t="str">
            <v>B</v>
          </cell>
          <cell r="H5062">
            <v>89.47</v>
          </cell>
        </row>
        <row r="5063">
          <cell r="A5063" t="str">
            <v>1;21;M;B;PAQ08a10</v>
          </cell>
          <cell r="B5063">
            <v>730069</v>
          </cell>
          <cell r="C5063" t="str">
            <v>M</v>
          </cell>
          <cell r="D5063" t="str">
            <v>MELILLA</v>
          </cell>
          <cell r="E5063" t="str">
            <v>21</v>
          </cell>
          <cell r="F5063" t="str">
            <v>PAQ08a10</v>
          </cell>
          <cell r="G5063" t="str">
            <v>B</v>
          </cell>
          <cell r="H5063">
            <v>109.48</v>
          </cell>
        </row>
        <row r="5064">
          <cell r="A5064" t="str">
            <v>1;21;M;B;PAQ10a12</v>
          </cell>
          <cell r="B5064">
            <v>730069</v>
          </cell>
          <cell r="C5064" t="str">
            <v>M</v>
          </cell>
          <cell r="D5064" t="str">
            <v>MELILLA</v>
          </cell>
          <cell r="E5064" t="str">
            <v>21</v>
          </cell>
          <cell r="F5064" t="str">
            <v>PAQ10a12</v>
          </cell>
          <cell r="G5064" t="str">
            <v>B</v>
          </cell>
          <cell r="H5064">
            <v>129.49</v>
          </cell>
        </row>
        <row r="5065">
          <cell r="A5065" t="str">
            <v>1;21;M;B;PAQ12a14</v>
          </cell>
          <cell r="B5065">
            <v>730069</v>
          </cell>
          <cell r="C5065" t="str">
            <v>M</v>
          </cell>
          <cell r="D5065" t="str">
            <v>MELILLA</v>
          </cell>
          <cell r="E5065" t="str">
            <v>21</v>
          </cell>
          <cell r="F5065" t="str">
            <v>PAQ12a14</v>
          </cell>
          <cell r="G5065" t="str">
            <v>B</v>
          </cell>
          <cell r="H5065">
            <v>149.5</v>
          </cell>
        </row>
        <row r="5066">
          <cell r="A5066" t="str">
            <v>1;21;M;B;PAQ14a16</v>
          </cell>
          <cell r="B5066">
            <v>730069</v>
          </cell>
          <cell r="C5066" t="str">
            <v>M</v>
          </cell>
          <cell r="D5066" t="str">
            <v>MELILLA</v>
          </cell>
          <cell r="E5066" t="str">
            <v>21</v>
          </cell>
          <cell r="F5066" t="str">
            <v>PAQ14a16</v>
          </cell>
          <cell r="G5066" t="str">
            <v>B</v>
          </cell>
          <cell r="H5066">
            <v>169.51</v>
          </cell>
        </row>
        <row r="5067">
          <cell r="A5067" t="str">
            <v>1;21;M;B;PAQ16a18</v>
          </cell>
          <cell r="B5067">
            <v>730069</v>
          </cell>
          <cell r="C5067" t="str">
            <v>M</v>
          </cell>
          <cell r="D5067" t="str">
            <v>MELILLA</v>
          </cell>
          <cell r="E5067" t="str">
            <v>21</v>
          </cell>
          <cell r="F5067" t="str">
            <v>PAQ16a18</v>
          </cell>
          <cell r="G5067" t="str">
            <v>B</v>
          </cell>
          <cell r="H5067">
            <v>189.53</v>
          </cell>
        </row>
        <row r="5068">
          <cell r="A5068" t="str">
            <v>1;21;M;B;PAQ18a20</v>
          </cell>
          <cell r="B5068">
            <v>730069</v>
          </cell>
          <cell r="C5068" t="str">
            <v>M</v>
          </cell>
          <cell r="D5068" t="str">
            <v>MELILLA</v>
          </cell>
          <cell r="E5068" t="str">
            <v>21</v>
          </cell>
          <cell r="F5068" t="str">
            <v>PAQ18a20</v>
          </cell>
          <cell r="G5068" t="str">
            <v>B</v>
          </cell>
          <cell r="H5068">
            <v>209.53</v>
          </cell>
        </row>
        <row r="5069">
          <cell r="A5069" t="str">
            <v>1;21;M;B;PAQ20a22</v>
          </cell>
          <cell r="B5069">
            <v>730069</v>
          </cell>
          <cell r="C5069" t="str">
            <v>M</v>
          </cell>
          <cell r="D5069" t="str">
            <v>MELILLA</v>
          </cell>
          <cell r="E5069" t="str">
            <v>21</v>
          </cell>
          <cell r="F5069" t="str">
            <v>PAQ20a22</v>
          </cell>
          <cell r="G5069" t="str">
            <v>B</v>
          </cell>
          <cell r="H5069">
            <v>229.54</v>
          </cell>
        </row>
        <row r="5070">
          <cell r="A5070" t="str">
            <v>1;21;M;B;PAQ22a24</v>
          </cell>
          <cell r="B5070">
            <v>730069</v>
          </cell>
          <cell r="C5070" t="str">
            <v>M</v>
          </cell>
          <cell r="D5070" t="str">
            <v>MELILLA</v>
          </cell>
          <cell r="E5070" t="str">
            <v>21</v>
          </cell>
          <cell r="F5070" t="str">
            <v>PAQ22a24</v>
          </cell>
          <cell r="G5070" t="str">
            <v>B</v>
          </cell>
          <cell r="H5070">
            <v>249.55</v>
          </cell>
        </row>
        <row r="5071">
          <cell r="A5071" t="str">
            <v>1;21;M;B;PAQ24a26</v>
          </cell>
          <cell r="B5071">
            <v>730069</v>
          </cell>
          <cell r="C5071" t="str">
            <v>M</v>
          </cell>
          <cell r="D5071" t="str">
            <v>MELILLA</v>
          </cell>
          <cell r="E5071" t="str">
            <v>21</v>
          </cell>
          <cell r="F5071" t="str">
            <v>PAQ24a26</v>
          </cell>
          <cell r="G5071" t="str">
            <v>B</v>
          </cell>
          <cell r="H5071">
            <v>269.57</v>
          </cell>
        </row>
        <row r="5072">
          <cell r="A5072" t="str">
            <v>1;21;M;B;PAQ26a28</v>
          </cell>
          <cell r="B5072">
            <v>730069</v>
          </cell>
          <cell r="C5072" t="str">
            <v>M</v>
          </cell>
          <cell r="D5072" t="str">
            <v>MELILLA</v>
          </cell>
          <cell r="E5072" t="str">
            <v>21</v>
          </cell>
          <cell r="F5072" t="str">
            <v>PAQ26a28</v>
          </cell>
          <cell r="G5072" t="str">
            <v>B</v>
          </cell>
          <cell r="H5072">
            <v>289.57</v>
          </cell>
        </row>
        <row r="5073">
          <cell r="A5073" t="str">
            <v>1;21;M;B;PAQ28a30</v>
          </cell>
          <cell r="B5073">
            <v>730069</v>
          </cell>
          <cell r="C5073" t="str">
            <v>M</v>
          </cell>
          <cell r="D5073" t="str">
            <v>MELILLA</v>
          </cell>
          <cell r="E5073" t="str">
            <v>21</v>
          </cell>
          <cell r="F5073" t="str">
            <v>PAQ28a30</v>
          </cell>
          <cell r="G5073" t="str">
            <v>B</v>
          </cell>
          <cell r="H5073">
            <v>309.58</v>
          </cell>
        </row>
        <row r="5074">
          <cell r="A5074" t="str">
            <v>1;21;M;B;PAQ30a32</v>
          </cell>
          <cell r="B5074">
            <v>730069</v>
          </cell>
          <cell r="C5074" t="str">
            <v>M</v>
          </cell>
          <cell r="D5074" t="str">
            <v>MELILLA</v>
          </cell>
          <cell r="E5074" t="str">
            <v>21</v>
          </cell>
          <cell r="F5074" t="str">
            <v>PAQ30a32</v>
          </cell>
          <cell r="G5074" t="str">
            <v>B</v>
          </cell>
          <cell r="H5074">
            <v>329.6</v>
          </cell>
        </row>
        <row r="5075">
          <cell r="A5075" t="str">
            <v>1;21;M;B;PAQ32a34</v>
          </cell>
          <cell r="B5075">
            <v>730069</v>
          </cell>
          <cell r="C5075" t="str">
            <v>M</v>
          </cell>
          <cell r="D5075" t="str">
            <v>MELILLA</v>
          </cell>
          <cell r="E5075" t="str">
            <v>21</v>
          </cell>
          <cell r="F5075" t="str">
            <v>PAQ32a34</v>
          </cell>
          <cell r="G5075" t="str">
            <v>B</v>
          </cell>
          <cell r="H5075">
            <v>349.61</v>
          </cell>
        </row>
        <row r="5076">
          <cell r="A5076" t="str">
            <v>1;21;M;B;PAQ34a36</v>
          </cell>
          <cell r="B5076">
            <v>730069</v>
          </cell>
          <cell r="C5076" t="str">
            <v>M</v>
          </cell>
          <cell r="D5076" t="str">
            <v>MELILLA</v>
          </cell>
          <cell r="E5076" t="str">
            <v>21</v>
          </cell>
          <cell r="F5076" t="str">
            <v>PAQ34a36</v>
          </cell>
          <cell r="G5076" t="str">
            <v>B</v>
          </cell>
          <cell r="H5076">
            <v>369.61</v>
          </cell>
        </row>
        <row r="5077">
          <cell r="A5077" t="str">
            <v>1;21;M;B;PAQ36a38</v>
          </cell>
          <cell r="B5077">
            <v>730069</v>
          </cell>
          <cell r="C5077" t="str">
            <v>M</v>
          </cell>
          <cell r="D5077" t="str">
            <v>MELILLA</v>
          </cell>
          <cell r="E5077" t="str">
            <v>21</v>
          </cell>
          <cell r="F5077" t="str">
            <v>PAQ36a38</v>
          </cell>
          <cell r="G5077" t="str">
            <v>B</v>
          </cell>
          <cell r="H5077">
            <v>389.62</v>
          </cell>
        </row>
        <row r="5078">
          <cell r="A5078" t="str">
            <v>1;21;M;B;PAQ38a40</v>
          </cell>
          <cell r="B5078">
            <v>730069</v>
          </cell>
          <cell r="C5078" t="str">
            <v>M</v>
          </cell>
          <cell r="D5078" t="str">
            <v>MELILLA</v>
          </cell>
          <cell r="E5078" t="str">
            <v>21</v>
          </cell>
          <cell r="F5078" t="str">
            <v>PAQ38a40</v>
          </cell>
          <cell r="G5078" t="str">
            <v>B</v>
          </cell>
          <cell r="H5078">
            <v>409.64</v>
          </cell>
        </row>
        <row r="5079">
          <cell r="A5079" t="str">
            <v>1;21;M;F;</v>
          </cell>
          <cell r="B5079">
            <v>730069</v>
          </cell>
          <cell r="C5079" t="str">
            <v>M</v>
          </cell>
          <cell r="D5079" t="str">
            <v>MELILLA</v>
          </cell>
          <cell r="E5079" t="str">
            <v>21</v>
          </cell>
          <cell r="F5079" t="str">
            <v/>
          </cell>
          <cell r="G5079" t="str">
            <v>F</v>
          </cell>
          <cell r="H5079">
            <v>20.010000000000002</v>
          </cell>
        </row>
        <row r="5080">
          <cell r="A5080" t="str">
            <v>1;21;M;E;</v>
          </cell>
          <cell r="B5080">
            <v>730069</v>
          </cell>
          <cell r="C5080" t="str">
            <v>M</v>
          </cell>
          <cell r="D5080" t="str">
            <v>MELILLA</v>
          </cell>
          <cell r="E5080" t="str">
            <v>21</v>
          </cell>
          <cell r="F5080" t="str">
            <v/>
          </cell>
          <cell r="G5080" t="str">
            <v>E</v>
          </cell>
          <cell r="H5080">
            <v>0</v>
          </cell>
        </row>
        <row r="5081">
          <cell r="A5081" t="str">
            <v>1;21;M;P;</v>
          </cell>
          <cell r="B5081">
            <v>730069</v>
          </cell>
          <cell r="C5081" t="str">
            <v>M</v>
          </cell>
          <cell r="D5081" t="str">
            <v>MELILLA</v>
          </cell>
          <cell r="E5081" t="str">
            <v>21</v>
          </cell>
          <cell r="F5081" t="str">
            <v/>
          </cell>
          <cell r="G5081" t="str">
            <v>P</v>
          </cell>
          <cell r="H5081">
            <v>0</v>
          </cell>
        </row>
        <row r="5082">
          <cell r="A5082" t="str">
            <v>1;61;M;B;BAG</v>
          </cell>
          <cell r="B5082">
            <v>730069</v>
          </cell>
          <cell r="C5082" t="str">
            <v>M</v>
          </cell>
          <cell r="D5082" t="str">
            <v>MELILLA</v>
          </cell>
          <cell r="E5082" t="str">
            <v>61</v>
          </cell>
          <cell r="F5082" t="str">
            <v>BAG</v>
          </cell>
          <cell r="G5082" t="str">
            <v>B</v>
          </cell>
          <cell r="H5082">
            <v>23.05</v>
          </cell>
        </row>
        <row r="5083">
          <cell r="A5083" t="str">
            <v>1;61;M;B;PAQ00a02</v>
          </cell>
          <cell r="B5083">
            <v>730069</v>
          </cell>
          <cell r="C5083" t="str">
            <v>M</v>
          </cell>
          <cell r="D5083" t="str">
            <v>MELILLA</v>
          </cell>
          <cell r="E5083" t="str">
            <v>61</v>
          </cell>
          <cell r="F5083" t="str">
            <v>PAQ00a02</v>
          </cell>
          <cell r="G5083" t="str">
            <v>B</v>
          </cell>
          <cell r="H5083">
            <v>26.65</v>
          </cell>
        </row>
        <row r="5084">
          <cell r="A5084" t="str">
            <v>1;61;M;B;PAQ02a04</v>
          </cell>
          <cell r="B5084">
            <v>730069</v>
          </cell>
          <cell r="C5084" t="str">
            <v>M</v>
          </cell>
          <cell r="D5084" t="str">
            <v>MELILLA</v>
          </cell>
          <cell r="E5084" t="str">
            <v>61</v>
          </cell>
          <cell r="F5084" t="str">
            <v>PAQ02a04</v>
          </cell>
          <cell r="G5084" t="str">
            <v>B</v>
          </cell>
          <cell r="H5084">
            <v>43.5</v>
          </cell>
        </row>
        <row r="5085">
          <cell r="A5085" t="str">
            <v>1;61;M;B;PAQ04a06</v>
          </cell>
          <cell r="B5085">
            <v>730069</v>
          </cell>
          <cell r="C5085" t="str">
            <v>M</v>
          </cell>
          <cell r="D5085" t="str">
            <v>MELILLA</v>
          </cell>
          <cell r="E5085" t="str">
            <v>61</v>
          </cell>
          <cell r="F5085" t="str">
            <v>PAQ04a06</v>
          </cell>
          <cell r="G5085" t="str">
            <v>B</v>
          </cell>
          <cell r="H5085">
            <v>63.51</v>
          </cell>
        </row>
        <row r="5086">
          <cell r="A5086" t="str">
            <v>1;61;M;B;PAQ06a08</v>
          </cell>
          <cell r="B5086">
            <v>730069</v>
          </cell>
          <cell r="C5086" t="str">
            <v>M</v>
          </cell>
          <cell r="D5086" t="str">
            <v>MELILLA</v>
          </cell>
          <cell r="E5086" t="str">
            <v>61</v>
          </cell>
          <cell r="F5086" t="str">
            <v>PAQ06a08</v>
          </cell>
          <cell r="G5086" t="str">
            <v>B</v>
          </cell>
          <cell r="H5086">
            <v>83.53</v>
          </cell>
        </row>
        <row r="5087">
          <cell r="A5087" t="str">
            <v>1;61;M;B;PAQ08a10</v>
          </cell>
          <cell r="B5087">
            <v>730069</v>
          </cell>
          <cell r="C5087" t="str">
            <v>M</v>
          </cell>
          <cell r="D5087" t="str">
            <v>MELILLA</v>
          </cell>
          <cell r="E5087" t="str">
            <v>61</v>
          </cell>
          <cell r="F5087" t="str">
            <v>PAQ08a10</v>
          </cell>
          <cell r="G5087" t="str">
            <v>B</v>
          </cell>
          <cell r="H5087">
            <v>103.54</v>
          </cell>
        </row>
        <row r="5088">
          <cell r="A5088" t="str">
            <v>1;61;M;B;PAQ10a12</v>
          </cell>
          <cell r="B5088">
            <v>730069</v>
          </cell>
          <cell r="C5088" t="str">
            <v>M</v>
          </cell>
          <cell r="D5088" t="str">
            <v>MELILLA</v>
          </cell>
          <cell r="E5088" t="str">
            <v>61</v>
          </cell>
          <cell r="F5088" t="str">
            <v>PAQ10a12</v>
          </cell>
          <cell r="G5088" t="str">
            <v>B</v>
          </cell>
          <cell r="H5088">
            <v>123.54</v>
          </cell>
        </row>
        <row r="5089">
          <cell r="A5089" t="str">
            <v>1;61;M;B;PAQ12a14</v>
          </cell>
          <cell r="B5089">
            <v>730069</v>
          </cell>
          <cell r="C5089" t="str">
            <v>M</v>
          </cell>
          <cell r="D5089" t="str">
            <v>MELILLA</v>
          </cell>
          <cell r="E5089" t="str">
            <v>61</v>
          </cell>
          <cell r="F5089" t="str">
            <v>PAQ12a14</v>
          </cell>
          <cell r="G5089" t="str">
            <v>B</v>
          </cell>
          <cell r="H5089">
            <v>143.56</v>
          </cell>
        </row>
        <row r="5090">
          <cell r="A5090" t="str">
            <v>1;61;M;B;PAQ14a16</v>
          </cell>
          <cell r="B5090">
            <v>730069</v>
          </cell>
          <cell r="C5090" t="str">
            <v>M</v>
          </cell>
          <cell r="D5090" t="str">
            <v>MELILLA</v>
          </cell>
          <cell r="E5090" t="str">
            <v>61</v>
          </cell>
          <cell r="F5090" t="str">
            <v>PAQ14a16</v>
          </cell>
          <cell r="G5090" t="str">
            <v>B</v>
          </cell>
          <cell r="H5090">
            <v>163.57</v>
          </cell>
        </row>
        <row r="5091">
          <cell r="A5091" t="str">
            <v>1;61;M;B;PAQ16a18</v>
          </cell>
          <cell r="B5091">
            <v>730069</v>
          </cell>
          <cell r="C5091" t="str">
            <v>M</v>
          </cell>
          <cell r="D5091" t="str">
            <v>MELILLA</v>
          </cell>
          <cell r="E5091" t="str">
            <v>61</v>
          </cell>
          <cell r="F5091" t="str">
            <v>PAQ16a18</v>
          </cell>
          <cell r="G5091" t="str">
            <v>B</v>
          </cell>
          <cell r="H5091">
            <v>183.58</v>
          </cell>
        </row>
        <row r="5092">
          <cell r="A5092" t="str">
            <v>1;61;M;B;PAQ18a20</v>
          </cell>
          <cell r="B5092">
            <v>730069</v>
          </cell>
          <cell r="C5092" t="str">
            <v>M</v>
          </cell>
          <cell r="D5092" t="str">
            <v>MELILLA</v>
          </cell>
          <cell r="E5092" t="str">
            <v>61</v>
          </cell>
          <cell r="F5092" t="str">
            <v>PAQ18a20</v>
          </cell>
          <cell r="G5092" t="str">
            <v>B</v>
          </cell>
          <cell r="H5092">
            <v>203.58</v>
          </cell>
        </row>
        <row r="5093">
          <cell r="A5093" t="str">
            <v>1;61;M;B;PAQ20a22</v>
          </cell>
          <cell r="B5093">
            <v>730069</v>
          </cell>
          <cell r="C5093" t="str">
            <v>M</v>
          </cell>
          <cell r="D5093" t="str">
            <v>MELILLA</v>
          </cell>
          <cell r="E5093" t="str">
            <v>61</v>
          </cell>
          <cell r="F5093" t="str">
            <v>PAQ20a22</v>
          </cell>
          <cell r="G5093" t="str">
            <v>B</v>
          </cell>
          <cell r="H5093">
            <v>223.6</v>
          </cell>
        </row>
        <row r="5094">
          <cell r="A5094" t="str">
            <v>1;61;M;B;PAQ22a24</v>
          </cell>
          <cell r="B5094">
            <v>730069</v>
          </cell>
          <cell r="C5094" t="str">
            <v>M</v>
          </cell>
          <cell r="D5094" t="str">
            <v>MELILLA</v>
          </cell>
          <cell r="E5094" t="str">
            <v>61</v>
          </cell>
          <cell r="F5094" t="str">
            <v>PAQ22a24</v>
          </cell>
          <cell r="G5094" t="str">
            <v>B</v>
          </cell>
          <cell r="H5094">
            <v>243.61</v>
          </cell>
        </row>
        <row r="5095">
          <cell r="A5095" t="str">
            <v>1;61;M;B;PAQ24a26</v>
          </cell>
          <cell r="B5095">
            <v>730069</v>
          </cell>
          <cell r="C5095" t="str">
            <v>M</v>
          </cell>
          <cell r="D5095" t="str">
            <v>MELILLA</v>
          </cell>
          <cell r="E5095" t="str">
            <v>61</v>
          </cell>
          <cell r="F5095" t="str">
            <v>PAQ24a26</v>
          </cell>
          <cell r="G5095" t="str">
            <v>B</v>
          </cell>
          <cell r="H5095">
            <v>263.62</v>
          </cell>
        </row>
        <row r="5096">
          <cell r="A5096" t="str">
            <v>1;61;M;B;PAQ26a28</v>
          </cell>
          <cell r="B5096">
            <v>730069</v>
          </cell>
          <cell r="C5096" t="str">
            <v>M</v>
          </cell>
          <cell r="D5096" t="str">
            <v>MELILLA</v>
          </cell>
          <cell r="E5096" t="str">
            <v>61</v>
          </cell>
          <cell r="F5096" t="str">
            <v>PAQ26a28</v>
          </cell>
          <cell r="G5096" t="str">
            <v>B</v>
          </cell>
          <cell r="H5096">
            <v>283.63</v>
          </cell>
        </row>
        <row r="5097">
          <cell r="A5097" t="str">
            <v>1;61;M;B;PAQ28a30</v>
          </cell>
          <cell r="B5097">
            <v>730069</v>
          </cell>
          <cell r="C5097" t="str">
            <v>M</v>
          </cell>
          <cell r="D5097" t="str">
            <v>MELILLA</v>
          </cell>
          <cell r="E5097" t="str">
            <v>61</v>
          </cell>
          <cell r="F5097" t="str">
            <v>PAQ28a30</v>
          </cell>
          <cell r="G5097" t="str">
            <v>B</v>
          </cell>
          <cell r="H5097">
            <v>303.64</v>
          </cell>
        </row>
        <row r="5098">
          <cell r="A5098" t="str">
            <v>1;61;M;B;PAQ30a32</v>
          </cell>
          <cell r="B5098">
            <v>730069</v>
          </cell>
          <cell r="C5098" t="str">
            <v>M</v>
          </cell>
          <cell r="D5098" t="str">
            <v>MELILLA</v>
          </cell>
          <cell r="E5098" t="str">
            <v>61</v>
          </cell>
          <cell r="F5098" t="str">
            <v>PAQ30a32</v>
          </cell>
          <cell r="G5098" t="str">
            <v>B</v>
          </cell>
          <cell r="H5098">
            <v>323.64999999999998</v>
          </cell>
        </row>
        <row r="5099">
          <cell r="A5099" t="str">
            <v>1;61;M;B;PAQ32a34</v>
          </cell>
          <cell r="B5099">
            <v>730069</v>
          </cell>
          <cell r="C5099" t="str">
            <v>M</v>
          </cell>
          <cell r="D5099" t="str">
            <v>MELILLA</v>
          </cell>
          <cell r="E5099" t="str">
            <v>61</v>
          </cell>
          <cell r="F5099" t="str">
            <v>PAQ32a34</v>
          </cell>
          <cell r="G5099" t="str">
            <v>B</v>
          </cell>
          <cell r="H5099">
            <v>343.67</v>
          </cell>
        </row>
        <row r="5100">
          <cell r="A5100" t="str">
            <v>1;61;M;B;PAQ34a36</v>
          </cell>
          <cell r="B5100">
            <v>730069</v>
          </cell>
          <cell r="C5100" t="str">
            <v>M</v>
          </cell>
          <cell r="D5100" t="str">
            <v>MELILLA</v>
          </cell>
          <cell r="E5100" t="str">
            <v>61</v>
          </cell>
          <cell r="F5100" t="str">
            <v>PAQ34a36</v>
          </cell>
          <cell r="G5100" t="str">
            <v>B</v>
          </cell>
          <cell r="H5100">
            <v>363.67</v>
          </cell>
        </row>
        <row r="5101">
          <cell r="A5101" t="str">
            <v>1;61;M;B;PAQ36a38</v>
          </cell>
          <cell r="B5101">
            <v>730069</v>
          </cell>
          <cell r="C5101" t="str">
            <v>M</v>
          </cell>
          <cell r="D5101" t="str">
            <v>MELILLA</v>
          </cell>
          <cell r="E5101" t="str">
            <v>61</v>
          </cell>
          <cell r="F5101" t="str">
            <v>PAQ36a38</v>
          </cell>
          <cell r="G5101" t="str">
            <v>B</v>
          </cell>
          <cell r="H5101">
            <v>383.68</v>
          </cell>
        </row>
        <row r="5102">
          <cell r="A5102" t="str">
            <v>1;61;M;B;PAQ38a40</v>
          </cell>
          <cell r="B5102">
            <v>730069</v>
          </cell>
          <cell r="C5102" t="str">
            <v>M</v>
          </cell>
          <cell r="D5102" t="str">
            <v>MELILLA</v>
          </cell>
          <cell r="E5102" t="str">
            <v>61</v>
          </cell>
          <cell r="F5102" t="str">
            <v>PAQ38a40</v>
          </cell>
          <cell r="G5102" t="str">
            <v>B</v>
          </cell>
          <cell r="H5102">
            <v>403.69</v>
          </cell>
        </row>
        <row r="5103">
          <cell r="A5103" t="str">
            <v>1;61;M;F;</v>
          </cell>
          <cell r="B5103">
            <v>730069</v>
          </cell>
          <cell r="C5103" t="str">
            <v>M</v>
          </cell>
          <cell r="D5103" t="str">
            <v>MELILLA</v>
          </cell>
          <cell r="E5103" t="str">
            <v>61</v>
          </cell>
          <cell r="F5103" t="str">
            <v/>
          </cell>
          <cell r="G5103" t="str">
            <v>F</v>
          </cell>
          <cell r="H5103">
            <v>20.010000000000002</v>
          </cell>
        </row>
        <row r="5104">
          <cell r="A5104" t="str">
            <v>1;61;M;E;</v>
          </cell>
          <cell r="B5104">
            <v>730069</v>
          </cell>
          <cell r="C5104" t="str">
            <v>M</v>
          </cell>
          <cell r="D5104" t="str">
            <v>MELILLA</v>
          </cell>
          <cell r="E5104" t="str">
            <v>61</v>
          </cell>
          <cell r="F5104" t="str">
            <v/>
          </cell>
          <cell r="G5104" t="str">
            <v>E</v>
          </cell>
          <cell r="H5104">
            <v>0</v>
          </cell>
        </row>
        <row r="5105">
          <cell r="A5105" t="str">
            <v>1;61;M;P;</v>
          </cell>
          <cell r="B5105">
            <v>730069</v>
          </cell>
          <cell r="C5105" t="str">
            <v>M</v>
          </cell>
          <cell r="D5105" t="str">
            <v>MELILLA</v>
          </cell>
          <cell r="E5105" t="str">
            <v>61</v>
          </cell>
          <cell r="F5105" t="str">
            <v/>
          </cell>
          <cell r="G5105" t="str">
            <v>P</v>
          </cell>
          <cell r="H5105">
            <v>0</v>
          </cell>
        </row>
        <row r="5106">
          <cell r="A5106" t="str">
            <v>1;71;M;B;48L 15-25</v>
          </cell>
          <cell r="B5106">
            <v>730069</v>
          </cell>
          <cell r="C5106" t="str">
            <v>M</v>
          </cell>
          <cell r="D5106" t="str">
            <v>MELILLA</v>
          </cell>
          <cell r="E5106" t="str">
            <v>71</v>
          </cell>
          <cell r="F5106" t="str">
            <v>48L 15-25</v>
          </cell>
          <cell r="G5106" t="str">
            <v>B</v>
          </cell>
          <cell r="H5106">
            <v>177.29</v>
          </cell>
        </row>
        <row r="5107">
          <cell r="A5107" t="str">
            <v>1;71;M;B;48LAR</v>
          </cell>
          <cell r="B5107">
            <v>730069</v>
          </cell>
          <cell r="C5107" t="str">
            <v>M</v>
          </cell>
          <cell r="D5107" t="str">
            <v>MELILLA</v>
          </cell>
          <cell r="E5107" t="str">
            <v>71</v>
          </cell>
          <cell r="F5107" t="str">
            <v>48LAR</v>
          </cell>
          <cell r="G5107" t="str">
            <v>B</v>
          </cell>
          <cell r="H5107">
            <v>174.67</v>
          </cell>
        </row>
        <row r="5108">
          <cell r="A5108" t="str">
            <v>1;71;M;B;48M 15-25</v>
          </cell>
          <cell r="B5108">
            <v>730069</v>
          </cell>
          <cell r="C5108" t="str">
            <v>M</v>
          </cell>
          <cell r="D5108" t="str">
            <v>MELILLA</v>
          </cell>
          <cell r="E5108" t="str">
            <v>71</v>
          </cell>
          <cell r="F5108" t="str">
            <v>48M 15-25</v>
          </cell>
          <cell r="G5108" t="str">
            <v>B</v>
          </cell>
          <cell r="H5108">
            <v>153.13</v>
          </cell>
        </row>
        <row r="5109">
          <cell r="A5109" t="str">
            <v>1;71;M;B;48MED</v>
          </cell>
          <cell r="B5109">
            <v>730069</v>
          </cell>
          <cell r="C5109" t="str">
            <v>M</v>
          </cell>
          <cell r="D5109" t="str">
            <v>MELILLA</v>
          </cell>
          <cell r="E5109" t="str">
            <v>71</v>
          </cell>
          <cell r="F5109" t="str">
            <v>48MED</v>
          </cell>
          <cell r="G5109" t="str">
            <v>B</v>
          </cell>
          <cell r="H5109">
            <v>136.57</v>
          </cell>
        </row>
        <row r="5110">
          <cell r="A5110" t="str">
            <v>1;71;M;B;48S 15-25</v>
          </cell>
          <cell r="B5110">
            <v>730069</v>
          </cell>
          <cell r="C5110" t="str">
            <v>M</v>
          </cell>
          <cell r="D5110" t="str">
            <v>MELILLA</v>
          </cell>
          <cell r="E5110" t="str">
            <v>71</v>
          </cell>
          <cell r="F5110" t="str">
            <v>48S 15-25</v>
          </cell>
          <cell r="G5110" t="str">
            <v>B</v>
          </cell>
          <cell r="H5110">
            <v>127.88</v>
          </cell>
        </row>
        <row r="5111">
          <cell r="A5111" t="str">
            <v>1;71;M;B;48SMA</v>
          </cell>
          <cell r="B5111">
            <v>730069</v>
          </cell>
          <cell r="C5111" t="str">
            <v>M</v>
          </cell>
          <cell r="D5111" t="str">
            <v>MELILLA</v>
          </cell>
          <cell r="E5111" t="str">
            <v>71</v>
          </cell>
          <cell r="F5111" t="str">
            <v>48SMA</v>
          </cell>
          <cell r="G5111" t="str">
            <v>B</v>
          </cell>
          <cell r="H5111">
            <v>118.15</v>
          </cell>
        </row>
        <row r="5112">
          <cell r="A5112" t="str">
            <v>1;71;M;B;96M 15-25</v>
          </cell>
          <cell r="B5112">
            <v>730069</v>
          </cell>
          <cell r="C5112" t="str">
            <v>M</v>
          </cell>
          <cell r="D5112" t="str">
            <v>MELILLA</v>
          </cell>
          <cell r="E5112" t="str">
            <v>71</v>
          </cell>
          <cell r="F5112" t="str">
            <v>96M 15-25</v>
          </cell>
          <cell r="G5112" t="str">
            <v>B</v>
          </cell>
          <cell r="H5112">
            <v>269.02</v>
          </cell>
        </row>
        <row r="5113">
          <cell r="A5113" t="str">
            <v>1;71;M;B;96MED</v>
          </cell>
          <cell r="B5113">
            <v>730069</v>
          </cell>
          <cell r="C5113" t="str">
            <v>M</v>
          </cell>
          <cell r="D5113" t="str">
            <v>MELILLA</v>
          </cell>
          <cell r="E5113" t="str">
            <v>71</v>
          </cell>
          <cell r="F5113" t="str">
            <v>96MED</v>
          </cell>
          <cell r="G5113" t="str">
            <v>B</v>
          </cell>
          <cell r="H5113">
            <v>233.86</v>
          </cell>
        </row>
        <row r="5114">
          <cell r="A5114" t="str">
            <v>1;71;M;B;96S 15-25</v>
          </cell>
          <cell r="B5114">
            <v>730069</v>
          </cell>
          <cell r="C5114" t="str">
            <v>M</v>
          </cell>
          <cell r="D5114" t="str">
            <v>MELILLA</v>
          </cell>
          <cell r="E5114" t="str">
            <v>71</v>
          </cell>
          <cell r="F5114" t="str">
            <v>96S 15-25</v>
          </cell>
          <cell r="G5114" t="str">
            <v>B</v>
          </cell>
          <cell r="H5114">
            <v>190.89</v>
          </cell>
        </row>
        <row r="5115">
          <cell r="A5115" t="str">
            <v>1;71;M;B;96SMA</v>
          </cell>
          <cell r="B5115">
            <v>730069</v>
          </cell>
          <cell r="C5115" t="str">
            <v>M</v>
          </cell>
          <cell r="D5115" t="str">
            <v>MELILLA</v>
          </cell>
          <cell r="E5115" t="str">
            <v>71</v>
          </cell>
          <cell r="F5115" t="str">
            <v>96SMA</v>
          </cell>
          <cell r="G5115" t="str">
            <v>B</v>
          </cell>
          <cell r="H5115">
            <v>157.22</v>
          </cell>
        </row>
        <row r="5116">
          <cell r="A5116" t="str">
            <v>1;78;M;B;48L 15-25</v>
          </cell>
          <cell r="B5116">
            <v>730069</v>
          </cell>
          <cell r="C5116" t="str">
            <v>M</v>
          </cell>
          <cell r="D5116" t="str">
            <v>MELILLA</v>
          </cell>
          <cell r="E5116" t="str">
            <v>78</v>
          </cell>
          <cell r="F5116" t="str">
            <v>48L 15-25</v>
          </cell>
          <cell r="G5116" t="str">
            <v>B</v>
          </cell>
          <cell r="H5116">
            <v>5</v>
          </cell>
        </row>
        <row r="5117">
          <cell r="A5117" t="str">
            <v>1;78;M;B;48LAR</v>
          </cell>
          <cell r="B5117">
            <v>730069</v>
          </cell>
          <cell r="C5117" t="str">
            <v>M</v>
          </cell>
          <cell r="D5117" t="str">
            <v>MELILLA</v>
          </cell>
          <cell r="E5117" t="str">
            <v>78</v>
          </cell>
          <cell r="F5117" t="str">
            <v>48LAR</v>
          </cell>
          <cell r="G5117" t="str">
            <v>B</v>
          </cell>
          <cell r="H5117">
            <v>5</v>
          </cell>
        </row>
        <row r="5118">
          <cell r="A5118" t="str">
            <v>1;78;M;B;48M 15-25</v>
          </cell>
          <cell r="B5118">
            <v>730069</v>
          </cell>
          <cell r="C5118" t="str">
            <v>M</v>
          </cell>
          <cell r="D5118" t="str">
            <v>MELILLA</v>
          </cell>
          <cell r="E5118" t="str">
            <v>78</v>
          </cell>
          <cell r="F5118" t="str">
            <v>48M 15-25</v>
          </cell>
          <cell r="G5118" t="str">
            <v>B</v>
          </cell>
          <cell r="H5118">
            <v>5</v>
          </cell>
        </row>
        <row r="5119">
          <cell r="A5119" t="str">
            <v>1;78;M;B;48MED</v>
          </cell>
          <cell r="B5119">
            <v>730069</v>
          </cell>
          <cell r="C5119" t="str">
            <v>M</v>
          </cell>
          <cell r="D5119" t="str">
            <v>MELILLA</v>
          </cell>
          <cell r="E5119" t="str">
            <v>78</v>
          </cell>
          <cell r="F5119" t="str">
            <v>48MED</v>
          </cell>
          <cell r="G5119" t="str">
            <v>B</v>
          </cell>
          <cell r="H5119">
            <v>5</v>
          </cell>
        </row>
        <row r="5120">
          <cell r="A5120" t="str">
            <v>1;78;M;B;48S 15-25</v>
          </cell>
          <cell r="B5120">
            <v>730069</v>
          </cell>
          <cell r="C5120" t="str">
            <v>M</v>
          </cell>
          <cell r="D5120" t="str">
            <v>MELILLA</v>
          </cell>
          <cell r="E5120" t="str">
            <v>78</v>
          </cell>
          <cell r="F5120" t="str">
            <v>48S 15-25</v>
          </cell>
          <cell r="G5120" t="str">
            <v>B</v>
          </cell>
          <cell r="H5120">
            <v>5</v>
          </cell>
        </row>
        <row r="5121">
          <cell r="A5121" t="str">
            <v>1;78;M;B;48SMA</v>
          </cell>
          <cell r="B5121">
            <v>730069</v>
          </cell>
          <cell r="C5121" t="str">
            <v>M</v>
          </cell>
          <cell r="D5121" t="str">
            <v>MELILLA</v>
          </cell>
          <cell r="E5121" t="str">
            <v>78</v>
          </cell>
          <cell r="F5121" t="str">
            <v>48SMA</v>
          </cell>
          <cell r="G5121" t="str">
            <v>B</v>
          </cell>
          <cell r="H5121">
            <v>5</v>
          </cell>
        </row>
        <row r="5122">
          <cell r="A5122" t="str">
            <v>1;78;M;B;96M 15-25</v>
          </cell>
          <cell r="B5122">
            <v>730069</v>
          </cell>
          <cell r="C5122" t="str">
            <v>M</v>
          </cell>
          <cell r="D5122" t="str">
            <v>MELILLA</v>
          </cell>
          <cell r="E5122" t="str">
            <v>78</v>
          </cell>
          <cell r="F5122" t="str">
            <v>96M 15-25</v>
          </cell>
          <cell r="G5122" t="str">
            <v>B</v>
          </cell>
          <cell r="H5122">
            <v>5</v>
          </cell>
        </row>
        <row r="5123">
          <cell r="A5123" t="str">
            <v>1;78;M;B;96MED</v>
          </cell>
          <cell r="B5123">
            <v>730069</v>
          </cell>
          <cell r="C5123" t="str">
            <v>M</v>
          </cell>
          <cell r="D5123" t="str">
            <v>MELILLA</v>
          </cell>
          <cell r="E5123" t="str">
            <v>78</v>
          </cell>
          <cell r="F5123" t="str">
            <v>96MED</v>
          </cell>
          <cell r="G5123" t="str">
            <v>B</v>
          </cell>
          <cell r="H5123">
            <v>5</v>
          </cell>
        </row>
        <row r="5124">
          <cell r="A5124" t="str">
            <v>1;78;M;B;96S 15-25</v>
          </cell>
          <cell r="B5124">
            <v>730069</v>
          </cell>
          <cell r="C5124" t="str">
            <v>M</v>
          </cell>
          <cell r="D5124" t="str">
            <v>MELILLA</v>
          </cell>
          <cell r="E5124" t="str">
            <v>78</v>
          </cell>
          <cell r="F5124" t="str">
            <v>96S 15-25</v>
          </cell>
          <cell r="G5124" t="str">
            <v>B</v>
          </cell>
          <cell r="H5124">
            <v>5</v>
          </cell>
        </row>
        <row r="5125">
          <cell r="A5125" t="str">
            <v>1;78;M;B;96SMA</v>
          </cell>
          <cell r="B5125">
            <v>730069</v>
          </cell>
          <cell r="C5125" t="str">
            <v>M</v>
          </cell>
          <cell r="D5125" t="str">
            <v>MELILLA</v>
          </cell>
          <cell r="E5125" t="str">
            <v>78</v>
          </cell>
          <cell r="F5125" t="str">
            <v>96SMA</v>
          </cell>
          <cell r="G5125" t="str">
            <v>B</v>
          </cell>
          <cell r="H5125">
            <v>5</v>
          </cell>
        </row>
        <row r="5126">
          <cell r="A5126" t="str">
            <v>1;79;M;B;48L 15-25</v>
          </cell>
          <cell r="B5126">
            <v>730069</v>
          </cell>
          <cell r="C5126" t="str">
            <v>M</v>
          </cell>
          <cell r="D5126" t="str">
            <v>MELILLA</v>
          </cell>
          <cell r="E5126" t="str">
            <v>79</v>
          </cell>
          <cell r="F5126" t="str">
            <v>48L 15-25</v>
          </cell>
          <cell r="G5126" t="str">
            <v>B</v>
          </cell>
          <cell r="H5126">
            <v>0</v>
          </cell>
        </row>
        <row r="5127">
          <cell r="A5127" t="str">
            <v>1;79;M;B;48LAR</v>
          </cell>
          <cell r="B5127">
            <v>730069</v>
          </cell>
          <cell r="C5127" t="str">
            <v>M</v>
          </cell>
          <cell r="D5127" t="str">
            <v>MELILLA</v>
          </cell>
          <cell r="E5127" t="str">
            <v>79</v>
          </cell>
          <cell r="F5127" t="str">
            <v>48LAR</v>
          </cell>
          <cell r="G5127" t="str">
            <v>B</v>
          </cell>
          <cell r="H5127">
            <v>0</v>
          </cell>
        </row>
        <row r="5128">
          <cell r="A5128" t="str">
            <v>1;79;M;B;48M 15-25</v>
          </cell>
          <cell r="B5128">
            <v>730069</v>
          </cell>
          <cell r="C5128" t="str">
            <v>M</v>
          </cell>
          <cell r="D5128" t="str">
            <v>MELILLA</v>
          </cell>
          <cell r="E5128" t="str">
            <v>79</v>
          </cell>
          <cell r="F5128" t="str">
            <v>48M 15-25</v>
          </cell>
          <cell r="G5128" t="str">
            <v>B</v>
          </cell>
          <cell r="H5128">
            <v>0</v>
          </cell>
        </row>
        <row r="5129">
          <cell r="A5129" t="str">
            <v>1;79;M;B;48MED</v>
          </cell>
          <cell r="B5129">
            <v>730069</v>
          </cell>
          <cell r="C5129" t="str">
            <v>M</v>
          </cell>
          <cell r="D5129" t="str">
            <v>MELILLA</v>
          </cell>
          <cell r="E5129" t="str">
            <v>79</v>
          </cell>
          <cell r="F5129" t="str">
            <v>48MED</v>
          </cell>
          <cell r="G5129" t="str">
            <v>B</v>
          </cell>
          <cell r="H5129">
            <v>0</v>
          </cell>
        </row>
        <row r="5130">
          <cell r="A5130" t="str">
            <v>1;79;M;B;48S 15-25</v>
          </cell>
          <cell r="B5130">
            <v>730069</v>
          </cell>
          <cell r="C5130" t="str">
            <v>M</v>
          </cell>
          <cell r="D5130" t="str">
            <v>MELILLA</v>
          </cell>
          <cell r="E5130" t="str">
            <v>79</v>
          </cell>
          <cell r="F5130" t="str">
            <v>48S 15-25</v>
          </cell>
          <cell r="G5130" t="str">
            <v>B</v>
          </cell>
          <cell r="H5130">
            <v>0</v>
          </cell>
        </row>
        <row r="5131">
          <cell r="A5131" t="str">
            <v>1;79;M;B;48SMA</v>
          </cell>
          <cell r="B5131">
            <v>730069</v>
          </cell>
          <cell r="C5131" t="str">
            <v>M</v>
          </cell>
          <cell r="D5131" t="str">
            <v>MELILLA</v>
          </cell>
          <cell r="E5131" t="str">
            <v>79</v>
          </cell>
          <cell r="F5131" t="str">
            <v>48SMA</v>
          </cell>
          <cell r="G5131" t="str">
            <v>B</v>
          </cell>
          <cell r="H5131">
            <v>0</v>
          </cell>
        </row>
        <row r="5132">
          <cell r="A5132" t="str">
            <v>1;79;M;B;96M 15-25</v>
          </cell>
          <cell r="B5132">
            <v>730069</v>
          </cell>
          <cell r="C5132" t="str">
            <v>M</v>
          </cell>
          <cell r="D5132" t="str">
            <v>MELILLA</v>
          </cell>
          <cell r="E5132" t="str">
            <v>79</v>
          </cell>
          <cell r="F5132" t="str">
            <v>96M 15-25</v>
          </cell>
          <cell r="G5132" t="str">
            <v>B</v>
          </cell>
          <cell r="H5132">
            <v>0</v>
          </cell>
        </row>
        <row r="5133">
          <cell r="A5133" t="str">
            <v>1;79;M;B;96MED</v>
          </cell>
          <cell r="B5133">
            <v>730069</v>
          </cell>
          <cell r="C5133" t="str">
            <v>M</v>
          </cell>
          <cell r="D5133" t="str">
            <v>MELILLA</v>
          </cell>
          <cell r="E5133" t="str">
            <v>79</v>
          </cell>
          <cell r="F5133" t="str">
            <v>96MED</v>
          </cell>
          <cell r="G5133" t="str">
            <v>B</v>
          </cell>
          <cell r="H5133">
            <v>0</v>
          </cell>
        </row>
        <row r="5134">
          <cell r="A5134" t="str">
            <v>1;79;M;B;96S 15-25</v>
          </cell>
          <cell r="B5134">
            <v>730069</v>
          </cell>
          <cell r="C5134" t="str">
            <v>M</v>
          </cell>
          <cell r="D5134" t="str">
            <v>MELILLA</v>
          </cell>
          <cell r="E5134" t="str">
            <v>79</v>
          </cell>
          <cell r="F5134" t="str">
            <v>96S 15-25</v>
          </cell>
          <cell r="G5134" t="str">
            <v>B</v>
          </cell>
          <cell r="H5134">
            <v>0</v>
          </cell>
        </row>
        <row r="5135">
          <cell r="A5135" t="str">
            <v>1;79;M;B;96SMA</v>
          </cell>
          <cell r="B5135">
            <v>730069</v>
          </cell>
          <cell r="C5135" t="str">
            <v>M</v>
          </cell>
          <cell r="D5135" t="str">
            <v>MELILLA</v>
          </cell>
          <cell r="E5135" t="str">
            <v>79</v>
          </cell>
          <cell r="F5135" t="str">
            <v>96SMA</v>
          </cell>
          <cell r="G5135" t="str">
            <v>B</v>
          </cell>
          <cell r="H5135">
            <v>0</v>
          </cell>
        </row>
        <row r="5136">
          <cell r="A5136" t="str">
            <v>1;03;MB;B;BAG</v>
          </cell>
          <cell r="B5136">
            <v>730069</v>
          </cell>
          <cell r="C5136" t="str">
            <v>MB</v>
          </cell>
          <cell r="D5136" t="str">
            <v>MADRID - BARCELONA</v>
          </cell>
          <cell r="E5136" t="str">
            <v>03</v>
          </cell>
          <cell r="F5136" t="str">
            <v>BAG</v>
          </cell>
          <cell r="G5136" t="str">
            <v>B</v>
          </cell>
          <cell r="H5136">
            <v>0</v>
          </cell>
        </row>
        <row r="5137">
          <cell r="A5137" t="str">
            <v>1;03;MB;B;DOCS</v>
          </cell>
          <cell r="B5137">
            <v>730069</v>
          </cell>
          <cell r="C5137" t="str">
            <v>MB</v>
          </cell>
          <cell r="D5137" t="str">
            <v>MADRID - BARCELONA</v>
          </cell>
          <cell r="E5137" t="str">
            <v>03</v>
          </cell>
          <cell r="F5137" t="str">
            <v>DOCS</v>
          </cell>
          <cell r="G5137" t="str">
            <v>B</v>
          </cell>
          <cell r="H5137">
            <v>0</v>
          </cell>
        </row>
        <row r="5138">
          <cell r="A5138" t="str">
            <v>1;03;MB;B;PAQ00a01</v>
          </cell>
          <cell r="B5138">
            <v>730069</v>
          </cell>
          <cell r="C5138" t="str">
            <v>MB</v>
          </cell>
          <cell r="D5138" t="str">
            <v>MADRID - BARCELONA</v>
          </cell>
          <cell r="E5138" t="str">
            <v>03</v>
          </cell>
          <cell r="F5138" t="str">
            <v>PAQ00a01</v>
          </cell>
          <cell r="G5138" t="str">
            <v>B</v>
          </cell>
          <cell r="H5138">
            <v>0</v>
          </cell>
        </row>
        <row r="5139">
          <cell r="A5139" t="str">
            <v>1;03;MB;B;PAQ01a02</v>
          </cell>
          <cell r="B5139">
            <v>730069</v>
          </cell>
          <cell r="C5139" t="str">
            <v>MB</v>
          </cell>
          <cell r="D5139" t="str">
            <v>MADRID - BARCELONA</v>
          </cell>
          <cell r="E5139" t="str">
            <v>03</v>
          </cell>
          <cell r="F5139" t="str">
            <v>PAQ01a02</v>
          </cell>
          <cell r="G5139" t="str">
            <v>B</v>
          </cell>
          <cell r="H5139">
            <v>0</v>
          </cell>
        </row>
        <row r="5140">
          <cell r="A5140" t="str">
            <v>1;03;MB;B;PAQ02a03</v>
          </cell>
          <cell r="B5140">
            <v>730069</v>
          </cell>
          <cell r="C5140" t="str">
            <v>MB</v>
          </cell>
          <cell r="D5140" t="str">
            <v>MADRID - BARCELONA</v>
          </cell>
          <cell r="E5140" t="str">
            <v>03</v>
          </cell>
          <cell r="F5140" t="str">
            <v>PAQ02a03</v>
          </cell>
          <cell r="G5140" t="str">
            <v>B</v>
          </cell>
          <cell r="H5140">
            <v>0</v>
          </cell>
        </row>
        <row r="5141">
          <cell r="A5141" t="str">
            <v>1;03;MB;B;PAQ03a04</v>
          </cell>
          <cell r="B5141">
            <v>730069</v>
          </cell>
          <cell r="C5141" t="str">
            <v>MB</v>
          </cell>
          <cell r="D5141" t="str">
            <v>MADRID - BARCELONA</v>
          </cell>
          <cell r="E5141" t="str">
            <v>03</v>
          </cell>
          <cell r="F5141" t="str">
            <v>PAQ03a04</v>
          </cell>
          <cell r="G5141" t="str">
            <v>B</v>
          </cell>
          <cell r="H5141">
            <v>0</v>
          </cell>
        </row>
        <row r="5142">
          <cell r="A5142" t="str">
            <v>1;03;MB;B;PAQ04a05</v>
          </cell>
          <cell r="B5142">
            <v>730069</v>
          </cell>
          <cell r="C5142" t="str">
            <v>MB</v>
          </cell>
          <cell r="D5142" t="str">
            <v>MADRID - BARCELONA</v>
          </cell>
          <cell r="E5142" t="str">
            <v>03</v>
          </cell>
          <cell r="F5142" t="str">
            <v>PAQ04a05</v>
          </cell>
          <cell r="G5142" t="str">
            <v>B</v>
          </cell>
          <cell r="H5142">
            <v>0</v>
          </cell>
        </row>
        <row r="5143">
          <cell r="A5143" t="str">
            <v>1;03;MB;B;PAQ05a06</v>
          </cell>
          <cell r="B5143">
            <v>730069</v>
          </cell>
          <cell r="C5143" t="str">
            <v>MB</v>
          </cell>
          <cell r="D5143" t="str">
            <v>MADRID - BARCELONA</v>
          </cell>
          <cell r="E5143" t="str">
            <v>03</v>
          </cell>
          <cell r="F5143" t="str">
            <v>PAQ05a06</v>
          </cell>
          <cell r="G5143" t="str">
            <v>B</v>
          </cell>
          <cell r="H5143">
            <v>0</v>
          </cell>
        </row>
        <row r="5144">
          <cell r="A5144" t="str">
            <v>1;03;MB;B;PAQ06a07</v>
          </cell>
          <cell r="B5144">
            <v>730069</v>
          </cell>
          <cell r="C5144" t="str">
            <v>MB</v>
          </cell>
          <cell r="D5144" t="str">
            <v>MADRID - BARCELONA</v>
          </cell>
          <cell r="E5144" t="str">
            <v>03</v>
          </cell>
          <cell r="F5144" t="str">
            <v>PAQ06a07</v>
          </cell>
          <cell r="G5144" t="str">
            <v>B</v>
          </cell>
          <cell r="H5144">
            <v>0</v>
          </cell>
        </row>
        <row r="5145">
          <cell r="A5145" t="str">
            <v>1;03;MB;B;PAQ07a08</v>
          </cell>
          <cell r="B5145">
            <v>730069</v>
          </cell>
          <cell r="C5145" t="str">
            <v>MB</v>
          </cell>
          <cell r="D5145" t="str">
            <v>MADRID - BARCELONA</v>
          </cell>
          <cell r="E5145" t="str">
            <v>03</v>
          </cell>
          <cell r="F5145" t="str">
            <v>PAQ07a08</v>
          </cell>
          <cell r="G5145" t="str">
            <v>B</v>
          </cell>
          <cell r="H5145">
            <v>0</v>
          </cell>
        </row>
        <row r="5146">
          <cell r="A5146" t="str">
            <v>1;03;MB;B;PAQ08a09</v>
          </cell>
          <cell r="B5146">
            <v>730069</v>
          </cell>
          <cell r="C5146" t="str">
            <v>MB</v>
          </cell>
          <cell r="D5146" t="str">
            <v>MADRID - BARCELONA</v>
          </cell>
          <cell r="E5146" t="str">
            <v>03</v>
          </cell>
          <cell r="F5146" t="str">
            <v>PAQ08a09</v>
          </cell>
          <cell r="G5146" t="str">
            <v>B</v>
          </cell>
          <cell r="H5146">
            <v>0</v>
          </cell>
        </row>
        <row r="5147">
          <cell r="A5147" t="str">
            <v>1;03;MB;B;PAQ09a10</v>
          </cell>
          <cell r="B5147">
            <v>730069</v>
          </cell>
          <cell r="C5147" t="str">
            <v>MB</v>
          </cell>
          <cell r="D5147" t="str">
            <v>MADRID - BARCELONA</v>
          </cell>
          <cell r="E5147" t="str">
            <v>03</v>
          </cell>
          <cell r="F5147" t="str">
            <v>PAQ09a10</v>
          </cell>
          <cell r="G5147" t="str">
            <v>B</v>
          </cell>
          <cell r="H5147">
            <v>0</v>
          </cell>
        </row>
        <row r="5148">
          <cell r="A5148" t="str">
            <v>1;03;MB;B;PAQ10a11</v>
          </cell>
          <cell r="B5148">
            <v>730069</v>
          </cell>
          <cell r="C5148" t="str">
            <v>MB</v>
          </cell>
          <cell r="D5148" t="str">
            <v>MADRID - BARCELONA</v>
          </cell>
          <cell r="E5148" t="str">
            <v>03</v>
          </cell>
          <cell r="F5148" t="str">
            <v>PAQ10a11</v>
          </cell>
          <cell r="G5148" t="str">
            <v>B</v>
          </cell>
          <cell r="H5148">
            <v>0</v>
          </cell>
        </row>
        <row r="5149">
          <cell r="A5149" t="str">
            <v>1;03;MB;B;PAQ11a12</v>
          </cell>
          <cell r="B5149">
            <v>730069</v>
          </cell>
          <cell r="C5149" t="str">
            <v>MB</v>
          </cell>
          <cell r="D5149" t="str">
            <v>MADRID - BARCELONA</v>
          </cell>
          <cell r="E5149" t="str">
            <v>03</v>
          </cell>
          <cell r="F5149" t="str">
            <v>PAQ11a12</v>
          </cell>
          <cell r="G5149" t="str">
            <v>B</v>
          </cell>
          <cell r="H5149">
            <v>0</v>
          </cell>
        </row>
        <row r="5150">
          <cell r="A5150" t="str">
            <v>1;03;MB;B;PAQ12a13</v>
          </cell>
          <cell r="B5150">
            <v>730069</v>
          </cell>
          <cell r="C5150" t="str">
            <v>MB</v>
          </cell>
          <cell r="D5150" t="str">
            <v>MADRID - BARCELONA</v>
          </cell>
          <cell r="E5150" t="str">
            <v>03</v>
          </cell>
          <cell r="F5150" t="str">
            <v>PAQ12a13</v>
          </cell>
          <cell r="G5150" t="str">
            <v>B</v>
          </cell>
          <cell r="H5150">
            <v>0</v>
          </cell>
        </row>
        <row r="5151">
          <cell r="A5151" t="str">
            <v>1;03;MB;B;PAQ13a14</v>
          </cell>
          <cell r="B5151">
            <v>730069</v>
          </cell>
          <cell r="C5151" t="str">
            <v>MB</v>
          </cell>
          <cell r="D5151" t="str">
            <v>MADRID - BARCELONA</v>
          </cell>
          <cell r="E5151" t="str">
            <v>03</v>
          </cell>
          <cell r="F5151" t="str">
            <v>PAQ13a14</v>
          </cell>
          <cell r="G5151" t="str">
            <v>B</v>
          </cell>
          <cell r="H5151">
            <v>0</v>
          </cell>
        </row>
        <row r="5152">
          <cell r="A5152" t="str">
            <v>1;03;MB;B;PAQ14a15</v>
          </cell>
          <cell r="B5152">
            <v>730069</v>
          </cell>
          <cell r="C5152" t="str">
            <v>MB</v>
          </cell>
          <cell r="D5152" t="str">
            <v>MADRID - BARCELONA</v>
          </cell>
          <cell r="E5152" t="str">
            <v>03</v>
          </cell>
          <cell r="F5152" t="str">
            <v>PAQ14a15</v>
          </cell>
          <cell r="G5152" t="str">
            <v>B</v>
          </cell>
          <cell r="H5152">
            <v>0</v>
          </cell>
        </row>
        <row r="5153">
          <cell r="A5153" t="str">
            <v>1;03;MB;B;PAQ15a16</v>
          </cell>
          <cell r="B5153">
            <v>730069</v>
          </cell>
          <cell r="C5153" t="str">
            <v>MB</v>
          </cell>
          <cell r="D5153" t="str">
            <v>MADRID - BARCELONA</v>
          </cell>
          <cell r="E5153" t="str">
            <v>03</v>
          </cell>
          <cell r="F5153" t="str">
            <v>PAQ15a16</v>
          </cell>
          <cell r="G5153" t="str">
            <v>B</v>
          </cell>
          <cell r="H5153">
            <v>0</v>
          </cell>
        </row>
        <row r="5154">
          <cell r="A5154" t="str">
            <v>1;03;MB;B;PAQ16a17</v>
          </cell>
          <cell r="B5154">
            <v>730069</v>
          </cell>
          <cell r="C5154" t="str">
            <v>MB</v>
          </cell>
          <cell r="D5154" t="str">
            <v>MADRID - BARCELONA</v>
          </cell>
          <cell r="E5154" t="str">
            <v>03</v>
          </cell>
          <cell r="F5154" t="str">
            <v>PAQ16a17</v>
          </cell>
          <cell r="G5154" t="str">
            <v>B</v>
          </cell>
          <cell r="H5154">
            <v>0</v>
          </cell>
        </row>
        <row r="5155">
          <cell r="A5155" t="str">
            <v>1;03;MB;B;PAQ17a18</v>
          </cell>
          <cell r="B5155">
            <v>730069</v>
          </cell>
          <cell r="C5155" t="str">
            <v>MB</v>
          </cell>
          <cell r="D5155" t="str">
            <v>MADRID - BARCELONA</v>
          </cell>
          <cell r="E5155" t="str">
            <v>03</v>
          </cell>
          <cell r="F5155" t="str">
            <v>PAQ17a18</v>
          </cell>
          <cell r="G5155" t="str">
            <v>B</v>
          </cell>
          <cell r="H5155">
            <v>0</v>
          </cell>
        </row>
        <row r="5156">
          <cell r="A5156" t="str">
            <v>1;03;MB;B;PAQ18a19</v>
          </cell>
          <cell r="B5156">
            <v>730069</v>
          </cell>
          <cell r="C5156" t="str">
            <v>MB</v>
          </cell>
          <cell r="D5156" t="str">
            <v>MADRID - BARCELONA</v>
          </cell>
          <cell r="E5156" t="str">
            <v>03</v>
          </cell>
          <cell r="F5156" t="str">
            <v>PAQ18a19</v>
          </cell>
          <cell r="G5156" t="str">
            <v>B</v>
          </cell>
          <cell r="H5156">
            <v>0</v>
          </cell>
        </row>
        <row r="5157">
          <cell r="A5157" t="str">
            <v>1;03;MB;B;PAQ19a20</v>
          </cell>
          <cell r="B5157">
            <v>730069</v>
          </cell>
          <cell r="C5157" t="str">
            <v>MB</v>
          </cell>
          <cell r="D5157" t="str">
            <v>MADRID - BARCELONA</v>
          </cell>
          <cell r="E5157" t="str">
            <v>03</v>
          </cell>
          <cell r="F5157" t="str">
            <v>PAQ19a20</v>
          </cell>
          <cell r="G5157" t="str">
            <v>B</v>
          </cell>
          <cell r="H5157">
            <v>0</v>
          </cell>
        </row>
        <row r="5158">
          <cell r="A5158" t="str">
            <v>1;03;MB;B;PAQ20a21</v>
          </cell>
          <cell r="B5158">
            <v>730069</v>
          </cell>
          <cell r="C5158" t="str">
            <v>MB</v>
          </cell>
          <cell r="D5158" t="str">
            <v>MADRID - BARCELONA</v>
          </cell>
          <cell r="E5158" t="str">
            <v>03</v>
          </cell>
          <cell r="F5158" t="str">
            <v>PAQ20a21</v>
          </cell>
          <cell r="G5158" t="str">
            <v>B</v>
          </cell>
          <cell r="H5158">
            <v>0</v>
          </cell>
        </row>
        <row r="5159">
          <cell r="A5159" t="str">
            <v>1;03;MB;B;PAQ21a22</v>
          </cell>
          <cell r="B5159">
            <v>730069</v>
          </cell>
          <cell r="C5159" t="str">
            <v>MB</v>
          </cell>
          <cell r="D5159" t="str">
            <v>MADRID - BARCELONA</v>
          </cell>
          <cell r="E5159" t="str">
            <v>03</v>
          </cell>
          <cell r="F5159" t="str">
            <v>PAQ21a22</v>
          </cell>
          <cell r="G5159" t="str">
            <v>B</v>
          </cell>
          <cell r="H5159">
            <v>0</v>
          </cell>
        </row>
        <row r="5160">
          <cell r="A5160" t="str">
            <v>1;03;MB;B;PAQ22a23</v>
          </cell>
          <cell r="B5160">
            <v>730069</v>
          </cell>
          <cell r="C5160" t="str">
            <v>MB</v>
          </cell>
          <cell r="D5160" t="str">
            <v>MADRID - BARCELONA</v>
          </cell>
          <cell r="E5160" t="str">
            <v>03</v>
          </cell>
          <cell r="F5160" t="str">
            <v>PAQ22a23</v>
          </cell>
          <cell r="G5160" t="str">
            <v>B</v>
          </cell>
          <cell r="H5160">
            <v>0</v>
          </cell>
        </row>
        <row r="5161">
          <cell r="A5161" t="str">
            <v>1;03;MB;B;PAQ23a24</v>
          </cell>
          <cell r="B5161">
            <v>730069</v>
          </cell>
          <cell r="C5161" t="str">
            <v>MB</v>
          </cell>
          <cell r="D5161" t="str">
            <v>MADRID - BARCELONA</v>
          </cell>
          <cell r="E5161" t="str">
            <v>03</v>
          </cell>
          <cell r="F5161" t="str">
            <v>PAQ23a24</v>
          </cell>
          <cell r="G5161" t="str">
            <v>B</v>
          </cell>
          <cell r="H5161">
            <v>0</v>
          </cell>
        </row>
        <row r="5162">
          <cell r="A5162" t="str">
            <v>1;03;MB;B;PAQ24a25</v>
          </cell>
          <cell r="B5162">
            <v>730069</v>
          </cell>
          <cell r="C5162" t="str">
            <v>MB</v>
          </cell>
          <cell r="D5162" t="str">
            <v>MADRID - BARCELONA</v>
          </cell>
          <cell r="E5162" t="str">
            <v>03</v>
          </cell>
          <cell r="F5162" t="str">
            <v>PAQ24a25</v>
          </cell>
          <cell r="G5162" t="str">
            <v>B</v>
          </cell>
          <cell r="H5162">
            <v>0</v>
          </cell>
        </row>
        <row r="5163">
          <cell r="A5163" t="str">
            <v>1;03;MB;B;PAQ25a30</v>
          </cell>
          <cell r="B5163">
            <v>730069</v>
          </cell>
          <cell r="C5163" t="str">
            <v>MB</v>
          </cell>
          <cell r="D5163" t="str">
            <v>MADRID - BARCELONA</v>
          </cell>
          <cell r="E5163" t="str">
            <v>03</v>
          </cell>
          <cell r="F5163" t="str">
            <v>PAQ25a30</v>
          </cell>
          <cell r="G5163" t="str">
            <v>B</v>
          </cell>
          <cell r="H5163">
            <v>0</v>
          </cell>
        </row>
        <row r="5164">
          <cell r="A5164" t="str">
            <v>1;03;MB;B;PAQ30a35</v>
          </cell>
          <cell r="B5164">
            <v>730069</v>
          </cell>
          <cell r="C5164" t="str">
            <v>MB</v>
          </cell>
          <cell r="D5164" t="str">
            <v>MADRID - BARCELONA</v>
          </cell>
          <cell r="E5164" t="str">
            <v>03</v>
          </cell>
          <cell r="F5164" t="str">
            <v>PAQ30a35</v>
          </cell>
          <cell r="G5164" t="str">
            <v>B</v>
          </cell>
          <cell r="H5164">
            <v>0</v>
          </cell>
        </row>
        <row r="5165">
          <cell r="A5165" t="str">
            <v>1;03;MB;B;PAQ35a40</v>
          </cell>
          <cell r="B5165">
            <v>730069</v>
          </cell>
          <cell r="C5165" t="str">
            <v>MB</v>
          </cell>
          <cell r="D5165" t="str">
            <v>MADRID - BARCELONA</v>
          </cell>
          <cell r="E5165" t="str">
            <v>03</v>
          </cell>
          <cell r="F5165" t="str">
            <v>PAQ35a40</v>
          </cell>
          <cell r="G5165" t="str">
            <v>B</v>
          </cell>
          <cell r="H5165">
            <v>0</v>
          </cell>
        </row>
        <row r="5166">
          <cell r="A5166" t="str">
            <v>1;03;MB;B;PAQ40a45</v>
          </cell>
          <cell r="B5166">
            <v>730069</v>
          </cell>
          <cell r="C5166" t="str">
            <v>MB</v>
          </cell>
          <cell r="D5166" t="str">
            <v>MADRID - BARCELONA</v>
          </cell>
          <cell r="E5166" t="str">
            <v>03</v>
          </cell>
          <cell r="F5166" t="str">
            <v>PAQ40a45</v>
          </cell>
          <cell r="G5166" t="str">
            <v>B</v>
          </cell>
          <cell r="H5166">
            <v>0</v>
          </cell>
        </row>
        <row r="5167">
          <cell r="A5167" t="str">
            <v>1;03;MB;B;PAQ45a50</v>
          </cell>
          <cell r="B5167">
            <v>730069</v>
          </cell>
          <cell r="C5167" t="str">
            <v>MB</v>
          </cell>
          <cell r="D5167" t="str">
            <v>MADRID - BARCELONA</v>
          </cell>
          <cell r="E5167" t="str">
            <v>03</v>
          </cell>
          <cell r="F5167" t="str">
            <v>PAQ45a50</v>
          </cell>
          <cell r="G5167" t="str">
            <v>B</v>
          </cell>
          <cell r="H5167">
            <v>0</v>
          </cell>
        </row>
        <row r="5168">
          <cell r="A5168" t="str">
            <v>1;03;MB;F;</v>
          </cell>
          <cell r="B5168">
            <v>730069</v>
          </cell>
          <cell r="C5168" t="str">
            <v>MB</v>
          </cell>
          <cell r="D5168" t="str">
            <v>MADRID - BARCELONA</v>
          </cell>
          <cell r="E5168" t="str">
            <v>03</v>
          </cell>
          <cell r="F5168" t="str">
            <v/>
          </cell>
          <cell r="G5168" t="str">
            <v>F</v>
          </cell>
          <cell r="H5168">
            <v>0</v>
          </cell>
        </row>
        <row r="5169">
          <cell r="A5169" t="str">
            <v>1;04;MB;B;BAG</v>
          </cell>
          <cell r="B5169">
            <v>730069</v>
          </cell>
          <cell r="C5169" t="str">
            <v>MB</v>
          </cell>
          <cell r="D5169" t="str">
            <v>MADRID - BARCELONA</v>
          </cell>
          <cell r="E5169" t="str">
            <v>04</v>
          </cell>
          <cell r="F5169" t="str">
            <v>BAG</v>
          </cell>
          <cell r="G5169" t="str">
            <v>B</v>
          </cell>
          <cell r="H5169">
            <v>5.76</v>
          </cell>
        </row>
        <row r="5170">
          <cell r="A5170" t="str">
            <v>1;05;MB;B;BAG</v>
          </cell>
          <cell r="B5170">
            <v>730069</v>
          </cell>
          <cell r="C5170" t="str">
            <v>MB</v>
          </cell>
          <cell r="D5170" t="str">
            <v>MADRID - BARCELONA</v>
          </cell>
          <cell r="E5170" t="str">
            <v>05</v>
          </cell>
          <cell r="F5170" t="str">
            <v>BAG</v>
          </cell>
          <cell r="G5170" t="str">
            <v>B</v>
          </cell>
          <cell r="H5170">
            <v>5.76</v>
          </cell>
        </row>
        <row r="5171">
          <cell r="A5171" t="str">
            <v>1;06;MB;B;BAG</v>
          </cell>
          <cell r="B5171">
            <v>730069</v>
          </cell>
          <cell r="C5171" t="str">
            <v>MB</v>
          </cell>
          <cell r="D5171" t="str">
            <v>MADRID - BARCELONA</v>
          </cell>
          <cell r="E5171" t="str">
            <v>06</v>
          </cell>
          <cell r="F5171" t="str">
            <v>BAG</v>
          </cell>
          <cell r="G5171" t="str">
            <v>B</v>
          </cell>
          <cell r="H5171">
            <v>0</v>
          </cell>
        </row>
        <row r="5172">
          <cell r="A5172" t="str">
            <v>1;06;MB;B;DOCS</v>
          </cell>
          <cell r="B5172">
            <v>730069</v>
          </cell>
          <cell r="C5172" t="str">
            <v>MB</v>
          </cell>
          <cell r="D5172" t="str">
            <v>MADRID - BARCELONA</v>
          </cell>
          <cell r="E5172" t="str">
            <v>06</v>
          </cell>
          <cell r="F5172" t="str">
            <v>DOCS</v>
          </cell>
          <cell r="G5172" t="str">
            <v>B</v>
          </cell>
          <cell r="H5172">
            <v>0</v>
          </cell>
        </row>
        <row r="5173">
          <cell r="A5173" t="str">
            <v>1;07;MB;B;BAG</v>
          </cell>
          <cell r="B5173">
            <v>730069</v>
          </cell>
          <cell r="C5173" t="str">
            <v>MB</v>
          </cell>
          <cell r="D5173" t="str">
            <v>MADRID - BARCELONA</v>
          </cell>
          <cell r="E5173" t="str">
            <v>07</v>
          </cell>
          <cell r="F5173" t="str">
            <v>BAG</v>
          </cell>
          <cell r="G5173" t="str">
            <v>B</v>
          </cell>
          <cell r="H5173">
            <v>0</v>
          </cell>
        </row>
        <row r="5174">
          <cell r="A5174" t="str">
            <v>1;07;MB;B;DOCS</v>
          </cell>
          <cell r="B5174">
            <v>730069</v>
          </cell>
          <cell r="C5174" t="str">
            <v>MB</v>
          </cell>
          <cell r="D5174" t="str">
            <v>MADRID - BARCELONA</v>
          </cell>
          <cell r="E5174" t="str">
            <v>07</v>
          </cell>
          <cell r="F5174" t="str">
            <v>DOCS</v>
          </cell>
          <cell r="G5174" t="str">
            <v>B</v>
          </cell>
          <cell r="H5174">
            <v>0</v>
          </cell>
        </row>
        <row r="5175">
          <cell r="A5175" t="str">
            <v>1;10;MB;B;BAG</v>
          </cell>
          <cell r="B5175">
            <v>730069</v>
          </cell>
          <cell r="C5175" t="str">
            <v>MB</v>
          </cell>
          <cell r="D5175" t="str">
            <v>MADRID - BARCELONA</v>
          </cell>
          <cell r="E5175" t="str">
            <v>10</v>
          </cell>
          <cell r="F5175" t="str">
            <v>BAG</v>
          </cell>
          <cell r="G5175" t="str">
            <v>B</v>
          </cell>
          <cell r="H5175">
            <v>1.7</v>
          </cell>
        </row>
        <row r="5176">
          <cell r="A5176" t="str">
            <v>1;10;MB;B;DOCS</v>
          </cell>
          <cell r="B5176">
            <v>730069</v>
          </cell>
          <cell r="C5176" t="str">
            <v>MB</v>
          </cell>
          <cell r="D5176" t="str">
            <v>MADRID - BARCELONA</v>
          </cell>
          <cell r="E5176" t="str">
            <v>10</v>
          </cell>
          <cell r="F5176" t="str">
            <v>DOCS</v>
          </cell>
          <cell r="G5176" t="str">
            <v>B</v>
          </cell>
          <cell r="H5176">
            <v>1.7</v>
          </cell>
        </row>
        <row r="5177">
          <cell r="A5177" t="str">
            <v>1;14;MB;B;BAG</v>
          </cell>
          <cell r="B5177">
            <v>730069</v>
          </cell>
          <cell r="C5177" t="str">
            <v>MB</v>
          </cell>
          <cell r="D5177" t="str">
            <v>MADRID - BARCELONA</v>
          </cell>
          <cell r="E5177" t="str">
            <v>14</v>
          </cell>
          <cell r="F5177" t="str">
            <v>BAG</v>
          </cell>
          <cell r="G5177" t="str">
            <v>B</v>
          </cell>
          <cell r="H5177">
            <v>1.79</v>
          </cell>
        </row>
        <row r="5178">
          <cell r="A5178" t="str">
            <v>1;15;MB;B;BAG</v>
          </cell>
          <cell r="B5178">
            <v>730069</v>
          </cell>
          <cell r="C5178" t="str">
            <v>MB</v>
          </cell>
          <cell r="D5178" t="str">
            <v>MADRID - BARCELONA</v>
          </cell>
          <cell r="E5178" t="str">
            <v>15</v>
          </cell>
          <cell r="F5178" t="str">
            <v>BAG</v>
          </cell>
          <cell r="G5178" t="str">
            <v>B</v>
          </cell>
          <cell r="H5178">
            <v>1.79</v>
          </cell>
        </row>
        <row r="5179">
          <cell r="A5179" t="str">
            <v>1;20;MD;B;PAQ00a05</v>
          </cell>
          <cell r="B5179">
            <v>730069</v>
          </cell>
          <cell r="C5179" t="str">
            <v>MD</v>
          </cell>
          <cell r="D5179" t="str">
            <v>BAL.MARITIMO D</v>
          </cell>
          <cell r="E5179" t="str">
            <v>20</v>
          </cell>
          <cell r="F5179" t="str">
            <v>PAQ00a05</v>
          </cell>
          <cell r="G5179" t="str">
            <v>B</v>
          </cell>
          <cell r="H5179">
            <v>11.47</v>
          </cell>
        </row>
        <row r="5180">
          <cell r="A5180" t="str">
            <v>1;20;MD;B;PAQ05a10</v>
          </cell>
          <cell r="B5180">
            <v>730069</v>
          </cell>
          <cell r="C5180" t="str">
            <v>MD</v>
          </cell>
          <cell r="D5180" t="str">
            <v>BAL.MARITIMO D</v>
          </cell>
          <cell r="E5180" t="str">
            <v>20</v>
          </cell>
          <cell r="F5180" t="str">
            <v>PAQ05a10</v>
          </cell>
          <cell r="G5180" t="str">
            <v>B</v>
          </cell>
          <cell r="H5180">
            <v>16.420000000000002</v>
          </cell>
        </row>
        <row r="5181">
          <cell r="A5181" t="str">
            <v>1;20;MD;B;PAQ10a15</v>
          </cell>
          <cell r="B5181">
            <v>730069</v>
          </cell>
          <cell r="C5181" t="str">
            <v>MD</v>
          </cell>
          <cell r="D5181" t="str">
            <v>BAL.MARITIMO D</v>
          </cell>
          <cell r="E5181" t="str">
            <v>20</v>
          </cell>
          <cell r="F5181" t="str">
            <v>PAQ10a15</v>
          </cell>
          <cell r="G5181" t="str">
            <v>B</v>
          </cell>
          <cell r="H5181">
            <v>20.78</v>
          </cell>
        </row>
        <row r="5182">
          <cell r="A5182" t="str">
            <v>1;20;MD;B;PAQ15a20</v>
          </cell>
          <cell r="B5182">
            <v>730069</v>
          </cell>
          <cell r="C5182" t="str">
            <v>MD</v>
          </cell>
          <cell r="D5182" t="str">
            <v>BAL.MARITIMO D</v>
          </cell>
          <cell r="E5182" t="str">
            <v>20</v>
          </cell>
          <cell r="F5182" t="str">
            <v>PAQ15a20</v>
          </cell>
          <cell r="G5182" t="str">
            <v>B</v>
          </cell>
          <cell r="H5182">
            <v>26.24</v>
          </cell>
        </row>
        <row r="5183">
          <cell r="A5183" t="str">
            <v>1;20;MD;B;PAQ20a25</v>
          </cell>
          <cell r="B5183">
            <v>730069</v>
          </cell>
          <cell r="C5183" t="str">
            <v>MD</v>
          </cell>
          <cell r="D5183" t="str">
            <v>BAL.MARITIMO D</v>
          </cell>
          <cell r="E5183" t="str">
            <v>20</v>
          </cell>
          <cell r="F5183" t="str">
            <v>PAQ20a25</v>
          </cell>
          <cell r="G5183" t="str">
            <v>B</v>
          </cell>
          <cell r="H5183">
            <v>33.619999999999997</v>
          </cell>
        </row>
        <row r="5184">
          <cell r="A5184" t="str">
            <v>1;20;MD;B;PAQ25a30</v>
          </cell>
          <cell r="B5184">
            <v>730069</v>
          </cell>
          <cell r="C5184" t="str">
            <v>MD</v>
          </cell>
          <cell r="D5184" t="str">
            <v>BAL.MARITIMO D</v>
          </cell>
          <cell r="E5184" t="str">
            <v>20</v>
          </cell>
          <cell r="F5184" t="str">
            <v>PAQ25a30</v>
          </cell>
          <cell r="G5184" t="str">
            <v>B</v>
          </cell>
          <cell r="H5184">
            <v>38.4</v>
          </cell>
        </row>
        <row r="5185">
          <cell r="A5185" t="str">
            <v>1;20;MD;B;PAQ30a35</v>
          </cell>
          <cell r="B5185">
            <v>730069</v>
          </cell>
          <cell r="C5185" t="str">
            <v>MD</v>
          </cell>
          <cell r="D5185" t="str">
            <v>BAL.MARITIMO D</v>
          </cell>
          <cell r="E5185" t="str">
            <v>20</v>
          </cell>
          <cell r="F5185" t="str">
            <v>PAQ30a35</v>
          </cell>
          <cell r="G5185" t="str">
            <v>B</v>
          </cell>
          <cell r="H5185">
            <v>43.39</v>
          </cell>
        </row>
        <row r="5186">
          <cell r="A5186" t="str">
            <v>1;20;MD;B;PAQ35a40</v>
          </cell>
          <cell r="B5186">
            <v>730069</v>
          </cell>
          <cell r="C5186" t="str">
            <v>MD</v>
          </cell>
          <cell r="D5186" t="str">
            <v>BAL.MARITIMO D</v>
          </cell>
          <cell r="E5186" t="str">
            <v>20</v>
          </cell>
          <cell r="F5186" t="str">
            <v>PAQ35a40</v>
          </cell>
          <cell r="G5186" t="str">
            <v>B</v>
          </cell>
          <cell r="H5186">
            <v>48.26</v>
          </cell>
        </row>
        <row r="5187">
          <cell r="A5187" t="str">
            <v>1;20;MD;F;</v>
          </cell>
          <cell r="B5187">
            <v>730069</v>
          </cell>
          <cell r="C5187" t="str">
            <v>MD</v>
          </cell>
          <cell r="D5187" t="str">
            <v>BAL.MARITIMO D</v>
          </cell>
          <cell r="E5187" t="str">
            <v>20</v>
          </cell>
          <cell r="F5187" t="str">
            <v/>
          </cell>
          <cell r="G5187" t="str">
            <v>F</v>
          </cell>
          <cell r="H5187">
            <v>6.33</v>
          </cell>
        </row>
        <row r="5188">
          <cell r="A5188" t="str">
            <v>1;20;MD;E;</v>
          </cell>
          <cell r="B5188">
            <v>730069</v>
          </cell>
          <cell r="C5188" t="str">
            <v>MD</v>
          </cell>
          <cell r="D5188" t="str">
            <v>BAL.MARITIMO D</v>
          </cell>
          <cell r="E5188" t="str">
            <v>20</v>
          </cell>
          <cell r="F5188" t="str">
            <v/>
          </cell>
          <cell r="G5188" t="str">
            <v>E</v>
          </cell>
          <cell r="H5188">
            <v>6.33</v>
          </cell>
        </row>
        <row r="5189">
          <cell r="A5189" t="str">
            <v>1;20;MD;P;</v>
          </cell>
          <cell r="B5189">
            <v>730069</v>
          </cell>
          <cell r="C5189" t="str">
            <v>MD</v>
          </cell>
          <cell r="D5189" t="str">
            <v>BAL.MARITIMO D</v>
          </cell>
          <cell r="E5189" t="str">
            <v>20</v>
          </cell>
          <cell r="F5189" t="str">
            <v/>
          </cell>
          <cell r="G5189" t="str">
            <v>P</v>
          </cell>
          <cell r="H5189">
            <v>6.33</v>
          </cell>
        </row>
        <row r="5190">
          <cell r="A5190" t="str">
            <v>1;20;ME;B;PAQ00a05</v>
          </cell>
          <cell r="B5190">
            <v>730069</v>
          </cell>
          <cell r="C5190" t="str">
            <v>ME</v>
          </cell>
          <cell r="D5190" t="str">
            <v>BAL.MARITIMO E</v>
          </cell>
          <cell r="E5190" t="str">
            <v>20</v>
          </cell>
          <cell r="F5190" t="str">
            <v>PAQ00a05</v>
          </cell>
          <cell r="G5190" t="str">
            <v>B</v>
          </cell>
          <cell r="H5190">
            <v>11.47</v>
          </cell>
        </row>
        <row r="5191">
          <cell r="A5191" t="str">
            <v>1;20;ME;B;PAQ05a10</v>
          </cell>
          <cell r="B5191">
            <v>730069</v>
          </cell>
          <cell r="C5191" t="str">
            <v>ME</v>
          </cell>
          <cell r="D5191" t="str">
            <v>BAL.MARITIMO E</v>
          </cell>
          <cell r="E5191" t="str">
            <v>20</v>
          </cell>
          <cell r="F5191" t="str">
            <v>PAQ05a10</v>
          </cell>
          <cell r="G5191" t="str">
            <v>B</v>
          </cell>
          <cell r="H5191">
            <v>16.420000000000002</v>
          </cell>
        </row>
        <row r="5192">
          <cell r="A5192" t="str">
            <v>1;20;ME;B;PAQ10a15</v>
          </cell>
          <cell r="B5192">
            <v>730069</v>
          </cell>
          <cell r="C5192" t="str">
            <v>ME</v>
          </cell>
          <cell r="D5192" t="str">
            <v>BAL.MARITIMO E</v>
          </cell>
          <cell r="E5192" t="str">
            <v>20</v>
          </cell>
          <cell r="F5192" t="str">
            <v>PAQ10a15</v>
          </cell>
          <cell r="G5192" t="str">
            <v>B</v>
          </cell>
          <cell r="H5192">
            <v>20.78</v>
          </cell>
        </row>
        <row r="5193">
          <cell r="A5193" t="str">
            <v>1;20;ME;B;PAQ15a20</v>
          </cell>
          <cell r="B5193">
            <v>730069</v>
          </cell>
          <cell r="C5193" t="str">
            <v>ME</v>
          </cell>
          <cell r="D5193" t="str">
            <v>BAL.MARITIMO E</v>
          </cell>
          <cell r="E5193" t="str">
            <v>20</v>
          </cell>
          <cell r="F5193" t="str">
            <v>PAQ15a20</v>
          </cell>
          <cell r="G5193" t="str">
            <v>B</v>
          </cell>
          <cell r="H5193">
            <v>26.24</v>
          </cell>
        </row>
        <row r="5194">
          <cell r="A5194" t="str">
            <v>1;20;ME;B;PAQ20a25</v>
          </cell>
          <cell r="B5194">
            <v>730069</v>
          </cell>
          <cell r="C5194" t="str">
            <v>ME</v>
          </cell>
          <cell r="D5194" t="str">
            <v>BAL.MARITIMO E</v>
          </cell>
          <cell r="E5194" t="str">
            <v>20</v>
          </cell>
          <cell r="F5194" t="str">
            <v>PAQ20a25</v>
          </cell>
          <cell r="G5194" t="str">
            <v>B</v>
          </cell>
          <cell r="H5194">
            <v>33.619999999999997</v>
          </cell>
        </row>
        <row r="5195">
          <cell r="A5195" t="str">
            <v>1;20;ME;B;PAQ25a30</v>
          </cell>
          <cell r="B5195">
            <v>730069</v>
          </cell>
          <cell r="C5195" t="str">
            <v>ME</v>
          </cell>
          <cell r="D5195" t="str">
            <v>BAL.MARITIMO E</v>
          </cell>
          <cell r="E5195" t="str">
            <v>20</v>
          </cell>
          <cell r="F5195" t="str">
            <v>PAQ25a30</v>
          </cell>
          <cell r="G5195" t="str">
            <v>B</v>
          </cell>
          <cell r="H5195">
            <v>38.4</v>
          </cell>
        </row>
        <row r="5196">
          <cell r="A5196" t="str">
            <v>1;20;ME;B;PAQ30a35</v>
          </cell>
          <cell r="B5196">
            <v>730069</v>
          </cell>
          <cell r="C5196" t="str">
            <v>ME</v>
          </cell>
          <cell r="D5196" t="str">
            <v>BAL.MARITIMO E</v>
          </cell>
          <cell r="E5196" t="str">
            <v>20</v>
          </cell>
          <cell r="F5196" t="str">
            <v>PAQ30a35</v>
          </cell>
          <cell r="G5196" t="str">
            <v>B</v>
          </cell>
          <cell r="H5196">
            <v>43.39</v>
          </cell>
        </row>
        <row r="5197">
          <cell r="A5197" t="str">
            <v>1;20;ME;B;PAQ35a40</v>
          </cell>
          <cell r="B5197">
            <v>730069</v>
          </cell>
          <cell r="C5197" t="str">
            <v>ME</v>
          </cell>
          <cell r="D5197" t="str">
            <v>BAL.MARITIMO E</v>
          </cell>
          <cell r="E5197" t="str">
            <v>20</v>
          </cell>
          <cell r="F5197" t="str">
            <v>PAQ35a40</v>
          </cell>
          <cell r="G5197" t="str">
            <v>B</v>
          </cell>
          <cell r="H5197">
            <v>48.26</v>
          </cell>
        </row>
        <row r="5198">
          <cell r="A5198" t="str">
            <v>1;20;ME;F;</v>
          </cell>
          <cell r="B5198">
            <v>730069</v>
          </cell>
          <cell r="C5198" t="str">
            <v>ME</v>
          </cell>
          <cell r="D5198" t="str">
            <v>BAL.MARITIMO E</v>
          </cell>
          <cell r="E5198" t="str">
            <v>20</v>
          </cell>
          <cell r="F5198" t="str">
            <v/>
          </cell>
          <cell r="G5198" t="str">
            <v>F</v>
          </cell>
          <cell r="H5198">
            <v>6.33</v>
          </cell>
        </row>
        <row r="5199">
          <cell r="A5199" t="str">
            <v>1;20;ME;E;</v>
          </cell>
          <cell r="B5199">
            <v>730069</v>
          </cell>
          <cell r="C5199" t="str">
            <v>ME</v>
          </cell>
          <cell r="D5199" t="str">
            <v>BAL.MARITIMO E</v>
          </cell>
          <cell r="E5199" t="str">
            <v>20</v>
          </cell>
          <cell r="F5199" t="str">
            <v/>
          </cell>
          <cell r="G5199" t="str">
            <v>E</v>
          </cell>
          <cell r="H5199">
            <v>6.33</v>
          </cell>
        </row>
        <row r="5200">
          <cell r="A5200" t="str">
            <v>1;20;ME;P;</v>
          </cell>
          <cell r="B5200">
            <v>730069</v>
          </cell>
          <cell r="C5200" t="str">
            <v>ME</v>
          </cell>
          <cell r="D5200" t="str">
            <v>BAL.MARITIMO E</v>
          </cell>
          <cell r="E5200" t="str">
            <v>20</v>
          </cell>
          <cell r="F5200" t="str">
            <v/>
          </cell>
          <cell r="G5200" t="str">
            <v>P</v>
          </cell>
          <cell r="H5200">
            <v>6.33</v>
          </cell>
        </row>
        <row r="5201">
          <cell r="A5201" t="str">
            <v>1;18;MF;B;BAG</v>
          </cell>
          <cell r="B5201">
            <v>730069</v>
          </cell>
          <cell r="C5201" t="str">
            <v>MF</v>
          </cell>
          <cell r="D5201" t="str">
            <v>BAL.MARITIMO C</v>
          </cell>
          <cell r="E5201" t="str">
            <v>18</v>
          </cell>
          <cell r="F5201" t="str">
            <v>BAG</v>
          </cell>
          <cell r="G5201" t="str">
            <v>B</v>
          </cell>
          <cell r="H5201">
            <v>8.77</v>
          </cell>
        </row>
        <row r="5202">
          <cell r="A5202" t="str">
            <v>1;18;MF;B;PAQ00a05</v>
          </cell>
          <cell r="B5202">
            <v>730069</v>
          </cell>
          <cell r="C5202" t="str">
            <v>MF</v>
          </cell>
          <cell r="D5202" t="str">
            <v>BAL.MARITIMO C</v>
          </cell>
          <cell r="E5202" t="str">
            <v>18</v>
          </cell>
          <cell r="F5202" t="str">
            <v>PAQ00a05</v>
          </cell>
          <cell r="G5202" t="str">
            <v>B</v>
          </cell>
          <cell r="H5202">
            <v>8.77</v>
          </cell>
        </row>
        <row r="5203">
          <cell r="A5203" t="str">
            <v>1;18;MF;B;PAQ05a10</v>
          </cell>
          <cell r="B5203">
            <v>730069</v>
          </cell>
          <cell r="C5203" t="str">
            <v>MF</v>
          </cell>
          <cell r="D5203" t="str">
            <v>BAL.MARITIMO C</v>
          </cell>
          <cell r="E5203" t="str">
            <v>18</v>
          </cell>
          <cell r="F5203" t="str">
            <v>PAQ05a10</v>
          </cell>
          <cell r="G5203" t="str">
            <v>B</v>
          </cell>
          <cell r="H5203">
            <v>13.32</v>
          </cell>
        </row>
        <row r="5204">
          <cell r="A5204" t="str">
            <v>1;18;MF;B;PAQ10a15</v>
          </cell>
          <cell r="B5204">
            <v>730069</v>
          </cell>
          <cell r="C5204" t="str">
            <v>MF</v>
          </cell>
          <cell r="D5204" t="str">
            <v>BAL.MARITIMO C</v>
          </cell>
          <cell r="E5204" t="str">
            <v>18</v>
          </cell>
          <cell r="F5204" t="str">
            <v>PAQ10a15</v>
          </cell>
          <cell r="G5204" t="str">
            <v>B</v>
          </cell>
          <cell r="H5204">
            <v>16.77</v>
          </cell>
        </row>
        <row r="5205">
          <cell r="A5205" t="str">
            <v>1;18;MF;B;PAQ15a20</v>
          </cell>
          <cell r="B5205">
            <v>730069</v>
          </cell>
          <cell r="C5205" t="str">
            <v>MF</v>
          </cell>
          <cell r="D5205" t="str">
            <v>BAL.MARITIMO C</v>
          </cell>
          <cell r="E5205" t="str">
            <v>18</v>
          </cell>
          <cell r="F5205" t="str">
            <v>PAQ15a20</v>
          </cell>
          <cell r="G5205" t="str">
            <v>B</v>
          </cell>
          <cell r="H5205">
            <v>20.88</v>
          </cell>
        </row>
        <row r="5206">
          <cell r="A5206" t="str">
            <v>1;20;MF;B;PAQ00a05</v>
          </cell>
          <cell r="B5206">
            <v>730069</v>
          </cell>
          <cell r="C5206" t="str">
            <v>MF</v>
          </cell>
          <cell r="D5206" t="str">
            <v>BAL.MARITIMO C</v>
          </cell>
          <cell r="E5206" t="str">
            <v>20</v>
          </cell>
          <cell r="F5206" t="str">
            <v>PAQ00a05</v>
          </cell>
          <cell r="G5206" t="str">
            <v>B</v>
          </cell>
          <cell r="H5206">
            <v>13.55</v>
          </cell>
        </row>
        <row r="5207">
          <cell r="A5207" t="str">
            <v>4;20;MF;B;PAQ00a05</v>
          </cell>
          <cell r="B5207">
            <v>730069</v>
          </cell>
          <cell r="C5207" t="str">
            <v>MF</v>
          </cell>
          <cell r="D5207" t="str">
            <v>BAL.MARITIMO C</v>
          </cell>
          <cell r="E5207" t="str">
            <v>20</v>
          </cell>
          <cell r="F5207" t="str">
            <v>PAQ00a05</v>
          </cell>
          <cell r="G5207" t="str">
            <v>B</v>
          </cell>
          <cell r="H5207">
            <v>8</v>
          </cell>
        </row>
        <row r="5208">
          <cell r="A5208" t="str">
            <v>1;20;MF;B;PAQ05a10</v>
          </cell>
          <cell r="B5208">
            <v>730069</v>
          </cell>
          <cell r="C5208" t="str">
            <v>MF</v>
          </cell>
          <cell r="D5208" t="str">
            <v>BAL.MARITIMO C</v>
          </cell>
          <cell r="E5208" t="str">
            <v>20</v>
          </cell>
          <cell r="F5208" t="str">
            <v>PAQ05a10</v>
          </cell>
          <cell r="G5208" t="str">
            <v>B</v>
          </cell>
          <cell r="H5208">
            <v>19.37</v>
          </cell>
        </row>
        <row r="5209">
          <cell r="A5209" t="str">
            <v>4;20;MF;B;PAQ05a10</v>
          </cell>
          <cell r="B5209">
            <v>730069</v>
          </cell>
          <cell r="C5209" t="str">
            <v>MF</v>
          </cell>
          <cell r="D5209" t="str">
            <v>BAL.MARITIMO C</v>
          </cell>
          <cell r="E5209" t="str">
            <v>20</v>
          </cell>
          <cell r="F5209" t="str">
            <v>PAQ05a10</v>
          </cell>
          <cell r="G5209" t="str">
            <v>B</v>
          </cell>
          <cell r="H5209">
            <v>8</v>
          </cell>
        </row>
        <row r="5210">
          <cell r="A5210" t="str">
            <v>4;20;MF;B;PAQ10a15</v>
          </cell>
          <cell r="B5210">
            <v>730069</v>
          </cell>
          <cell r="C5210" t="str">
            <v>MF</v>
          </cell>
          <cell r="D5210" t="str">
            <v>BAL.MARITIMO C</v>
          </cell>
          <cell r="E5210" t="str">
            <v>20</v>
          </cell>
          <cell r="F5210" t="str">
            <v>PAQ10a15</v>
          </cell>
          <cell r="G5210" t="str">
            <v>B</v>
          </cell>
          <cell r="H5210">
            <v>8</v>
          </cell>
        </row>
        <row r="5211">
          <cell r="A5211" t="str">
            <v>1;20;MF;B;PAQ10a15</v>
          </cell>
          <cell r="B5211">
            <v>730069</v>
          </cell>
          <cell r="C5211" t="str">
            <v>MF</v>
          </cell>
          <cell r="D5211" t="str">
            <v>BAL.MARITIMO C</v>
          </cell>
          <cell r="E5211" t="str">
            <v>20</v>
          </cell>
          <cell r="F5211" t="str">
            <v>PAQ10a15</v>
          </cell>
          <cell r="G5211" t="str">
            <v>B</v>
          </cell>
          <cell r="H5211">
            <v>26.44</v>
          </cell>
        </row>
        <row r="5212">
          <cell r="A5212" t="str">
            <v>1;20;MF;B;PAQ15a20</v>
          </cell>
          <cell r="B5212">
            <v>730069</v>
          </cell>
          <cell r="C5212" t="str">
            <v>MF</v>
          </cell>
          <cell r="D5212" t="str">
            <v>BAL.MARITIMO C</v>
          </cell>
          <cell r="E5212" t="str">
            <v>20</v>
          </cell>
          <cell r="F5212" t="str">
            <v>PAQ15a20</v>
          </cell>
          <cell r="G5212" t="str">
            <v>B</v>
          </cell>
          <cell r="H5212">
            <v>33.520000000000003</v>
          </cell>
        </row>
        <row r="5213">
          <cell r="A5213" t="str">
            <v>4;20;MF;B;PAQ15a20</v>
          </cell>
          <cell r="B5213">
            <v>730069</v>
          </cell>
          <cell r="C5213" t="str">
            <v>MF</v>
          </cell>
          <cell r="D5213" t="str">
            <v>BAL.MARITIMO C</v>
          </cell>
          <cell r="E5213" t="str">
            <v>20</v>
          </cell>
          <cell r="F5213" t="str">
            <v>PAQ15a20</v>
          </cell>
          <cell r="G5213" t="str">
            <v>B</v>
          </cell>
          <cell r="H5213">
            <v>8</v>
          </cell>
        </row>
        <row r="5214">
          <cell r="A5214" t="str">
            <v>4;20;MF;B;PAQ20a25</v>
          </cell>
          <cell r="B5214">
            <v>730069</v>
          </cell>
          <cell r="C5214" t="str">
            <v>MF</v>
          </cell>
          <cell r="D5214" t="str">
            <v>BAL.MARITIMO C</v>
          </cell>
          <cell r="E5214" t="str">
            <v>20</v>
          </cell>
          <cell r="F5214" t="str">
            <v>PAQ20a25</v>
          </cell>
          <cell r="G5214" t="str">
            <v>B</v>
          </cell>
          <cell r="H5214">
            <v>8</v>
          </cell>
        </row>
        <row r="5215">
          <cell r="A5215" t="str">
            <v>1;20;MF;B;PAQ20a25</v>
          </cell>
          <cell r="B5215">
            <v>730069</v>
          </cell>
          <cell r="C5215" t="str">
            <v>MF</v>
          </cell>
          <cell r="D5215" t="str">
            <v>BAL.MARITIMO C</v>
          </cell>
          <cell r="E5215" t="str">
            <v>20</v>
          </cell>
          <cell r="F5215" t="str">
            <v>PAQ20a25</v>
          </cell>
          <cell r="G5215" t="str">
            <v>B</v>
          </cell>
          <cell r="H5215">
            <v>40.590000000000003</v>
          </cell>
        </row>
        <row r="5216">
          <cell r="A5216" t="str">
            <v>4;20;MF;B;PAQ25a30</v>
          </cell>
          <cell r="B5216">
            <v>730069</v>
          </cell>
          <cell r="C5216" t="str">
            <v>MF</v>
          </cell>
          <cell r="D5216" t="str">
            <v>BAL.MARITIMO C</v>
          </cell>
          <cell r="E5216" t="str">
            <v>20</v>
          </cell>
          <cell r="F5216" t="str">
            <v>PAQ25a30</v>
          </cell>
          <cell r="G5216" t="str">
            <v>B</v>
          </cell>
          <cell r="H5216">
            <v>8</v>
          </cell>
        </row>
        <row r="5217">
          <cell r="A5217" t="str">
            <v>1;20;MF;B;PAQ25a30</v>
          </cell>
          <cell r="B5217">
            <v>730069</v>
          </cell>
          <cell r="C5217" t="str">
            <v>MF</v>
          </cell>
          <cell r="D5217" t="str">
            <v>BAL.MARITIMO C</v>
          </cell>
          <cell r="E5217" t="str">
            <v>20</v>
          </cell>
          <cell r="F5217" t="str">
            <v>PAQ25a30</v>
          </cell>
          <cell r="G5217" t="str">
            <v>B</v>
          </cell>
          <cell r="H5217">
            <v>47.66</v>
          </cell>
        </row>
        <row r="5218">
          <cell r="A5218" t="str">
            <v>4;20;MF;B;PAQ30a35</v>
          </cell>
          <cell r="B5218">
            <v>730069</v>
          </cell>
          <cell r="C5218" t="str">
            <v>MF</v>
          </cell>
          <cell r="D5218" t="str">
            <v>BAL.MARITIMO C</v>
          </cell>
          <cell r="E5218" t="str">
            <v>20</v>
          </cell>
          <cell r="F5218" t="str">
            <v>PAQ30a35</v>
          </cell>
          <cell r="G5218" t="str">
            <v>B</v>
          </cell>
          <cell r="H5218">
            <v>8</v>
          </cell>
        </row>
        <row r="5219">
          <cell r="A5219" t="str">
            <v>1;20;MF;B;PAQ30a35</v>
          </cell>
          <cell r="B5219">
            <v>730069</v>
          </cell>
          <cell r="C5219" t="str">
            <v>MF</v>
          </cell>
          <cell r="D5219" t="str">
            <v>BAL.MARITIMO C</v>
          </cell>
          <cell r="E5219" t="str">
            <v>20</v>
          </cell>
          <cell r="F5219" t="str">
            <v>PAQ30a35</v>
          </cell>
          <cell r="G5219" t="str">
            <v>B</v>
          </cell>
          <cell r="H5219">
            <v>54.74</v>
          </cell>
        </row>
        <row r="5220">
          <cell r="A5220" t="str">
            <v>4;20;MF;F;</v>
          </cell>
          <cell r="B5220">
            <v>730069</v>
          </cell>
          <cell r="C5220" t="str">
            <v>MF</v>
          </cell>
          <cell r="D5220" t="str">
            <v>BAL.MARITIMO C</v>
          </cell>
          <cell r="E5220" t="str">
            <v>20</v>
          </cell>
          <cell r="F5220" t="str">
            <v/>
          </cell>
          <cell r="G5220" t="str">
            <v>F</v>
          </cell>
          <cell r="H5220">
            <v>0</v>
          </cell>
        </row>
        <row r="5221">
          <cell r="A5221" t="str">
            <v>4;20;MF;B;PAQ35a40</v>
          </cell>
          <cell r="B5221">
            <v>730069</v>
          </cell>
          <cell r="C5221" t="str">
            <v>MF</v>
          </cell>
          <cell r="D5221" t="str">
            <v>BAL.MARITIMO C</v>
          </cell>
          <cell r="E5221" t="str">
            <v>20</v>
          </cell>
          <cell r="F5221" t="str">
            <v>PAQ35a40</v>
          </cell>
          <cell r="G5221" t="str">
            <v>B</v>
          </cell>
          <cell r="H5221">
            <v>8</v>
          </cell>
        </row>
        <row r="5222">
          <cell r="A5222" t="str">
            <v>1;20;MF;B;PAQ35a40</v>
          </cell>
          <cell r="B5222">
            <v>730069</v>
          </cell>
          <cell r="C5222" t="str">
            <v>MF</v>
          </cell>
          <cell r="D5222" t="str">
            <v>BAL.MARITIMO C</v>
          </cell>
          <cell r="E5222" t="str">
            <v>20</v>
          </cell>
          <cell r="F5222" t="str">
            <v>PAQ35a40</v>
          </cell>
          <cell r="G5222" t="str">
            <v>B</v>
          </cell>
          <cell r="H5222">
            <v>61.8</v>
          </cell>
        </row>
        <row r="5223">
          <cell r="A5223" t="str">
            <v>1;20;MF;F;</v>
          </cell>
          <cell r="B5223">
            <v>730069</v>
          </cell>
          <cell r="C5223" t="str">
            <v>MF</v>
          </cell>
          <cell r="D5223" t="str">
            <v>BAL.MARITIMO C</v>
          </cell>
          <cell r="E5223" t="str">
            <v>20</v>
          </cell>
          <cell r="F5223" t="str">
            <v/>
          </cell>
          <cell r="G5223" t="str">
            <v>F</v>
          </cell>
          <cell r="H5223">
            <v>7.08</v>
          </cell>
        </row>
        <row r="5224">
          <cell r="A5224" t="str">
            <v>4;20;MF;P;</v>
          </cell>
          <cell r="B5224">
            <v>730069</v>
          </cell>
          <cell r="C5224" t="str">
            <v>MF</v>
          </cell>
          <cell r="D5224" t="str">
            <v>BAL.MARITIMO C</v>
          </cell>
          <cell r="E5224" t="str">
            <v>20</v>
          </cell>
          <cell r="F5224" t="str">
            <v/>
          </cell>
          <cell r="G5224" t="str">
            <v>P</v>
          </cell>
          <cell r="H5224">
            <v>0</v>
          </cell>
        </row>
        <row r="5225">
          <cell r="A5225" t="str">
            <v>1;20;MF;P;</v>
          </cell>
          <cell r="B5225">
            <v>730069</v>
          </cell>
          <cell r="C5225" t="str">
            <v>MF</v>
          </cell>
          <cell r="D5225" t="str">
            <v>BAL.MARITIMO C</v>
          </cell>
          <cell r="E5225" t="str">
            <v>20</v>
          </cell>
          <cell r="F5225" t="str">
            <v/>
          </cell>
          <cell r="G5225" t="str">
            <v>P</v>
          </cell>
          <cell r="H5225">
            <v>7.08</v>
          </cell>
        </row>
        <row r="5226">
          <cell r="A5226" t="str">
            <v>1;20;MF;E;</v>
          </cell>
          <cell r="B5226">
            <v>730069</v>
          </cell>
          <cell r="C5226" t="str">
            <v>MF</v>
          </cell>
          <cell r="D5226" t="str">
            <v>BAL.MARITIMO C</v>
          </cell>
          <cell r="E5226" t="str">
            <v>20</v>
          </cell>
          <cell r="F5226" t="str">
            <v/>
          </cell>
          <cell r="G5226" t="str">
            <v>E</v>
          </cell>
          <cell r="H5226">
            <v>7.08</v>
          </cell>
        </row>
        <row r="5227">
          <cell r="A5227" t="str">
            <v>4;20;MF;E;</v>
          </cell>
          <cell r="B5227">
            <v>730069</v>
          </cell>
          <cell r="C5227" t="str">
            <v>MF</v>
          </cell>
          <cell r="D5227" t="str">
            <v>BAL.MARITIMO C</v>
          </cell>
          <cell r="E5227" t="str">
            <v>20</v>
          </cell>
          <cell r="F5227" t="str">
            <v/>
          </cell>
          <cell r="G5227" t="str">
            <v>E</v>
          </cell>
          <cell r="H5227">
            <v>0</v>
          </cell>
        </row>
        <row r="5228">
          <cell r="A5228" t="str">
            <v>1;40;MF;B;PAQ00a05</v>
          </cell>
          <cell r="B5228">
            <v>730069</v>
          </cell>
          <cell r="C5228" t="str">
            <v>MF</v>
          </cell>
          <cell r="D5228" t="str">
            <v>BAL.MARITIMO C</v>
          </cell>
          <cell r="E5228" t="str">
            <v>40</v>
          </cell>
          <cell r="F5228" t="str">
            <v>PAQ00a05</v>
          </cell>
          <cell r="G5228" t="str">
            <v>B</v>
          </cell>
          <cell r="H5228">
            <v>13.21</v>
          </cell>
        </row>
        <row r="5229">
          <cell r="A5229" t="str">
            <v>4;40;MF;B;PAQ00a05</v>
          </cell>
          <cell r="B5229">
            <v>730069</v>
          </cell>
          <cell r="C5229" t="str">
            <v>MF</v>
          </cell>
          <cell r="D5229" t="str">
            <v>BAL.MARITIMO C</v>
          </cell>
          <cell r="E5229" t="str">
            <v>40</v>
          </cell>
          <cell r="F5229" t="str">
            <v>PAQ00a05</v>
          </cell>
          <cell r="G5229" t="str">
            <v>B</v>
          </cell>
          <cell r="H5229">
            <v>8</v>
          </cell>
        </row>
        <row r="5230">
          <cell r="A5230" t="str">
            <v>4;40;MF;B;PAQ05a10</v>
          </cell>
          <cell r="B5230">
            <v>730069</v>
          </cell>
          <cell r="C5230" t="str">
            <v>MF</v>
          </cell>
          <cell r="D5230" t="str">
            <v>BAL.MARITIMO C</v>
          </cell>
          <cell r="E5230" t="str">
            <v>40</v>
          </cell>
          <cell r="F5230" t="str">
            <v>PAQ05a10</v>
          </cell>
          <cell r="G5230" t="str">
            <v>B</v>
          </cell>
          <cell r="H5230">
            <v>8</v>
          </cell>
        </row>
        <row r="5231">
          <cell r="A5231" t="str">
            <v>1;40;MF;B;PAQ05a10</v>
          </cell>
          <cell r="B5231">
            <v>730069</v>
          </cell>
          <cell r="C5231" t="str">
            <v>MF</v>
          </cell>
          <cell r="D5231" t="str">
            <v>BAL.MARITIMO C</v>
          </cell>
          <cell r="E5231" t="str">
            <v>40</v>
          </cell>
          <cell r="F5231" t="str">
            <v>PAQ05a10</v>
          </cell>
          <cell r="G5231" t="str">
            <v>B</v>
          </cell>
          <cell r="H5231">
            <v>18.89</v>
          </cell>
        </row>
        <row r="5232">
          <cell r="A5232" t="str">
            <v>1;40;MF;B;PAQ10a15</v>
          </cell>
          <cell r="B5232">
            <v>730069</v>
          </cell>
          <cell r="C5232" t="str">
            <v>MF</v>
          </cell>
          <cell r="D5232" t="str">
            <v>BAL.MARITIMO C</v>
          </cell>
          <cell r="E5232" t="str">
            <v>40</v>
          </cell>
          <cell r="F5232" t="str">
            <v>PAQ10a15</v>
          </cell>
          <cell r="G5232" t="str">
            <v>B</v>
          </cell>
          <cell r="H5232">
            <v>25.81</v>
          </cell>
        </row>
        <row r="5233">
          <cell r="A5233" t="str">
            <v>4;40;MF;B;PAQ10a15</v>
          </cell>
          <cell r="B5233">
            <v>730069</v>
          </cell>
          <cell r="C5233" t="str">
            <v>MF</v>
          </cell>
          <cell r="D5233" t="str">
            <v>BAL.MARITIMO C</v>
          </cell>
          <cell r="E5233" t="str">
            <v>40</v>
          </cell>
          <cell r="F5233" t="str">
            <v>PAQ10a15</v>
          </cell>
          <cell r="G5233" t="str">
            <v>B</v>
          </cell>
          <cell r="H5233">
            <v>8</v>
          </cell>
        </row>
        <row r="5234">
          <cell r="A5234" t="str">
            <v>1;40;MF;B;PAQ15a20</v>
          </cell>
          <cell r="B5234">
            <v>730069</v>
          </cell>
          <cell r="C5234" t="str">
            <v>MF</v>
          </cell>
          <cell r="D5234" t="str">
            <v>BAL.MARITIMO C</v>
          </cell>
          <cell r="E5234" t="str">
            <v>40</v>
          </cell>
          <cell r="F5234" t="str">
            <v>PAQ15a20</v>
          </cell>
          <cell r="G5234" t="str">
            <v>B</v>
          </cell>
          <cell r="H5234">
            <v>32.71</v>
          </cell>
        </row>
        <row r="5235">
          <cell r="A5235" t="str">
            <v>4;40;MF;B;PAQ15a20</v>
          </cell>
          <cell r="B5235">
            <v>730069</v>
          </cell>
          <cell r="C5235" t="str">
            <v>MF</v>
          </cell>
          <cell r="D5235" t="str">
            <v>BAL.MARITIMO C</v>
          </cell>
          <cell r="E5235" t="str">
            <v>40</v>
          </cell>
          <cell r="F5235" t="str">
            <v>PAQ15a20</v>
          </cell>
          <cell r="G5235" t="str">
            <v>B</v>
          </cell>
          <cell r="H5235">
            <v>8</v>
          </cell>
        </row>
        <row r="5236">
          <cell r="A5236" t="str">
            <v>4;41;MF;B;PAQ00a05</v>
          </cell>
          <cell r="B5236">
            <v>730069</v>
          </cell>
          <cell r="C5236" t="str">
            <v>MF</v>
          </cell>
          <cell r="D5236" t="str">
            <v>BAL.MARITIMO C</v>
          </cell>
          <cell r="E5236" t="str">
            <v>41</v>
          </cell>
          <cell r="F5236" t="str">
            <v>PAQ00a05</v>
          </cell>
          <cell r="G5236" t="str">
            <v>B</v>
          </cell>
          <cell r="H5236">
            <v>8</v>
          </cell>
        </row>
        <row r="5237">
          <cell r="A5237" t="str">
            <v>1;41;MF;B;PAQ00a05</v>
          </cell>
          <cell r="B5237">
            <v>730069</v>
          </cell>
          <cell r="C5237" t="str">
            <v>MF</v>
          </cell>
          <cell r="D5237" t="str">
            <v>BAL.MARITIMO C</v>
          </cell>
          <cell r="E5237" t="str">
            <v>41</v>
          </cell>
          <cell r="F5237" t="str">
            <v>PAQ00a05</v>
          </cell>
          <cell r="G5237" t="str">
            <v>B</v>
          </cell>
          <cell r="H5237">
            <v>9.8000000000000007</v>
          </cell>
        </row>
        <row r="5238">
          <cell r="A5238" t="str">
            <v>4;41;MF;B;PAQ05a10</v>
          </cell>
          <cell r="B5238">
            <v>730069</v>
          </cell>
          <cell r="C5238" t="str">
            <v>MF</v>
          </cell>
          <cell r="D5238" t="str">
            <v>BAL.MARITIMO C</v>
          </cell>
          <cell r="E5238" t="str">
            <v>41</v>
          </cell>
          <cell r="F5238" t="str">
            <v>PAQ05a10</v>
          </cell>
          <cell r="G5238" t="str">
            <v>B</v>
          </cell>
          <cell r="H5238">
            <v>8</v>
          </cell>
        </row>
        <row r="5239">
          <cell r="A5239" t="str">
            <v>1;41;MF;B;PAQ05a10</v>
          </cell>
          <cell r="B5239">
            <v>730069</v>
          </cell>
          <cell r="C5239" t="str">
            <v>MF</v>
          </cell>
          <cell r="D5239" t="str">
            <v>BAL.MARITIMO C</v>
          </cell>
          <cell r="E5239" t="str">
            <v>41</v>
          </cell>
          <cell r="F5239" t="str">
            <v>PAQ05a10</v>
          </cell>
          <cell r="G5239" t="str">
            <v>B</v>
          </cell>
          <cell r="H5239">
            <v>16.62</v>
          </cell>
        </row>
        <row r="5240">
          <cell r="A5240" t="str">
            <v>4;41;MF;B;PAQ10a15</v>
          </cell>
          <cell r="B5240">
            <v>730069</v>
          </cell>
          <cell r="C5240" t="str">
            <v>MF</v>
          </cell>
          <cell r="D5240" t="str">
            <v>BAL.MARITIMO C</v>
          </cell>
          <cell r="E5240" t="str">
            <v>41</v>
          </cell>
          <cell r="F5240" t="str">
            <v>PAQ10a15</v>
          </cell>
          <cell r="G5240" t="str">
            <v>B</v>
          </cell>
          <cell r="H5240">
            <v>8</v>
          </cell>
        </row>
        <row r="5241">
          <cell r="A5241" t="str">
            <v>1;41;MF;B;PAQ10a15</v>
          </cell>
          <cell r="B5241">
            <v>730069</v>
          </cell>
          <cell r="C5241" t="str">
            <v>MF</v>
          </cell>
          <cell r="D5241" t="str">
            <v>BAL.MARITIMO C</v>
          </cell>
          <cell r="E5241" t="str">
            <v>41</v>
          </cell>
          <cell r="F5241" t="str">
            <v>PAQ10a15</v>
          </cell>
          <cell r="G5241" t="str">
            <v>B</v>
          </cell>
          <cell r="H5241">
            <v>21.26</v>
          </cell>
        </row>
        <row r="5242">
          <cell r="A5242" t="str">
            <v>1;41;MF;B;PAQ15a20</v>
          </cell>
          <cell r="B5242">
            <v>730069</v>
          </cell>
          <cell r="C5242" t="str">
            <v>MF</v>
          </cell>
          <cell r="D5242" t="str">
            <v>BAL.MARITIMO C</v>
          </cell>
          <cell r="E5242" t="str">
            <v>41</v>
          </cell>
          <cell r="F5242" t="str">
            <v>PAQ15a20</v>
          </cell>
          <cell r="G5242" t="str">
            <v>B</v>
          </cell>
          <cell r="H5242">
            <v>25.89</v>
          </cell>
        </row>
        <row r="5243">
          <cell r="A5243" t="str">
            <v>4;41;MF;B;PAQ15a20</v>
          </cell>
          <cell r="B5243">
            <v>730069</v>
          </cell>
          <cell r="C5243" t="str">
            <v>MF</v>
          </cell>
          <cell r="D5243" t="str">
            <v>BAL.MARITIMO C</v>
          </cell>
          <cell r="E5243" t="str">
            <v>41</v>
          </cell>
          <cell r="F5243" t="str">
            <v>PAQ15a20</v>
          </cell>
          <cell r="G5243" t="str">
            <v>B</v>
          </cell>
          <cell r="H5243">
            <v>8</v>
          </cell>
        </row>
        <row r="5244">
          <cell r="A5244" t="str">
            <v>1;44;MF;B;PAQ00a05</v>
          </cell>
          <cell r="B5244">
            <v>730069</v>
          </cell>
          <cell r="C5244" t="str">
            <v>MF</v>
          </cell>
          <cell r="D5244" t="str">
            <v>BAL.MARITIMO C</v>
          </cell>
          <cell r="E5244" t="str">
            <v>44</v>
          </cell>
          <cell r="F5244" t="str">
            <v>PAQ00a05</v>
          </cell>
          <cell r="G5244" t="str">
            <v>B</v>
          </cell>
          <cell r="H5244">
            <v>9.56</v>
          </cell>
        </row>
        <row r="5245">
          <cell r="A5245" t="str">
            <v>1;44;MF;B;PAQ05a10</v>
          </cell>
          <cell r="B5245">
            <v>730069</v>
          </cell>
          <cell r="C5245" t="str">
            <v>MF</v>
          </cell>
          <cell r="D5245" t="str">
            <v>BAL.MARITIMO C</v>
          </cell>
          <cell r="E5245" t="str">
            <v>44</v>
          </cell>
          <cell r="F5245" t="str">
            <v>PAQ05a10</v>
          </cell>
          <cell r="G5245" t="str">
            <v>B</v>
          </cell>
          <cell r="H5245">
            <v>13.99</v>
          </cell>
        </row>
        <row r="5246">
          <cell r="A5246" t="str">
            <v>1;44;MF;B;PAQ10a15</v>
          </cell>
          <cell r="B5246">
            <v>730069</v>
          </cell>
          <cell r="C5246" t="str">
            <v>MF</v>
          </cell>
          <cell r="D5246" t="str">
            <v>BAL.MARITIMO C</v>
          </cell>
          <cell r="E5246" t="str">
            <v>44</v>
          </cell>
          <cell r="F5246" t="str">
            <v>PAQ10a15</v>
          </cell>
          <cell r="G5246" t="str">
            <v>B</v>
          </cell>
          <cell r="H5246">
            <v>17.329999999999998</v>
          </cell>
        </row>
        <row r="5247">
          <cell r="A5247" t="str">
            <v>1;44;MF;B;PAQ15a20</v>
          </cell>
          <cell r="B5247">
            <v>730069</v>
          </cell>
          <cell r="C5247" t="str">
            <v>MF</v>
          </cell>
          <cell r="D5247" t="str">
            <v>BAL.MARITIMO C</v>
          </cell>
          <cell r="E5247" t="str">
            <v>44</v>
          </cell>
          <cell r="F5247" t="str">
            <v>PAQ15a20</v>
          </cell>
          <cell r="G5247" t="str">
            <v>B</v>
          </cell>
          <cell r="H5247">
            <v>21.33</v>
          </cell>
        </row>
        <row r="5248">
          <cell r="A5248" t="str">
            <v>1;18;MI;B;BAG</v>
          </cell>
          <cell r="B5248">
            <v>730069</v>
          </cell>
          <cell r="C5248" t="str">
            <v>MI</v>
          </cell>
          <cell r="D5248" t="str">
            <v>BAL.MARITIMO B</v>
          </cell>
          <cell r="E5248" t="str">
            <v>18</v>
          </cell>
          <cell r="F5248" t="str">
            <v>BAG</v>
          </cell>
          <cell r="G5248" t="str">
            <v>B</v>
          </cell>
          <cell r="H5248">
            <v>8.77</v>
          </cell>
        </row>
        <row r="5249">
          <cell r="A5249" t="str">
            <v>1;18;MI;B;PAQ00a05</v>
          </cell>
          <cell r="B5249">
            <v>730069</v>
          </cell>
          <cell r="C5249" t="str">
            <v>MI</v>
          </cell>
          <cell r="D5249" t="str">
            <v>BAL.MARITIMO B</v>
          </cell>
          <cell r="E5249" t="str">
            <v>18</v>
          </cell>
          <cell r="F5249" t="str">
            <v>PAQ00a05</v>
          </cell>
          <cell r="G5249" t="str">
            <v>B</v>
          </cell>
          <cell r="H5249">
            <v>8.77</v>
          </cell>
        </row>
        <row r="5250">
          <cell r="A5250" t="str">
            <v>1;18;MI;B;PAQ05a10</v>
          </cell>
          <cell r="B5250">
            <v>730069</v>
          </cell>
          <cell r="C5250" t="str">
            <v>MI</v>
          </cell>
          <cell r="D5250" t="str">
            <v>BAL.MARITIMO B</v>
          </cell>
          <cell r="E5250" t="str">
            <v>18</v>
          </cell>
          <cell r="F5250" t="str">
            <v>PAQ05a10</v>
          </cell>
          <cell r="G5250" t="str">
            <v>B</v>
          </cell>
          <cell r="H5250">
            <v>13.32</v>
          </cell>
        </row>
        <row r="5251">
          <cell r="A5251" t="str">
            <v>1;18;MI;B;PAQ10a15</v>
          </cell>
          <cell r="B5251">
            <v>730069</v>
          </cell>
          <cell r="C5251" t="str">
            <v>MI</v>
          </cell>
          <cell r="D5251" t="str">
            <v>BAL.MARITIMO B</v>
          </cell>
          <cell r="E5251" t="str">
            <v>18</v>
          </cell>
          <cell r="F5251" t="str">
            <v>PAQ10a15</v>
          </cell>
          <cell r="G5251" t="str">
            <v>B</v>
          </cell>
          <cell r="H5251">
            <v>16.77</v>
          </cell>
        </row>
        <row r="5252">
          <cell r="A5252" t="str">
            <v>1;18;MI;B;PAQ15a20</v>
          </cell>
          <cell r="B5252">
            <v>730069</v>
          </cell>
          <cell r="C5252" t="str">
            <v>MI</v>
          </cell>
          <cell r="D5252" t="str">
            <v>BAL.MARITIMO B</v>
          </cell>
          <cell r="E5252" t="str">
            <v>18</v>
          </cell>
          <cell r="F5252" t="str">
            <v>PAQ15a20</v>
          </cell>
          <cell r="G5252" t="str">
            <v>B</v>
          </cell>
          <cell r="H5252">
            <v>20.88</v>
          </cell>
        </row>
        <row r="5253">
          <cell r="A5253" t="str">
            <v>1;20;MI;B;PAQ00a05</v>
          </cell>
          <cell r="B5253">
            <v>730069</v>
          </cell>
          <cell r="C5253" t="str">
            <v>MI</v>
          </cell>
          <cell r="D5253" t="str">
            <v>BAL.MARITIMO B</v>
          </cell>
          <cell r="E5253" t="str">
            <v>20</v>
          </cell>
          <cell r="F5253" t="str">
            <v>PAQ00a05</v>
          </cell>
          <cell r="G5253" t="str">
            <v>B</v>
          </cell>
          <cell r="H5253">
            <v>11.77</v>
          </cell>
        </row>
        <row r="5254">
          <cell r="A5254" t="str">
            <v>1;20;MI;B;PAQ05a10</v>
          </cell>
          <cell r="B5254">
            <v>730069</v>
          </cell>
          <cell r="C5254" t="str">
            <v>MI</v>
          </cell>
          <cell r="D5254" t="str">
            <v>BAL.MARITIMO B</v>
          </cell>
          <cell r="E5254" t="str">
            <v>20</v>
          </cell>
          <cell r="F5254" t="str">
            <v>PAQ05a10</v>
          </cell>
          <cell r="G5254" t="str">
            <v>B</v>
          </cell>
          <cell r="H5254">
            <v>16.84</v>
          </cell>
        </row>
        <row r="5255">
          <cell r="A5255" t="str">
            <v>1;20;MI;B;PAQ10a15</v>
          </cell>
          <cell r="B5255">
            <v>730069</v>
          </cell>
          <cell r="C5255" t="str">
            <v>MI</v>
          </cell>
          <cell r="D5255" t="str">
            <v>BAL.MARITIMO B</v>
          </cell>
          <cell r="E5255" t="str">
            <v>20</v>
          </cell>
          <cell r="F5255" t="str">
            <v>PAQ10a15</v>
          </cell>
          <cell r="G5255" t="str">
            <v>B</v>
          </cell>
          <cell r="H5255">
            <v>21.34</v>
          </cell>
        </row>
        <row r="5256">
          <cell r="A5256" t="str">
            <v>1;20;MI;B;PAQ15a20</v>
          </cell>
          <cell r="B5256">
            <v>730069</v>
          </cell>
          <cell r="C5256" t="str">
            <v>MI</v>
          </cell>
          <cell r="D5256" t="str">
            <v>BAL.MARITIMO B</v>
          </cell>
          <cell r="E5256" t="str">
            <v>20</v>
          </cell>
          <cell r="F5256" t="str">
            <v>PAQ15a20</v>
          </cell>
          <cell r="G5256" t="str">
            <v>B</v>
          </cell>
          <cell r="H5256">
            <v>26.27</v>
          </cell>
        </row>
        <row r="5257">
          <cell r="A5257" t="str">
            <v>1;20;MI;B;PAQ20a25</v>
          </cell>
          <cell r="B5257">
            <v>730069</v>
          </cell>
          <cell r="C5257" t="str">
            <v>MI</v>
          </cell>
          <cell r="D5257" t="str">
            <v>BAL.MARITIMO B</v>
          </cell>
          <cell r="E5257" t="str">
            <v>20</v>
          </cell>
          <cell r="F5257" t="str">
            <v>PAQ20a25</v>
          </cell>
          <cell r="G5257" t="str">
            <v>B</v>
          </cell>
          <cell r="H5257">
            <v>32.64</v>
          </cell>
        </row>
        <row r="5258">
          <cell r="A5258" t="str">
            <v>1;20;MI;B;PAQ25a30</v>
          </cell>
          <cell r="B5258">
            <v>730069</v>
          </cell>
          <cell r="C5258" t="str">
            <v>MI</v>
          </cell>
          <cell r="D5258" t="str">
            <v>BAL.MARITIMO B</v>
          </cell>
          <cell r="E5258" t="str">
            <v>20</v>
          </cell>
          <cell r="F5258" t="str">
            <v>PAQ25a30</v>
          </cell>
          <cell r="G5258" t="str">
            <v>B</v>
          </cell>
          <cell r="H5258">
            <v>38.090000000000003</v>
          </cell>
        </row>
        <row r="5259">
          <cell r="A5259" t="str">
            <v>1;20;MI;B;PAQ30a35</v>
          </cell>
          <cell r="B5259">
            <v>730069</v>
          </cell>
          <cell r="C5259" t="str">
            <v>MI</v>
          </cell>
          <cell r="D5259" t="str">
            <v>BAL.MARITIMO B</v>
          </cell>
          <cell r="E5259" t="str">
            <v>20</v>
          </cell>
          <cell r="F5259" t="str">
            <v>PAQ30a35</v>
          </cell>
          <cell r="G5259" t="str">
            <v>B</v>
          </cell>
          <cell r="H5259">
            <v>43.55</v>
          </cell>
        </row>
        <row r="5260">
          <cell r="A5260" t="str">
            <v>1;20;MI;F;</v>
          </cell>
          <cell r="B5260">
            <v>730069</v>
          </cell>
          <cell r="C5260" t="str">
            <v>MI</v>
          </cell>
          <cell r="D5260" t="str">
            <v>BAL.MARITIMO B</v>
          </cell>
          <cell r="E5260" t="str">
            <v>20</v>
          </cell>
          <cell r="F5260" t="str">
            <v/>
          </cell>
          <cell r="G5260" t="str">
            <v>F</v>
          </cell>
          <cell r="H5260">
            <v>6.15</v>
          </cell>
        </row>
        <row r="5261">
          <cell r="A5261" t="str">
            <v>1;20;MI;B;PAQ35a40</v>
          </cell>
          <cell r="B5261">
            <v>730069</v>
          </cell>
          <cell r="C5261" t="str">
            <v>MI</v>
          </cell>
          <cell r="D5261" t="str">
            <v>BAL.MARITIMO B</v>
          </cell>
          <cell r="E5261" t="str">
            <v>20</v>
          </cell>
          <cell r="F5261" t="str">
            <v>PAQ35a40</v>
          </cell>
          <cell r="G5261" t="str">
            <v>B</v>
          </cell>
          <cell r="H5261">
            <v>49</v>
          </cell>
        </row>
        <row r="5262">
          <cell r="A5262" t="str">
            <v>1;20;MI;E;</v>
          </cell>
          <cell r="B5262">
            <v>730069</v>
          </cell>
          <cell r="C5262" t="str">
            <v>MI</v>
          </cell>
          <cell r="D5262" t="str">
            <v>BAL.MARITIMO B</v>
          </cell>
          <cell r="E5262" t="str">
            <v>20</v>
          </cell>
          <cell r="F5262" t="str">
            <v/>
          </cell>
          <cell r="G5262" t="str">
            <v>E</v>
          </cell>
          <cell r="H5262">
            <v>6.15</v>
          </cell>
        </row>
        <row r="5263">
          <cell r="A5263" t="str">
            <v>1;20;MI;P;</v>
          </cell>
          <cell r="B5263">
            <v>730069</v>
          </cell>
          <cell r="C5263" t="str">
            <v>MI</v>
          </cell>
          <cell r="D5263" t="str">
            <v>BAL.MARITIMO B</v>
          </cell>
          <cell r="E5263" t="str">
            <v>20</v>
          </cell>
          <cell r="F5263" t="str">
            <v/>
          </cell>
          <cell r="G5263" t="str">
            <v>P</v>
          </cell>
          <cell r="H5263">
            <v>6.15</v>
          </cell>
        </row>
        <row r="5264">
          <cell r="A5264" t="str">
            <v>1;40;MI;B;PAQ00a05</v>
          </cell>
          <cell r="B5264">
            <v>730069</v>
          </cell>
          <cell r="C5264" t="str">
            <v>MI</v>
          </cell>
          <cell r="D5264" t="str">
            <v>BAL.MARITIMO B</v>
          </cell>
          <cell r="E5264" t="str">
            <v>40</v>
          </cell>
          <cell r="F5264" t="str">
            <v>PAQ00a05</v>
          </cell>
          <cell r="G5264" t="str">
            <v>B</v>
          </cell>
          <cell r="H5264">
            <v>11.49</v>
          </cell>
        </row>
        <row r="5265">
          <cell r="A5265" t="str">
            <v>1;40;MI;B;PAQ05a10</v>
          </cell>
          <cell r="B5265">
            <v>730069</v>
          </cell>
          <cell r="C5265" t="str">
            <v>MI</v>
          </cell>
          <cell r="D5265" t="str">
            <v>BAL.MARITIMO B</v>
          </cell>
          <cell r="E5265" t="str">
            <v>40</v>
          </cell>
          <cell r="F5265" t="str">
            <v>PAQ05a10</v>
          </cell>
          <cell r="G5265" t="str">
            <v>B</v>
          </cell>
          <cell r="H5265">
            <v>16.43</v>
          </cell>
        </row>
        <row r="5266">
          <cell r="A5266" t="str">
            <v>1;40;MI;B;PAQ10a15</v>
          </cell>
          <cell r="B5266">
            <v>730069</v>
          </cell>
          <cell r="C5266" t="str">
            <v>MI</v>
          </cell>
          <cell r="D5266" t="str">
            <v>BAL.MARITIMO B</v>
          </cell>
          <cell r="E5266" t="str">
            <v>40</v>
          </cell>
          <cell r="F5266" t="str">
            <v>PAQ10a15</v>
          </cell>
          <cell r="G5266" t="str">
            <v>B</v>
          </cell>
          <cell r="H5266">
            <v>20.82</v>
          </cell>
        </row>
        <row r="5267">
          <cell r="A5267" t="str">
            <v>1;40;MI;B;PAQ15a20</v>
          </cell>
          <cell r="B5267">
            <v>730069</v>
          </cell>
          <cell r="C5267" t="str">
            <v>MI</v>
          </cell>
          <cell r="D5267" t="str">
            <v>BAL.MARITIMO B</v>
          </cell>
          <cell r="E5267" t="str">
            <v>40</v>
          </cell>
          <cell r="F5267" t="str">
            <v>PAQ15a20</v>
          </cell>
          <cell r="G5267" t="str">
            <v>B</v>
          </cell>
          <cell r="H5267">
            <v>25.63</v>
          </cell>
        </row>
        <row r="5268">
          <cell r="A5268" t="str">
            <v>1;41;MI;B;PAQ00a05</v>
          </cell>
          <cell r="B5268">
            <v>730069</v>
          </cell>
          <cell r="C5268" t="str">
            <v>MI</v>
          </cell>
          <cell r="D5268" t="str">
            <v>BAL.MARITIMO B</v>
          </cell>
          <cell r="E5268" t="str">
            <v>41</v>
          </cell>
          <cell r="F5268" t="str">
            <v>PAQ00a05</v>
          </cell>
          <cell r="G5268" t="str">
            <v>B</v>
          </cell>
          <cell r="H5268">
            <v>9.2200000000000006</v>
          </cell>
        </row>
        <row r="5269">
          <cell r="A5269" t="str">
            <v>1;41;MI;B;PAQ05a10</v>
          </cell>
          <cell r="B5269">
            <v>730069</v>
          </cell>
          <cell r="C5269" t="str">
            <v>MI</v>
          </cell>
          <cell r="D5269" t="str">
            <v>BAL.MARITIMO B</v>
          </cell>
          <cell r="E5269" t="str">
            <v>41</v>
          </cell>
          <cell r="F5269" t="str">
            <v>PAQ05a10</v>
          </cell>
          <cell r="G5269" t="str">
            <v>B</v>
          </cell>
          <cell r="H5269">
            <v>14.15</v>
          </cell>
        </row>
        <row r="5270">
          <cell r="A5270" t="str">
            <v>1;41;MI;B;PAQ10a15</v>
          </cell>
          <cell r="B5270">
            <v>730069</v>
          </cell>
          <cell r="C5270" t="str">
            <v>MI</v>
          </cell>
          <cell r="D5270" t="str">
            <v>BAL.MARITIMO B</v>
          </cell>
          <cell r="E5270" t="str">
            <v>41</v>
          </cell>
          <cell r="F5270" t="str">
            <v>PAQ10a15</v>
          </cell>
          <cell r="G5270" t="str">
            <v>B</v>
          </cell>
          <cell r="H5270">
            <v>17.98</v>
          </cell>
        </row>
        <row r="5271">
          <cell r="A5271" t="str">
            <v>1;41;MI;B;PAQ15a20</v>
          </cell>
          <cell r="B5271">
            <v>730069</v>
          </cell>
          <cell r="C5271" t="str">
            <v>MI</v>
          </cell>
          <cell r="D5271" t="str">
            <v>BAL.MARITIMO B</v>
          </cell>
          <cell r="E5271" t="str">
            <v>41</v>
          </cell>
          <cell r="F5271" t="str">
            <v>PAQ15a20</v>
          </cell>
          <cell r="G5271" t="str">
            <v>B</v>
          </cell>
          <cell r="H5271">
            <v>22.23</v>
          </cell>
        </row>
        <row r="5272">
          <cell r="A5272" t="str">
            <v>1;44;MI;B;PAQ00a05</v>
          </cell>
          <cell r="B5272">
            <v>730069</v>
          </cell>
          <cell r="C5272" t="str">
            <v>MI</v>
          </cell>
          <cell r="D5272" t="str">
            <v>BAL.MARITIMO B</v>
          </cell>
          <cell r="E5272" t="str">
            <v>44</v>
          </cell>
          <cell r="F5272" t="str">
            <v>PAQ00a05</v>
          </cell>
          <cell r="G5272" t="str">
            <v>B</v>
          </cell>
          <cell r="H5272">
            <v>9.56</v>
          </cell>
        </row>
        <row r="5273">
          <cell r="A5273" t="str">
            <v>1;44;MI;B;PAQ05a10</v>
          </cell>
          <cell r="B5273">
            <v>730069</v>
          </cell>
          <cell r="C5273" t="str">
            <v>MI</v>
          </cell>
          <cell r="D5273" t="str">
            <v>BAL.MARITIMO B</v>
          </cell>
          <cell r="E5273" t="str">
            <v>44</v>
          </cell>
          <cell r="F5273" t="str">
            <v>PAQ05a10</v>
          </cell>
          <cell r="G5273" t="str">
            <v>B</v>
          </cell>
          <cell r="H5273">
            <v>13.99</v>
          </cell>
        </row>
        <row r="5274">
          <cell r="A5274" t="str">
            <v>1;44;MI;B;PAQ10a15</v>
          </cell>
          <cell r="B5274">
            <v>730069</v>
          </cell>
          <cell r="C5274" t="str">
            <v>MI</v>
          </cell>
          <cell r="D5274" t="str">
            <v>BAL.MARITIMO B</v>
          </cell>
          <cell r="E5274" t="str">
            <v>44</v>
          </cell>
          <cell r="F5274" t="str">
            <v>PAQ10a15</v>
          </cell>
          <cell r="G5274" t="str">
            <v>B</v>
          </cell>
          <cell r="H5274">
            <v>17.329999999999998</v>
          </cell>
        </row>
        <row r="5275">
          <cell r="A5275" t="str">
            <v>1;44;MI;B;PAQ15a20</v>
          </cell>
          <cell r="B5275">
            <v>730069</v>
          </cell>
          <cell r="C5275" t="str">
            <v>MI</v>
          </cell>
          <cell r="D5275" t="str">
            <v>BAL.MARITIMO B</v>
          </cell>
          <cell r="E5275" t="str">
            <v>44</v>
          </cell>
          <cell r="F5275" t="str">
            <v>PAQ15a20</v>
          </cell>
          <cell r="G5275" t="str">
            <v>B</v>
          </cell>
          <cell r="H5275">
            <v>21.33</v>
          </cell>
        </row>
        <row r="5276">
          <cell r="A5276" t="str">
            <v>1;18;MM;B;BAG</v>
          </cell>
          <cell r="B5276">
            <v>730069</v>
          </cell>
          <cell r="C5276" t="str">
            <v>MM</v>
          </cell>
          <cell r="D5276" t="str">
            <v>BAL.MARITIMO A</v>
          </cell>
          <cell r="E5276" t="str">
            <v>18</v>
          </cell>
          <cell r="F5276" t="str">
            <v>BAG</v>
          </cell>
          <cell r="G5276" t="str">
            <v>B</v>
          </cell>
          <cell r="H5276">
            <v>8.77</v>
          </cell>
        </row>
        <row r="5277">
          <cell r="A5277" t="str">
            <v>1;18;MM;B;PAQ00a05</v>
          </cell>
          <cell r="B5277">
            <v>730069</v>
          </cell>
          <cell r="C5277" t="str">
            <v>MM</v>
          </cell>
          <cell r="D5277" t="str">
            <v>BAL.MARITIMO A</v>
          </cell>
          <cell r="E5277" t="str">
            <v>18</v>
          </cell>
          <cell r="F5277" t="str">
            <v>PAQ00a05</v>
          </cell>
          <cell r="G5277" t="str">
            <v>B</v>
          </cell>
          <cell r="H5277">
            <v>8.77</v>
          </cell>
        </row>
        <row r="5278">
          <cell r="A5278" t="str">
            <v>1;18;MM;B;PAQ05a10</v>
          </cell>
          <cell r="B5278">
            <v>730069</v>
          </cell>
          <cell r="C5278" t="str">
            <v>MM</v>
          </cell>
          <cell r="D5278" t="str">
            <v>BAL.MARITIMO A</v>
          </cell>
          <cell r="E5278" t="str">
            <v>18</v>
          </cell>
          <cell r="F5278" t="str">
            <v>PAQ05a10</v>
          </cell>
          <cell r="G5278" t="str">
            <v>B</v>
          </cell>
          <cell r="H5278">
            <v>13.32</v>
          </cell>
        </row>
        <row r="5279">
          <cell r="A5279" t="str">
            <v>1;18;MM;B;PAQ10a15</v>
          </cell>
          <cell r="B5279">
            <v>730069</v>
          </cell>
          <cell r="C5279" t="str">
            <v>MM</v>
          </cell>
          <cell r="D5279" t="str">
            <v>BAL.MARITIMO A</v>
          </cell>
          <cell r="E5279" t="str">
            <v>18</v>
          </cell>
          <cell r="F5279" t="str">
            <v>PAQ10a15</v>
          </cell>
          <cell r="G5279" t="str">
            <v>B</v>
          </cell>
          <cell r="H5279">
            <v>16.77</v>
          </cell>
        </row>
        <row r="5280">
          <cell r="A5280" t="str">
            <v>1;18;MM;B;PAQ15a20</v>
          </cell>
          <cell r="B5280">
            <v>730069</v>
          </cell>
          <cell r="C5280" t="str">
            <v>MM</v>
          </cell>
          <cell r="D5280" t="str">
            <v>BAL.MARITIMO A</v>
          </cell>
          <cell r="E5280" t="str">
            <v>18</v>
          </cell>
          <cell r="F5280" t="str">
            <v>PAQ15a20</v>
          </cell>
          <cell r="G5280" t="str">
            <v>B</v>
          </cell>
          <cell r="H5280">
            <v>20.88</v>
          </cell>
        </row>
        <row r="5281">
          <cell r="A5281" t="str">
            <v>1;20;MM;B;PAQ00a05</v>
          </cell>
          <cell r="B5281">
            <v>730069</v>
          </cell>
          <cell r="C5281" t="str">
            <v>MM</v>
          </cell>
          <cell r="D5281" t="str">
            <v>BAL.MARITIMO A</v>
          </cell>
          <cell r="E5281" t="str">
            <v>20</v>
          </cell>
          <cell r="F5281" t="str">
            <v>PAQ00a05</v>
          </cell>
          <cell r="G5281" t="str">
            <v>B</v>
          </cell>
          <cell r="H5281">
            <v>11.77</v>
          </cell>
        </row>
        <row r="5282">
          <cell r="A5282" t="str">
            <v>1;20;MM;B;PAQ05a10</v>
          </cell>
          <cell r="B5282">
            <v>730069</v>
          </cell>
          <cell r="C5282" t="str">
            <v>MM</v>
          </cell>
          <cell r="D5282" t="str">
            <v>BAL.MARITIMO A</v>
          </cell>
          <cell r="E5282" t="str">
            <v>20</v>
          </cell>
          <cell r="F5282" t="str">
            <v>PAQ05a10</v>
          </cell>
          <cell r="G5282" t="str">
            <v>B</v>
          </cell>
          <cell r="H5282">
            <v>16.84</v>
          </cell>
        </row>
        <row r="5283">
          <cell r="A5283" t="str">
            <v>1;20;MM;B;PAQ10a15</v>
          </cell>
          <cell r="B5283">
            <v>730069</v>
          </cell>
          <cell r="C5283" t="str">
            <v>MM</v>
          </cell>
          <cell r="D5283" t="str">
            <v>BAL.MARITIMO A</v>
          </cell>
          <cell r="E5283" t="str">
            <v>20</v>
          </cell>
          <cell r="F5283" t="str">
            <v>PAQ10a15</v>
          </cell>
          <cell r="G5283" t="str">
            <v>B</v>
          </cell>
          <cell r="H5283">
            <v>21.34</v>
          </cell>
        </row>
        <row r="5284">
          <cell r="A5284" t="str">
            <v>1;20;MM;B;PAQ15a20</v>
          </cell>
          <cell r="B5284">
            <v>730069</v>
          </cell>
          <cell r="C5284" t="str">
            <v>MM</v>
          </cell>
          <cell r="D5284" t="str">
            <v>BAL.MARITIMO A</v>
          </cell>
          <cell r="E5284" t="str">
            <v>20</v>
          </cell>
          <cell r="F5284" t="str">
            <v>PAQ15a20</v>
          </cell>
          <cell r="G5284" t="str">
            <v>B</v>
          </cell>
          <cell r="H5284">
            <v>26.27</v>
          </cell>
        </row>
        <row r="5285">
          <cell r="A5285" t="str">
            <v>1;20;MM;B;PAQ20a25</v>
          </cell>
          <cell r="B5285">
            <v>730069</v>
          </cell>
          <cell r="C5285" t="str">
            <v>MM</v>
          </cell>
          <cell r="D5285" t="str">
            <v>BAL.MARITIMO A</v>
          </cell>
          <cell r="E5285" t="str">
            <v>20</v>
          </cell>
          <cell r="F5285" t="str">
            <v>PAQ20a25</v>
          </cell>
          <cell r="G5285" t="str">
            <v>B</v>
          </cell>
          <cell r="H5285">
            <v>32.64</v>
          </cell>
        </row>
        <row r="5286">
          <cell r="A5286" t="str">
            <v>1;20;MM;B;PAQ25a30</v>
          </cell>
          <cell r="B5286">
            <v>730069</v>
          </cell>
          <cell r="C5286" t="str">
            <v>MM</v>
          </cell>
          <cell r="D5286" t="str">
            <v>BAL.MARITIMO A</v>
          </cell>
          <cell r="E5286" t="str">
            <v>20</v>
          </cell>
          <cell r="F5286" t="str">
            <v>PAQ25a30</v>
          </cell>
          <cell r="G5286" t="str">
            <v>B</v>
          </cell>
          <cell r="H5286">
            <v>38.090000000000003</v>
          </cell>
        </row>
        <row r="5287">
          <cell r="A5287" t="str">
            <v>1;20;MM;B;PAQ30a35</v>
          </cell>
          <cell r="B5287">
            <v>730069</v>
          </cell>
          <cell r="C5287" t="str">
            <v>MM</v>
          </cell>
          <cell r="D5287" t="str">
            <v>BAL.MARITIMO A</v>
          </cell>
          <cell r="E5287" t="str">
            <v>20</v>
          </cell>
          <cell r="F5287" t="str">
            <v>PAQ30a35</v>
          </cell>
          <cell r="G5287" t="str">
            <v>B</v>
          </cell>
          <cell r="H5287">
            <v>43.55</v>
          </cell>
        </row>
        <row r="5288">
          <cell r="A5288" t="str">
            <v>1;20;MM;B;PAQ35a40</v>
          </cell>
          <cell r="B5288">
            <v>730069</v>
          </cell>
          <cell r="C5288" t="str">
            <v>MM</v>
          </cell>
          <cell r="D5288" t="str">
            <v>BAL.MARITIMO A</v>
          </cell>
          <cell r="E5288" t="str">
            <v>20</v>
          </cell>
          <cell r="F5288" t="str">
            <v>PAQ35a40</v>
          </cell>
          <cell r="G5288" t="str">
            <v>B</v>
          </cell>
          <cell r="H5288">
            <v>49</v>
          </cell>
        </row>
        <row r="5289">
          <cell r="A5289" t="str">
            <v>1;20;MM;F;</v>
          </cell>
          <cell r="B5289">
            <v>730069</v>
          </cell>
          <cell r="C5289" t="str">
            <v>MM</v>
          </cell>
          <cell r="D5289" t="str">
            <v>BAL.MARITIMO A</v>
          </cell>
          <cell r="E5289" t="str">
            <v>20</v>
          </cell>
          <cell r="F5289" t="str">
            <v/>
          </cell>
          <cell r="G5289" t="str">
            <v>F</v>
          </cell>
          <cell r="H5289">
            <v>6.15</v>
          </cell>
        </row>
        <row r="5290">
          <cell r="A5290" t="str">
            <v>1;20;MM;E;</v>
          </cell>
          <cell r="B5290">
            <v>730069</v>
          </cell>
          <cell r="C5290" t="str">
            <v>MM</v>
          </cell>
          <cell r="D5290" t="str">
            <v>BAL.MARITIMO A</v>
          </cell>
          <cell r="E5290" t="str">
            <v>20</v>
          </cell>
          <cell r="F5290" t="str">
            <v/>
          </cell>
          <cell r="G5290" t="str">
            <v>E</v>
          </cell>
          <cell r="H5290">
            <v>6.15</v>
          </cell>
        </row>
        <row r="5291">
          <cell r="A5291" t="str">
            <v>1;20;MM;P;</v>
          </cell>
          <cell r="B5291">
            <v>730069</v>
          </cell>
          <cell r="C5291" t="str">
            <v>MM</v>
          </cell>
          <cell r="D5291" t="str">
            <v>BAL.MARITIMO A</v>
          </cell>
          <cell r="E5291" t="str">
            <v>20</v>
          </cell>
          <cell r="F5291" t="str">
            <v/>
          </cell>
          <cell r="G5291" t="str">
            <v>P</v>
          </cell>
          <cell r="H5291">
            <v>6.15</v>
          </cell>
        </row>
        <row r="5292">
          <cell r="A5292" t="str">
            <v>1;25;MM;B;BICI</v>
          </cell>
          <cell r="B5292">
            <v>730069</v>
          </cell>
          <cell r="C5292" t="str">
            <v>MM</v>
          </cell>
          <cell r="D5292" t="str">
            <v>BAL.MARITIMO A</v>
          </cell>
          <cell r="E5292" t="str">
            <v>25</v>
          </cell>
          <cell r="F5292" t="str">
            <v>BICI</v>
          </cell>
          <cell r="G5292" t="str">
            <v>B</v>
          </cell>
          <cell r="H5292">
            <v>37.19</v>
          </cell>
        </row>
        <row r="5293">
          <cell r="A5293" t="str">
            <v>1;25;MM;B;BIIV</v>
          </cell>
          <cell r="B5293">
            <v>730069</v>
          </cell>
          <cell r="C5293" t="str">
            <v>MM</v>
          </cell>
          <cell r="D5293" t="str">
            <v>BAL.MARITIMO A</v>
          </cell>
          <cell r="E5293" t="str">
            <v>25</v>
          </cell>
          <cell r="F5293" t="str">
            <v>BIIV</v>
          </cell>
          <cell r="G5293" t="str">
            <v>B</v>
          </cell>
          <cell r="H5293">
            <v>69.42</v>
          </cell>
        </row>
        <row r="5294">
          <cell r="A5294" t="str">
            <v>1;25;MM;B;EQIV</v>
          </cell>
          <cell r="B5294">
            <v>730069</v>
          </cell>
          <cell r="C5294" t="str">
            <v>MM</v>
          </cell>
          <cell r="D5294" t="str">
            <v>BAL.MARITIMO A</v>
          </cell>
          <cell r="E5294" t="str">
            <v>25</v>
          </cell>
          <cell r="F5294" t="str">
            <v>EQIV</v>
          </cell>
          <cell r="G5294" t="str">
            <v>B</v>
          </cell>
          <cell r="H5294">
            <v>49.59</v>
          </cell>
        </row>
        <row r="5295">
          <cell r="A5295" t="str">
            <v>1;25;MM;B;EQUI</v>
          </cell>
          <cell r="B5295">
            <v>730069</v>
          </cell>
          <cell r="C5295" t="str">
            <v>MM</v>
          </cell>
          <cell r="D5295" t="str">
            <v>BAL.MARITIMO A</v>
          </cell>
          <cell r="E5295" t="str">
            <v>25</v>
          </cell>
          <cell r="F5295" t="str">
            <v>EQUI</v>
          </cell>
          <cell r="G5295" t="str">
            <v>B</v>
          </cell>
          <cell r="H5295">
            <v>27.27</v>
          </cell>
        </row>
        <row r="5296">
          <cell r="A5296" t="str">
            <v>1;40;MM;B;PAQ00a05</v>
          </cell>
          <cell r="B5296">
            <v>730069</v>
          </cell>
          <cell r="C5296" t="str">
            <v>MM</v>
          </cell>
          <cell r="D5296" t="str">
            <v>BAL.MARITIMO A</v>
          </cell>
          <cell r="E5296" t="str">
            <v>40</v>
          </cell>
          <cell r="F5296" t="str">
            <v>PAQ00a05</v>
          </cell>
          <cell r="G5296" t="str">
            <v>B</v>
          </cell>
          <cell r="H5296">
            <v>11.49</v>
          </cell>
        </row>
        <row r="5297">
          <cell r="A5297" t="str">
            <v>1;40;MM;B;PAQ05a10</v>
          </cell>
          <cell r="B5297">
            <v>730069</v>
          </cell>
          <cell r="C5297" t="str">
            <v>MM</v>
          </cell>
          <cell r="D5297" t="str">
            <v>BAL.MARITIMO A</v>
          </cell>
          <cell r="E5297" t="str">
            <v>40</v>
          </cell>
          <cell r="F5297" t="str">
            <v>PAQ05a10</v>
          </cell>
          <cell r="G5297" t="str">
            <v>B</v>
          </cell>
          <cell r="H5297">
            <v>16.43</v>
          </cell>
        </row>
        <row r="5298">
          <cell r="A5298" t="str">
            <v>1;40;MM;B;PAQ10a15</v>
          </cell>
          <cell r="B5298">
            <v>730069</v>
          </cell>
          <cell r="C5298" t="str">
            <v>MM</v>
          </cell>
          <cell r="D5298" t="str">
            <v>BAL.MARITIMO A</v>
          </cell>
          <cell r="E5298" t="str">
            <v>40</v>
          </cell>
          <cell r="F5298" t="str">
            <v>PAQ10a15</v>
          </cell>
          <cell r="G5298" t="str">
            <v>B</v>
          </cell>
          <cell r="H5298">
            <v>20.82</v>
          </cell>
        </row>
        <row r="5299">
          <cell r="A5299" t="str">
            <v>1;40;MM;B;PAQ15a20</v>
          </cell>
          <cell r="B5299">
            <v>730069</v>
          </cell>
          <cell r="C5299" t="str">
            <v>MM</v>
          </cell>
          <cell r="D5299" t="str">
            <v>BAL.MARITIMO A</v>
          </cell>
          <cell r="E5299" t="str">
            <v>40</v>
          </cell>
          <cell r="F5299" t="str">
            <v>PAQ15a20</v>
          </cell>
          <cell r="G5299" t="str">
            <v>B</v>
          </cell>
          <cell r="H5299">
            <v>25.63</v>
          </cell>
        </row>
        <row r="5300">
          <cell r="A5300" t="str">
            <v>1;41;MM;B;PAQ00a05</v>
          </cell>
          <cell r="B5300">
            <v>730069</v>
          </cell>
          <cell r="C5300" t="str">
            <v>MM</v>
          </cell>
          <cell r="D5300" t="str">
            <v>BAL.MARITIMO A</v>
          </cell>
          <cell r="E5300" t="str">
            <v>41</v>
          </cell>
          <cell r="F5300" t="str">
            <v>PAQ00a05</v>
          </cell>
          <cell r="G5300" t="str">
            <v>B</v>
          </cell>
          <cell r="H5300">
            <v>9.2200000000000006</v>
          </cell>
        </row>
        <row r="5301">
          <cell r="A5301" t="str">
            <v>1;41;MM;B;PAQ05a10</v>
          </cell>
          <cell r="B5301">
            <v>730069</v>
          </cell>
          <cell r="C5301" t="str">
            <v>MM</v>
          </cell>
          <cell r="D5301" t="str">
            <v>BAL.MARITIMO A</v>
          </cell>
          <cell r="E5301" t="str">
            <v>41</v>
          </cell>
          <cell r="F5301" t="str">
            <v>PAQ05a10</v>
          </cell>
          <cell r="G5301" t="str">
            <v>B</v>
          </cell>
          <cell r="H5301">
            <v>14.15</v>
          </cell>
        </row>
        <row r="5302">
          <cell r="A5302" t="str">
            <v>1;41;MM;B;PAQ10a15</v>
          </cell>
          <cell r="B5302">
            <v>730069</v>
          </cell>
          <cell r="C5302" t="str">
            <v>MM</v>
          </cell>
          <cell r="D5302" t="str">
            <v>BAL.MARITIMO A</v>
          </cell>
          <cell r="E5302" t="str">
            <v>41</v>
          </cell>
          <cell r="F5302" t="str">
            <v>PAQ10a15</v>
          </cell>
          <cell r="G5302" t="str">
            <v>B</v>
          </cell>
          <cell r="H5302">
            <v>17.98</v>
          </cell>
        </row>
        <row r="5303">
          <cell r="A5303" t="str">
            <v>1;41;MM;B;PAQ15a20</v>
          </cell>
          <cell r="B5303">
            <v>730069</v>
          </cell>
          <cell r="C5303" t="str">
            <v>MM</v>
          </cell>
          <cell r="D5303" t="str">
            <v>BAL.MARITIMO A</v>
          </cell>
          <cell r="E5303" t="str">
            <v>41</v>
          </cell>
          <cell r="F5303" t="str">
            <v>PAQ15a20</v>
          </cell>
          <cell r="G5303" t="str">
            <v>B</v>
          </cell>
          <cell r="H5303">
            <v>22.23</v>
          </cell>
        </row>
        <row r="5304">
          <cell r="A5304" t="str">
            <v>1;44;MM;B;PAQ00a05</v>
          </cell>
          <cell r="B5304">
            <v>730069</v>
          </cell>
          <cell r="C5304" t="str">
            <v>MM</v>
          </cell>
          <cell r="D5304" t="str">
            <v>BAL.MARITIMO A</v>
          </cell>
          <cell r="E5304" t="str">
            <v>44</v>
          </cell>
          <cell r="F5304" t="str">
            <v>PAQ00a05</v>
          </cell>
          <cell r="G5304" t="str">
            <v>B</v>
          </cell>
          <cell r="H5304">
            <v>9.56</v>
          </cell>
        </row>
        <row r="5305">
          <cell r="A5305" t="str">
            <v>1;44;MM;B;PAQ05a10</v>
          </cell>
          <cell r="B5305">
            <v>730069</v>
          </cell>
          <cell r="C5305" t="str">
            <v>MM</v>
          </cell>
          <cell r="D5305" t="str">
            <v>BAL.MARITIMO A</v>
          </cell>
          <cell r="E5305" t="str">
            <v>44</v>
          </cell>
          <cell r="F5305" t="str">
            <v>PAQ05a10</v>
          </cell>
          <cell r="G5305" t="str">
            <v>B</v>
          </cell>
          <cell r="H5305">
            <v>13.99</v>
          </cell>
        </row>
        <row r="5306">
          <cell r="A5306" t="str">
            <v>1;44;MM;B;PAQ10a15</v>
          </cell>
          <cell r="B5306">
            <v>730069</v>
          </cell>
          <cell r="C5306" t="str">
            <v>MM</v>
          </cell>
          <cell r="D5306" t="str">
            <v>BAL.MARITIMO A</v>
          </cell>
          <cell r="E5306" t="str">
            <v>44</v>
          </cell>
          <cell r="F5306" t="str">
            <v>PAQ10a15</v>
          </cell>
          <cell r="G5306" t="str">
            <v>B</v>
          </cell>
          <cell r="H5306">
            <v>17.329999999999998</v>
          </cell>
        </row>
        <row r="5307">
          <cell r="A5307" t="str">
            <v>1;44;MM;B;PAQ15a20</v>
          </cell>
          <cell r="B5307">
            <v>730069</v>
          </cell>
          <cell r="C5307" t="str">
            <v>MM</v>
          </cell>
          <cell r="D5307" t="str">
            <v>BAL.MARITIMO A</v>
          </cell>
          <cell r="E5307" t="str">
            <v>44</v>
          </cell>
          <cell r="F5307" t="str">
            <v>PAQ15a20</v>
          </cell>
          <cell r="G5307" t="str">
            <v>B</v>
          </cell>
          <cell r="H5307">
            <v>21.33</v>
          </cell>
        </row>
        <row r="5308">
          <cell r="A5308" t="str">
            <v>1;18;MN;B;BAG</v>
          </cell>
          <cell r="B5308">
            <v>730069</v>
          </cell>
          <cell r="C5308" t="str">
            <v>MN</v>
          </cell>
          <cell r="D5308" t="str">
            <v>MARÍTIMO ISLAS MENORES</v>
          </cell>
          <cell r="E5308" t="str">
            <v>18</v>
          </cell>
          <cell r="F5308" t="str">
            <v>BAG</v>
          </cell>
          <cell r="G5308" t="str">
            <v>B</v>
          </cell>
          <cell r="H5308">
            <v>15.76</v>
          </cell>
        </row>
        <row r="5309">
          <cell r="A5309" t="str">
            <v>1;18;MN;B;PAQ00a05</v>
          </cell>
          <cell r="B5309">
            <v>730069</v>
          </cell>
          <cell r="C5309" t="str">
            <v>MN</v>
          </cell>
          <cell r="D5309" t="str">
            <v>MARÍTIMO ISLAS MENORES</v>
          </cell>
          <cell r="E5309" t="str">
            <v>18</v>
          </cell>
          <cell r="F5309" t="str">
            <v>PAQ00a05</v>
          </cell>
          <cell r="G5309" t="str">
            <v>B</v>
          </cell>
          <cell r="H5309">
            <v>15.76</v>
          </cell>
        </row>
        <row r="5310">
          <cell r="A5310" t="str">
            <v>1;18;MN;B;PAQ05a10</v>
          </cell>
          <cell r="B5310">
            <v>730069</v>
          </cell>
          <cell r="C5310" t="str">
            <v>MN</v>
          </cell>
          <cell r="D5310" t="str">
            <v>MARÍTIMO ISLAS MENORES</v>
          </cell>
          <cell r="E5310" t="str">
            <v>18</v>
          </cell>
          <cell r="F5310" t="str">
            <v>PAQ05a10</v>
          </cell>
          <cell r="G5310" t="str">
            <v>B</v>
          </cell>
          <cell r="H5310">
            <v>24.94</v>
          </cell>
        </row>
        <row r="5311">
          <cell r="A5311" t="str">
            <v>1;18;MN;B;PAQ10a15</v>
          </cell>
          <cell r="B5311">
            <v>730069</v>
          </cell>
          <cell r="C5311" t="str">
            <v>MN</v>
          </cell>
          <cell r="D5311" t="str">
            <v>MARÍTIMO ISLAS MENORES</v>
          </cell>
          <cell r="E5311" t="str">
            <v>18</v>
          </cell>
          <cell r="F5311" t="str">
            <v>PAQ10a15</v>
          </cell>
          <cell r="G5311" t="str">
            <v>B</v>
          </cell>
          <cell r="H5311">
            <v>33.65</v>
          </cell>
        </row>
        <row r="5312">
          <cell r="A5312" t="str">
            <v>1;18;MN;B;PAQ15a20</v>
          </cell>
          <cell r="B5312">
            <v>730069</v>
          </cell>
          <cell r="C5312" t="str">
            <v>MN</v>
          </cell>
          <cell r="D5312" t="str">
            <v>MARÍTIMO ISLAS MENORES</v>
          </cell>
          <cell r="E5312" t="str">
            <v>18</v>
          </cell>
          <cell r="F5312" t="str">
            <v>PAQ15a20</v>
          </cell>
          <cell r="G5312" t="str">
            <v>B</v>
          </cell>
          <cell r="H5312">
            <v>42.38</v>
          </cell>
        </row>
        <row r="5313">
          <cell r="A5313" t="str">
            <v>1;18;MN;B;PAQ20a25</v>
          </cell>
          <cell r="B5313">
            <v>730069</v>
          </cell>
          <cell r="C5313" t="str">
            <v>MN</v>
          </cell>
          <cell r="D5313" t="str">
            <v>MARÍTIMO ISLAS MENORES</v>
          </cell>
          <cell r="E5313" t="str">
            <v>18</v>
          </cell>
          <cell r="F5313" t="str">
            <v>PAQ20a25</v>
          </cell>
          <cell r="G5313" t="str">
            <v>B</v>
          </cell>
          <cell r="H5313">
            <v>51.09</v>
          </cell>
        </row>
        <row r="5314">
          <cell r="A5314" t="str">
            <v>1;18;MN;B;PAQ25a30</v>
          </cell>
          <cell r="B5314">
            <v>730069</v>
          </cell>
          <cell r="C5314" t="str">
            <v>MN</v>
          </cell>
          <cell r="D5314" t="str">
            <v>MARÍTIMO ISLAS MENORES</v>
          </cell>
          <cell r="E5314" t="str">
            <v>18</v>
          </cell>
          <cell r="F5314" t="str">
            <v>PAQ25a30</v>
          </cell>
          <cell r="G5314" t="str">
            <v>B</v>
          </cell>
          <cell r="H5314">
            <v>59.81</v>
          </cell>
        </row>
        <row r="5315">
          <cell r="A5315" t="str">
            <v>1;18;MN;B;PAQ30a35</v>
          </cell>
          <cell r="B5315">
            <v>730069</v>
          </cell>
          <cell r="C5315" t="str">
            <v>MN</v>
          </cell>
          <cell r="D5315" t="str">
            <v>MARÍTIMO ISLAS MENORES</v>
          </cell>
          <cell r="E5315" t="str">
            <v>18</v>
          </cell>
          <cell r="F5315" t="str">
            <v>PAQ30a35</v>
          </cell>
          <cell r="G5315" t="str">
            <v>B</v>
          </cell>
          <cell r="H5315">
            <v>68.52</v>
          </cell>
        </row>
        <row r="5316">
          <cell r="A5316" t="str">
            <v>1;18;MN;B;PAQ35a40</v>
          </cell>
          <cell r="B5316">
            <v>730069</v>
          </cell>
          <cell r="C5316" t="str">
            <v>MN</v>
          </cell>
          <cell r="D5316" t="str">
            <v>MARÍTIMO ISLAS MENORES</v>
          </cell>
          <cell r="E5316" t="str">
            <v>18</v>
          </cell>
          <cell r="F5316" t="str">
            <v>PAQ35a40</v>
          </cell>
          <cell r="G5316" t="str">
            <v>B</v>
          </cell>
          <cell r="H5316">
            <v>77.239999999999995</v>
          </cell>
        </row>
        <row r="5317">
          <cell r="A5317" t="str">
            <v>1;18;MN;F;</v>
          </cell>
          <cell r="B5317">
            <v>730069</v>
          </cell>
          <cell r="C5317" t="str">
            <v>MN</v>
          </cell>
          <cell r="D5317" t="str">
            <v>MARÍTIMO ISLAS MENORES</v>
          </cell>
          <cell r="E5317" t="str">
            <v>18</v>
          </cell>
          <cell r="F5317" t="str">
            <v/>
          </cell>
          <cell r="G5317" t="str">
            <v>F</v>
          </cell>
          <cell r="H5317">
            <v>8.7200000000000006</v>
          </cell>
        </row>
        <row r="5318">
          <cell r="A5318" t="str">
            <v>1;18;MN;P;</v>
          </cell>
          <cell r="B5318">
            <v>730069</v>
          </cell>
          <cell r="C5318" t="str">
            <v>MN</v>
          </cell>
          <cell r="D5318" t="str">
            <v>MARÍTIMO ISLAS MENORES</v>
          </cell>
          <cell r="E5318" t="str">
            <v>18</v>
          </cell>
          <cell r="F5318" t="str">
            <v/>
          </cell>
          <cell r="G5318" t="str">
            <v>P</v>
          </cell>
          <cell r="H5318">
            <v>8.7200000000000006</v>
          </cell>
        </row>
        <row r="5319">
          <cell r="A5319" t="str">
            <v>1;18;MN;E;</v>
          </cell>
          <cell r="B5319">
            <v>730069</v>
          </cell>
          <cell r="C5319" t="str">
            <v>MN</v>
          </cell>
          <cell r="D5319" t="str">
            <v>MARÍTIMO ISLAS MENORES</v>
          </cell>
          <cell r="E5319" t="str">
            <v>18</v>
          </cell>
          <cell r="F5319" t="str">
            <v/>
          </cell>
          <cell r="G5319" t="str">
            <v>E</v>
          </cell>
          <cell r="H5319">
            <v>8.7200000000000006</v>
          </cell>
        </row>
        <row r="5320">
          <cell r="A5320" t="str">
            <v>1;22;MN;B;BAG</v>
          </cell>
          <cell r="B5320">
            <v>730069</v>
          </cell>
          <cell r="C5320" t="str">
            <v>MN</v>
          </cell>
          <cell r="D5320" t="str">
            <v>MARÍTIMO ISLAS MENORES</v>
          </cell>
          <cell r="E5320" t="str">
            <v>22</v>
          </cell>
          <cell r="F5320" t="str">
            <v>BAG</v>
          </cell>
          <cell r="G5320" t="str">
            <v>B</v>
          </cell>
          <cell r="H5320">
            <v>15.76</v>
          </cell>
        </row>
        <row r="5321">
          <cell r="A5321" t="str">
            <v>1;22;MN;B;PAQ00a05</v>
          </cell>
          <cell r="B5321">
            <v>730069</v>
          </cell>
          <cell r="C5321" t="str">
            <v>MN</v>
          </cell>
          <cell r="D5321" t="str">
            <v>MARÍTIMO ISLAS MENORES</v>
          </cell>
          <cell r="E5321" t="str">
            <v>22</v>
          </cell>
          <cell r="F5321" t="str">
            <v>PAQ00a05</v>
          </cell>
          <cell r="G5321" t="str">
            <v>B</v>
          </cell>
          <cell r="H5321">
            <v>15.76</v>
          </cell>
        </row>
        <row r="5322">
          <cell r="A5322" t="str">
            <v>1;22;MN;B;PAQ05a10</v>
          </cell>
          <cell r="B5322">
            <v>730069</v>
          </cell>
          <cell r="C5322" t="str">
            <v>MN</v>
          </cell>
          <cell r="D5322" t="str">
            <v>MARÍTIMO ISLAS MENORES</v>
          </cell>
          <cell r="E5322" t="str">
            <v>22</v>
          </cell>
          <cell r="F5322" t="str">
            <v>PAQ05a10</v>
          </cell>
          <cell r="G5322" t="str">
            <v>B</v>
          </cell>
          <cell r="H5322">
            <v>24.94</v>
          </cell>
        </row>
        <row r="5323">
          <cell r="A5323" t="str">
            <v>1;22;MN;B;PAQ10a15</v>
          </cell>
          <cell r="B5323">
            <v>730069</v>
          </cell>
          <cell r="C5323" t="str">
            <v>MN</v>
          </cell>
          <cell r="D5323" t="str">
            <v>MARÍTIMO ISLAS MENORES</v>
          </cell>
          <cell r="E5323" t="str">
            <v>22</v>
          </cell>
          <cell r="F5323" t="str">
            <v>PAQ10a15</v>
          </cell>
          <cell r="G5323" t="str">
            <v>B</v>
          </cell>
          <cell r="H5323">
            <v>33.65</v>
          </cell>
        </row>
        <row r="5324">
          <cell r="A5324" t="str">
            <v>1;22;MN;B;PAQ15a20</v>
          </cell>
          <cell r="B5324">
            <v>730069</v>
          </cell>
          <cell r="C5324" t="str">
            <v>MN</v>
          </cell>
          <cell r="D5324" t="str">
            <v>MARÍTIMO ISLAS MENORES</v>
          </cell>
          <cell r="E5324" t="str">
            <v>22</v>
          </cell>
          <cell r="F5324" t="str">
            <v>PAQ15a20</v>
          </cell>
          <cell r="G5324" t="str">
            <v>B</v>
          </cell>
          <cell r="H5324">
            <v>42.38</v>
          </cell>
        </row>
        <row r="5325">
          <cell r="A5325" t="str">
            <v>1;22;MN;B;PAQ20a25</v>
          </cell>
          <cell r="B5325">
            <v>730069</v>
          </cell>
          <cell r="C5325" t="str">
            <v>MN</v>
          </cell>
          <cell r="D5325" t="str">
            <v>MARÍTIMO ISLAS MENORES</v>
          </cell>
          <cell r="E5325" t="str">
            <v>22</v>
          </cell>
          <cell r="F5325" t="str">
            <v>PAQ20a25</v>
          </cell>
          <cell r="G5325" t="str">
            <v>B</v>
          </cell>
          <cell r="H5325">
            <v>51.09</v>
          </cell>
        </row>
        <row r="5326">
          <cell r="A5326" t="str">
            <v>1;22;MN;B;PAQ25a30</v>
          </cell>
          <cell r="B5326">
            <v>730069</v>
          </cell>
          <cell r="C5326" t="str">
            <v>MN</v>
          </cell>
          <cell r="D5326" t="str">
            <v>MARÍTIMO ISLAS MENORES</v>
          </cell>
          <cell r="E5326" t="str">
            <v>22</v>
          </cell>
          <cell r="F5326" t="str">
            <v>PAQ25a30</v>
          </cell>
          <cell r="G5326" t="str">
            <v>B</v>
          </cell>
          <cell r="H5326">
            <v>59.81</v>
          </cell>
        </row>
        <row r="5327">
          <cell r="A5327" t="str">
            <v>1;22;MN;B;PAQ30a35</v>
          </cell>
          <cell r="B5327">
            <v>730069</v>
          </cell>
          <cell r="C5327" t="str">
            <v>MN</v>
          </cell>
          <cell r="D5327" t="str">
            <v>MARÍTIMO ISLAS MENORES</v>
          </cell>
          <cell r="E5327" t="str">
            <v>22</v>
          </cell>
          <cell r="F5327" t="str">
            <v>PAQ30a35</v>
          </cell>
          <cell r="G5327" t="str">
            <v>B</v>
          </cell>
          <cell r="H5327">
            <v>68.52</v>
          </cell>
        </row>
        <row r="5328">
          <cell r="A5328" t="str">
            <v>1;22;MN;B;PAQ35a40</v>
          </cell>
          <cell r="B5328">
            <v>730069</v>
          </cell>
          <cell r="C5328" t="str">
            <v>MN</v>
          </cell>
          <cell r="D5328" t="str">
            <v>MARÍTIMO ISLAS MENORES</v>
          </cell>
          <cell r="E5328" t="str">
            <v>22</v>
          </cell>
          <cell r="F5328" t="str">
            <v>PAQ35a40</v>
          </cell>
          <cell r="G5328" t="str">
            <v>B</v>
          </cell>
          <cell r="H5328">
            <v>77.239999999999995</v>
          </cell>
        </row>
        <row r="5329">
          <cell r="A5329" t="str">
            <v>1;22;MN;F;</v>
          </cell>
          <cell r="B5329">
            <v>730069</v>
          </cell>
          <cell r="C5329" t="str">
            <v>MN</v>
          </cell>
          <cell r="D5329" t="str">
            <v>MARÍTIMO ISLAS MENORES</v>
          </cell>
          <cell r="E5329" t="str">
            <v>22</v>
          </cell>
          <cell r="F5329" t="str">
            <v/>
          </cell>
          <cell r="G5329" t="str">
            <v>F</v>
          </cell>
          <cell r="H5329">
            <v>8.7200000000000006</v>
          </cell>
        </row>
        <row r="5330">
          <cell r="A5330" t="str">
            <v>1;22;MN;P;</v>
          </cell>
          <cell r="B5330">
            <v>730069</v>
          </cell>
          <cell r="C5330" t="str">
            <v>MN</v>
          </cell>
          <cell r="D5330" t="str">
            <v>MARÍTIMO ISLAS MENORES</v>
          </cell>
          <cell r="E5330" t="str">
            <v>22</v>
          </cell>
          <cell r="F5330" t="str">
            <v/>
          </cell>
          <cell r="G5330" t="str">
            <v>P</v>
          </cell>
          <cell r="H5330">
            <v>8.7200000000000006</v>
          </cell>
        </row>
        <row r="5331">
          <cell r="A5331" t="str">
            <v>1;22;MN;E;</v>
          </cell>
          <cell r="B5331">
            <v>730069</v>
          </cell>
          <cell r="C5331" t="str">
            <v>MN</v>
          </cell>
          <cell r="D5331" t="str">
            <v>MARÍTIMO ISLAS MENORES</v>
          </cell>
          <cell r="E5331" t="str">
            <v>22</v>
          </cell>
          <cell r="F5331" t="str">
            <v/>
          </cell>
          <cell r="G5331" t="str">
            <v>E</v>
          </cell>
          <cell r="H5331">
            <v>8.7200000000000006</v>
          </cell>
        </row>
        <row r="5332">
          <cell r="A5332" t="str">
            <v>1;18;MY;B;BAG</v>
          </cell>
          <cell r="B5332">
            <v>730069</v>
          </cell>
          <cell r="C5332" t="str">
            <v>MY</v>
          </cell>
          <cell r="D5332" t="str">
            <v>MARÍTIMO ISLAS MAYORES</v>
          </cell>
          <cell r="E5332" t="str">
            <v>18</v>
          </cell>
          <cell r="F5332" t="str">
            <v>BAG</v>
          </cell>
          <cell r="G5332" t="str">
            <v>B</v>
          </cell>
          <cell r="H5332">
            <v>13.14</v>
          </cell>
        </row>
        <row r="5333">
          <cell r="A5333" t="str">
            <v>1;18;MY;B;PAQ00a05</v>
          </cell>
          <cell r="B5333">
            <v>730069</v>
          </cell>
          <cell r="C5333" t="str">
            <v>MY</v>
          </cell>
          <cell r="D5333" t="str">
            <v>MARÍTIMO ISLAS MAYORES</v>
          </cell>
          <cell r="E5333" t="str">
            <v>18</v>
          </cell>
          <cell r="F5333" t="str">
            <v>PAQ00a05</v>
          </cell>
          <cell r="G5333" t="str">
            <v>B</v>
          </cell>
          <cell r="H5333">
            <v>13.14</v>
          </cell>
        </row>
        <row r="5334">
          <cell r="A5334" t="str">
            <v>1;18;MY;B;PAQ05a10</v>
          </cell>
          <cell r="B5334">
            <v>730069</v>
          </cell>
          <cell r="C5334" t="str">
            <v>MY</v>
          </cell>
          <cell r="D5334" t="str">
            <v>MARÍTIMO ISLAS MAYORES</v>
          </cell>
          <cell r="E5334" t="str">
            <v>18</v>
          </cell>
          <cell r="F5334" t="str">
            <v>PAQ05a10</v>
          </cell>
          <cell r="G5334" t="str">
            <v>B</v>
          </cell>
          <cell r="H5334">
            <v>19.850000000000001</v>
          </cell>
        </row>
        <row r="5335">
          <cell r="A5335" t="str">
            <v>1;18;MY;B;PAQ10a15</v>
          </cell>
          <cell r="B5335">
            <v>730069</v>
          </cell>
          <cell r="C5335" t="str">
            <v>MY</v>
          </cell>
          <cell r="D5335" t="str">
            <v>MARÍTIMO ISLAS MAYORES</v>
          </cell>
          <cell r="E5335" t="str">
            <v>18</v>
          </cell>
          <cell r="F5335" t="str">
            <v>PAQ10a15</v>
          </cell>
          <cell r="G5335" t="str">
            <v>B</v>
          </cell>
          <cell r="H5335">
            <v>26.61</v>
          </cell>
        </row>
        <row r="5336">
          <cell r="A5336" t="str">
            <v>1;18;MY;B;PAQ15a20</v>
          </cell>
          <cell r="B5336">
            <v>730069</v>
          </cell>
          <cell r="C5336" t="str">
            <v>MY</v>
          </cell>
          <cell r="D5336" t="str">
            <v>MARÍTIMO ISLAS MAYORES</v>
          </cell>
          <cell r="E5336" t="str">
            <v>18</v>
          </cell>
          <cell r="F5336" t="str">
            <v>PAQ15a20</v>
          </cell>
          <cell r="G5336" t="str">
            <v>B</v>
          </cell>
          <cell r="H5336">
            <v>33.369999999999997</v>
          </cell>
        </row>
        <row r="5337">
          <cell r="A5337" t="str">
            <v>1;18;MY;B;PAQ20a25</v>
          </cell>
          <cell r="B5337">
            <v>730069</v>
          </cell>
          <cell r="C5337" t="str">
            <v>MY</v>
          </cell>
          <cell r="D5337" t="str">
            <v>MARÍTIMO ISLAS MAYORES</v>
          </cell>
          <cell r="E5337" t="str">
            <v>18</v>
          </cell>
          <cell r="F5337" t="str">
            <v>PAQ20a25</v>
          </cell>
          <cell r="G5337" t="str">
            <v>B</v>
          </cell>
          <cell r="H5337">
            <v>40.119999999999997</v>
          </cell>
        </row>
        <row r="5338">
          <cell r="A5338" t="str">
            <v>1;18;MY;B;PAQ25a30</v>
          </cell>
          <cell r="B5338">
            <v>730069</v>
          </cell>
          <cell r="C5338" t="str">
            <v>MY</v>
          </cell>
          <cell r="D5338" t="str">
            <v>MARÍTIMO ISLAS MAYORES</v>
          </cell>
          <cell r="E5338" t="str">
            <v>18</v>
          </cell>
          <cell r="F5338" t="str">
            <v>PAQ25a30</v>
          </cell>
          <cell r="G5338" t="str">
            <v>B</v>
          </cell>
          <cell r="H5338">
            <v>46.88</v>
          </cell>
        </row>
        <row r="5339">
          <cell r="A5339" t="str">
            <v>1;18;MY;B;PAQ30a35</v>
          </cell>
          <cell r="B5339">
            <v>730069</v>
          </cell>
          <cell r="C5339" t="str">
            <v>MY</v>
          </cell>
          <cell r="D5339" t="str">
            <v>MARÍTIMO ISLAS MAYORES</v>
          </cell>
          <cell r="E5339" t="str">
            <v>18</v>
          </cell>
          <cell r="F5339" t="str">
            <v>PAQ30a35</v>
          </cell>
          <cell r="G5339" t="str">
            <v>B</v>
          </cell>
          <cell r="H5339">
            <v>53.64</v>
          </cell>
        </row>
        <row r="5340">
          <cell r="A5340" t="str">
            <v>1;18;MY;F;</v>
          </cell>
          <cell r="B5340">
            <v>730069</v>
          </cell>
          <cell r="C5340" t="str">
            <v>MY</v>
          </cell>
          <cell r="D5340" t="str">
            <v>MARÍTIMO ISLAS MAYORES</v>
          </cell>
          <cell r="E5340" t="str">
            <v>18</v>
          </cell>
          <cell r="F5340" t="str">
            <v/>
          </cell>
          <cell r="G5340" t="str">
            <v>F</v>
          </cell>
          <cell r="H5340">
            <v>6.76</v>
          </cell>
        </row>
        <row r="5341">
          <cell r="A5341" t="str">
            <v>1;18;MY;B;PAQ35a40</v>
          </cell>
          <cell r="B5341">
            <v>730069</v>
          </cell>
          <cell r="C5341" t="str">
            <v>MY</v>
          </cell>
          <cell r="D5341" t="str">
            <v>MARÍTIMO ISLAS MAYORES</v>
          </cell>
          <cell r="E5341" t="str">
            <v>18</v>
          </cell>
          <cell r="F5341" t="str">
            <v>PAQ35a40</v>
          </cell>
          <cell r="G5341" t="str">
            <v>B</v>
          </cell>
          <cell r="H5341">
            <v>60.41</v>
          </cell>
        </row>
        <row r="5342">
          <cell r="A5342" t="str">
            <v>1;18;MY;E;</v>
          </cell>
          <cell r="B5342">
            <v>730069</v>
          </cell>
          <cell r="C5342" t="str">
            <v>MY</v>
          </cell>
          <cell r="D5342" t="str">
            <v>MARÍTIMO ISLAS MAYORES</v>
          </cell>
          <cell r="E5342" t="str">
            <v>18</v>
          </cell>
          <cell r="F5342" t="str">
            <v/>
          </cell>
          <cell r="G5342" t="str">
            <v>E</v>
          </cell>
          <cell r="H5342">
            <v>6.76</v>
          </cell>
        </row>
        <row r="5343">
          <cell r="A5343" t="str">
            <v>1;18;MY;P;</v>
          </cell>
          <cell r="B5343">
            <v>730069</v>
          </cell>
          <cell r="C5343" t="str">
            <v>MY</v>
          </cell>
          <cell r="D5343" t="str">
            <v>MARÍTIMO ISLAS MAYORES</v>
          </cell>
          <cell r="E5343" t="str">
            <v>18</v>
          </cell>
          <cell r="F5343" t="str">
            <v/>
          </cell>
          <cell r="G5343" t="str">
            <v>P</v>
          </cell>
          <cell r="H5343">
            <v>6.76</v>
          </cell>
        </row>
        <row r="5344">
          <cell r="A5344" t="str">
            <v>1;22;MY;B;BAG</v>
          </cell>
          <cell r="B5344">
            <v>730069</v>
          </cell>
          <cell r="C5344" t="str">
            <v>MY</v>
          </cell>
          <cell r="D5344" t="str">
            <v>MARÍTIMO ISLAS MAYORES</v>
          </cell>
          <cell r="E5344" t="str">
            <v>22</v>
          </cell>
          <cell r="F5344" t="str">
            <v>BAG</v>
          </cell>
          <cell r="G5344" t="str">
            <v>B</v>
          </cell>
          <cell r="H5344">
            <v>13.14</v>
          </cell>
        </row>
        <row r="5345">
          <cell r="A5345" t="str">
            <v>1;22;MY;B;PAQ00a05</v>
          </cell>
          <cell r="B5345">
            <v>730069</v>
          </cell>
          <cell r="C5345" t="str">
            <v>MY</v>
          </cell>
          <cell r="D5345" t="str">
            <v>MARÍTIMO ISLAS MAYORES</v>
          </cell>
          <cell r="E5345" t="str">
            <v>22</v>
          </cell>
          <cell r="F5345" t="str">
            <v>PAQ00a05</v>
          </cell>
          <cell r="G5345" t="str">
            <v>B</v>
          </cell>
          <cell r="H5345">
            <v>13.14</v>
          </cell>
        </row>
        <row r="5346">
          <cell r="A5346" t="str">
            <v>1;22;MY;B;PAQ05a10</v>
          </cell>
          <cell r="B5346">
            <v>730069</v>
          </cell>
          <cell r="C5346" t="str">
            <v>MY</v>
          </cell>
          <cell r="D5346" t="str">
            <v>MARÍTIMO ISLAS MAYORES</v>
          </cell>
          <cell r="E5346" t="str">
            <v>22</v>
          </cell>
          <cell r="F5346" t="str">
            <v>PAQ05a10</v>
          </cell>
          <cell r="G5346" t="str">
            <v>B</v>
          </cell>
          <cell r="H5346">
            <v>19.850000000000001</v>
          </cell>
        </row>
        <row r="5347">
          <cell r="A5347" t="str">
            <v>1;22;MY;B;PAQ10a15</v>
          </cell>
          <cell r="B5347">
            <v>730069</v>
          </cell>
          <cell r="C5347" t="str">
            <v>MY</v>
          </cell>
          <cell r="D5347" t="str">
            <v>MARÍTIMO ISLAS MAYORES</v>
          </cell>
          <cell r="E5347" t="str">
            <v>22</v>
          </cell>
          <cell r="F5347" t="str">
            <v>PAQ10a15</v>
          </cell>
          <cell r="G5347" t="str">
            <v>B</v>
          </cell>
          <cell r="H5347">
            <v>26.61</v>
          </cell>
        </row>
        <row r="5348">
          <cell r="A5348" t="str">
            <v>1;22;MY;B;PAQ15a20</v>
          </cell>
          <cell r="B5348">
            <v>730069</v>
          </cell>
          <cell r="C5348" t="str">
            <v>MY</v>
          </cell>
          <cell r="D5348" t="str">
            <v>MARÍTIMO ISLAS MAYORES</v>
          </cell>
          <cell r="E5348" t="str">
            <v>22</v>
          </cell>
          <cell r="F5348" t="str">
            <v>PAQ15a20</v>
          </cell>
          <cell r="G5348" t="str">
            <v>B</v>
          </cell>
          <cell r="H5348">
            <v>33.369999999999997</v>
          </cell>
        </row>
        <row r="5349">
          <cell r="A5349" t="str">
            <v>1;22;MY;B;PAQ20a25</v>
          </cell>
          <cell r="B5349">
            <v>730069</v>
          </cell>
          <cell r="C5349" t="str">
            <v>MY</v>
          </cell>
          <cell r="D5349" t="str">
            <v>MARÍTIMO ISLAS MAYORES</v>
          </cell>
          <cell r="E5349" t="str">
            <v>22</v>
          </cell>
          <cell r="F5349" t="str">
            <v>PAQ20a25</v>
          </cell>
          <cell r="G5349" t="str">
            <v>B</v>
          </cell>
          <cell r="H5349">
            <v>40.119999999999997</v>
          </cell>
        </row>
        <row r="5350">
          <cell r="A5350" t="str">
            <v>1;22;MY;B;PAQ25a30</v>
          </cell>
          <cell r="B5350">
            <v>730069</v>
          </cell>
          <cell r="C5350" t="str">
            <v>MY</v>
          </cell>
          <cell r="D5350" t="str">
            <v>MARÍTIMO ISLAS MAYORES</v>
          </cell>
          <cell r="E5350" t="str">
            <v>22</v>
          </cell>
          <cell r="F5350" t="str">
            <v>PAQ25a30</v>
          </cell>
          <cell r="G5350" t="str">
            <v>B</v>
          </cell>
          <cell r="H5350">
            <v>46.88</v>
          </cell>
        </row>
        <row r="5351">
          <cell r="A5351" t="str">
            <v>1;22;MY;B;PAQ30a35</v>
          </cell>
          <cell r="B5351">
            <v>730069</v>
          </cell>
          <cell r="C5351" t="str">
            <v>MY</v>
          </cell>
          <cell r="D5351" t="str">
            <v>MARÍTIMO ISLAS MAYORES</v>
          </cell>
          <cell r="E5351" t="str">
            <v>22</v>
          </cell>
          <cell r="F5351" t="str">
            <v>PAQ30a35</v>
          </cell>
          <cell r="G5351" t="str">
            <v>B</v>
          </cell>
          <cell r="H5351">
            <v>53.64</v>
          </cell>
        </row>
        <row r="5352">
          <cell r="A5352" t="str">
            <v>1;22;MY;F;</v>
          </cell>
          <cell r="B5352">
            <v>730069</v>
          </cell>
          <cell r="C5352" t="str">
            <v>MY</v>
          </cell>
          <cell r="D5352" t="str">
            <v>MARÍTIMO ISLAS MAYORES</v>
          </cell>
          <cell r="E5352" t="str">
            <v>22</v>
          </cell>
          <cell r="F5352" t="str">
            <v/>
          </cell>
          <cell r="G5352" t="str">
            <v>F</v>
          </cell>
          <cell r="H5352">
            <v>6.76</v>
          </cell>
        </row>
        <row r="5353">
          <cell r="A5353" t="str">
            <v>1;22;MY;B;PAQ35a40</v>
          </cell>
          <cell r="B5353">
            <v>730069</v>
          </cell>
          <cell r="C5353" t="str">
            <v>MY</v>
          </cell>
          <cell r="D5353" t="str">
            <v>MARÍTIMO ISLAS MAYORES</v>
          </cell>
          <cell r="E5353" t="str">
            <v>22</v>
          </cell>
          <cell r="F5353" t="str">
            <v>PAQ35a40</v>
          </cell>
          <cell r="G5353" t="str">
            <v>B</v>
          </cell>
          <cell r="H5353">
            <v>60.41</v>
          </cell>
        </row>
        <row r="5354">
          <cell r="A5354" t="str">
            <v>1;22;MY;E;</v>
          </cell>
          <cell r="B5354">
            <v>730069</v>
          </cell>
          <cell r="C5354" t="str">
            <v>MY</v>
          </cell>
          <cell r="D5354" t="str">
            <v>MARÍTIMO ISLAS MAYORES</v>
          </cell>
          <cell r="E5354" t="str">
            <v>22</v>
          </cell>
          <cell r="F5354" t="str">
            <v/>
          </cell>
          <cell r="G5354" t="str">
            <v>E</v>
          </cell>
          <cell r="H5354">
            <v>6.76</v>
          </cell>
        </row>
        <row r="5355">
          <cell r="A5355" t="str">
            <v>1;22;MY;P;</v>
          </cell>
          <cell r="B5355">
            <v>730069</v>
          </cell>
          <cell r="C5355" t="str">
            <v>MY</v>
          </cell>
          <cell r="D5355" t="str">
            <v>MARÍTIMO ISLAS MAYORES</v>
          </cell>
          <cell r="E5355" t="str">
            <v>22</v>
          </cell>
          <cell r="F5355" t="str">
            <v/>
          </cell>
          <cell r="G5355" t="str">
            <v>P</v>
          </cell>
          <cell r="H5355">
            <v>6.76</v>
          </cell>
        </row>
        <row r="5356">
          <cell r="A5356" t="str">
            <v>1;22;M2;B;PAQ00a05</v>
          </cell>
          <cell r="B5356">
            <v>730069</v>
          </cell>
          <cell r="C5356" t="str">
            <v>M2</v>
          </cell>
          <cell r="D5356" t="str">
            <v>MARITIMO A</v>
          </cell>
          <cell r="E5356" t="str">
            <v>22</v>
          </cell>
          <cell r="F5356" t="str">
            <v>PAQ00a05</v>
          </cell>
          <cell r="G5356" t="str">
            <v>B</v>
          </cell>
          <cell r="H5356">
            <v>6.66</v>
          </cell>
        </row>
        <row r="5357">
          <cell r="A5357" t="str">
            <v>1;22;M2;B;PAQ05a10</v>
          </cell>
          <cell r="B5357">
            <v>730069</v>
          </cell>
          <cell r="C5357" t="str">
            <v>M2</v>
          </cell>
          <cell r="D5357" t="str">
            <v>MARITIMO A</v>
          </cell>
          <cell r="E5357" t="str">
            <v>22</v>
          </cell>
          <cell r="F5357" t="str">
            <v>PAQ05a10</v>
          </cell>
          <cell r="G5357" t="str">
            <v>B</v>
          </cell>
          <cell r="H5357">
            <v>9.4</v>
          </cell>
        </row>
        <row r="5358">
          <cell r="A5358" t="str">
            <v>1;22;M2;B;PAQ10a15</v>
          </cell>
          <cell r="B5358">
            <v>730069</v>
          </cell>
          <cell r="C5358" t="str">
            <v>M2</v>
          </cell>
          <cell r="D5358" t="str">
            <v>MARITIMO A</v>
          </cell>
          <cell r="E5358" t="str">
            <v>22</v>
          </cell>
          <cell r="F5358" t="str">
            <v>PAQ10a15</v>
          </cell>
          <cell r="G5358" t="str">
            <v>B</v>
          </cell>
          <cell r="H5358">
            <v>12.13</v>
          </cell>
        </row>
        <row r="5359">
          <cell r="A5359" t="str">
            <v>1;22;M2;B;PAQ15a20</v>
          </cell>
          <cell r="B5359">
            <v>730069</v>
          </cell>
          <cell r="C5359" t="str">
            <v>M2</v>
          </cell>
          <cell r="D5359" t="str">
            <v>MARITIMO A</v>
          </cell>
          <cell r="E5359" t="str">
            <v>22</v>
          </cell>
          <cell r="F5359" t="str">
            <v>PAQ15a20</v>
          </cell>
          <cell r="G5359" t="str">
            <v>B</v>
          </cell>
          <cell r="H5359">
            <v>14.86</v>
          </cell>
        </row>
        <row r="5360">
          <cell r="A5360" t="str">
            <v>1;22;M2;B;PAQ20a25</v>
          </cell>
          <cell r="B5360">
            <v>730069</v>
          </cell>
          <cell r="C5360" t="str">
            <v>M2</v>
          </cell>
          <cell r="D5360" t="str">
            <v>MARITIMO A</v>
          </cell>
          <cell r="E5360" t="str">
            <v>22</v>
          </cell>
          <cell r="F5360" t="str">
            <v>PAQ20a25</v>
          </cell>
          <cell r="G5360" t="str">
            <v>B</v>
          </cell>
          <cell r="H5360">
            <v>17.61</v>
          </cell>
        </row>
        <row r="5361">
          <cell r="A5361" t="str">
            <v>1;22;M2;B;PAQ25a30</v>
          </cell>
          <cell r="B5361">
            <v>730069</v>
          </cell>
          <cell r="C5361" t="str">
            <v>M2</v>
          </cell>
          <cell r="D5361" t="str">
            <v>MARITIMO A</v>
          </cell>
          <cell r="E5361" t="str">
            <v>22</v>
          </cell>
          <cell r="F5361" t="str">
            <v>PAQ25a30</v>
          </cell>
          <cell r="G5361" t="str">
            <v>B</v>
          </cell>
          <cell r="H5361">
            <v>20.329999999999998</v>
          </cell>
        </row>
        <row r="5362">
          <cell r="A5362" t="str">
            <v>1;22;M2;B;PAQ30a35</v>
          </cell>
          <cell r="B5362">
            <v>730069</v>
          </cell>
          <cell r="C5362" t="str">
            <v>M2</v>
          </cell>
          <cell r="D5362" t="str">
            <v>MARITIMO A</v>
          </cell>
          <cell r="E5362" t="str">
            <v>22</v>
          </cell>
          <cell r="F5362" t="str">
            <v>PAQ30a35</v>
          </cell>
          <cell r="G5362" t="str">
            <v>B</v>
          </cell>
          <cell r="H5362">
            <v>23.07</v>
          </cell>
        </row>
        <row r="5363">
          <cell r="A5363" t="str">
            <v>1;22;M2;B;PAQ35a40</v>
          </cell>
          <cell r="B5363">
            <v>730069</v>
          </cell>
          <cell r="C5363" t="str">
            <v>M2</v>
          </cell>
          <cell r="D5363" t="str">
            <v>MARITIMO A</v>
          </cell>
          <cell r="E5363" t="str">
            <v>22</v>
          </cell>
          <cell r="F5363" t="str">
            <v>PAQ35a40</v>
          </cell>
          <cell r="G5363" t="str">
            <v>B</v>
          </cell>
          <cell r="H5363">
            <v>25.79</v>
          </cell>
        </row>
        <row r="5364">
          <cell r="A5364" t="str">
            <v>1;22;M2;F;</v>
          </cell>
          <cell r="B5364">
            <v>730069</v>
          </cell>
          <cell r="C5364" t="str">
            <v>M2</v>
          </cell>
          <cell r="D5364" t="str">
            <v>MARITIMO A</v>
          </cell>
          <cell r="E5364" t="str">
            <v>22</v>
          </cell>
          <cell r="F5364" t="str">
            <v/>
          </cell>
          <cell r="G5364" t="str">
            <v>F</v>
          </cell>
          <cell r="H5364">
            <v>3.64</v>
          </cell>
        </row>
        <row r="5365">
          <cell r="A5365" t="str">
            <v>1;22;M2;E;</v>
          </cell>
          <cell r="B5365">
            <v>730069</v>
          </cell>
          <cell r="C5365" t="str">
            <v>M2</v>
          </cell>
          <cell r="D5365" t="str">
            <v>MARITIMO A</v>
          </cell>
          <cell r="E5365" t="str">
            <v>22</v>
          </cell>
          <cell r="F5365" t="str">
            <v/>
          </cell>
          <cell r="G5365" t="str">
            <v>E</v>
          </cell>
          <cell r="H5365">
            <v>3.64</v>
          </cell>
        </row>
        <row r="5366">
          <cell r="A5366" t="str">
            <v>1;22;M2;P;</v>
          </cell>
          <cell r="B5366">
            <v>730069</v>
          </cell>
          <cell r="C5366" t="str">
            <v>M2</v>
          </cell>
          <cell r="D5366" t="str">
            <v>MARITIMO A</v>
          </cell>
          <cell r="E5366" t="str">
            <v>22</v>
          </cell>
          <cell r="F5366" t="str">
            <v/>
          </cell>
          <cell r="G5366" t="str">
            <v>P</v>
          </cell>
          <cell r="H5366">
            <v>3.64</v>
          </cell>
        </row>
        <row r="5367">
          <cell r="A5367" t="str">
            <v>1;22;M4;B;PAQ00a05</v>
          </cell>
          <cell r="B5367">
            <v>730069</v>
          </cell>
          <cell r="C5367" t="str">
            <v>M4</v>
          </cell>
          <cell r="D5367" t="str">
            <v>MARITIMO B</v>
          </cell>
          <cell r="E5367" t="str">
            <v>22</v>
          </cell>
          <cell r="F5367" t="str">
            <v>PAQ00a05</v>
          </cell>
          <cell r="G5367" t="str">
            <v>B</v>
          </cell>
          <cell r="H5367">
            <v>7.9</v>
          </cell>
        </row>
        <row r="5368">
          <cell r="A5368" t="str">
            <v>1;22;M4;B;PAQ05a10</v>
          </cell>
          <cell r="B5368">
            <v>730069</v>
          </cell>
          <cell r="C5368" t="str">
            <v>M4</v>
          </cell>
          <cell r="D5368" t="str">
            <v>MARITIMO B</v>
          </cell>
          <cell r="E5368" t="str">
            <v>22</v>
          </cell>
          <cell r="F5368" t="str">
            <v>PAQ05a10</v>
          </cell>
          <cell r="G5368" t="str">
            <v>B</v>
          </cell>
          <cell r="H5368">
            <v>10.92</v>
          </cell>
        </row>
        <row r="5369">
          <cell r="A5369" t="str">
            <v>1;22;M4;B;PAQ10a15</v>
          </cell>
          <cell r="B5369">
            <v>730069</v>
          </cell>
          <cell r="C5369" t="str">
            <v>M4</v>
          </cell>
          <cell r="D5369" t="str">
            <v>MARITIMO B</v>
          </cell>
          <cell r="E5369" t="str">
            <v>22</v>
          </cell>
          <cell r="F5369" t="str">
            <v>PAQ10a15</v>
          </cell>
          <cell r="G5369" t="str">
            <v>B</v>
          </cell>
          <cell r="H5369">
            <v>14.55</v>
          </cell>
        </row>
        <row r="5370">
          <cell r="A5370" t="str">
            <v>1;22;M4;B;PAQ15a20</v>
          </cell>
          <cell r="B5370">
            <v>730069</v>
          </cell>
          <cell r="C5370" t="str">
            <v>M4</v>
          </cell>
          <cell r="D5370" t="str">
            <v>MARITIMO B</v>
          </cell>
          <cell r="E5370" t="str">
            <v>22</v>
          </cell>
          <cell r="F5370" t="str">
            <v>PAQ15a20</v>
          </cell>
          <cell r="G5370" t="str">
            <v>B</v>
          </cell>
          <cell r="H5370">
            <v>18.2</v>
          </cell>
        </row>
        <row r="5371">
          <cell r="A5371" t="str">
            <v>1;22;M4;B;PAQ20a25</v>
          </cell>
          <cell r="B5371">
            <v>730069</v>
          </cell>
          <cell r="C5371" t="str">
            <v>M4</v>
          </cell>
          <cell r="D5371" t="str">
            <v>MARITIMO B</v>
          </cell>
          <cell r="E5371" t="str">
            <v>22</v>
          </cell>
          <cell r="F5371" t="str">
            <v>PAQ20a25</v>
          </cell>
          <cell r="G5371" t="str">
            <v>B</v>
          </cell>
          <cell r="H5371">
            <v>21.84</v>
          </cell>
        </row>
        <row r="5372">
          <cell r="A5372" t="str">
            <v>1;22;M4;B;PAQ25a30</v>
          </cell>
          <cell r="B5372">
            <v>730069</v>
          </cell>
          <cell r="C5372" t="str">
            <v>M4</v>
          </cell>
          <cell r="D5372" t="str">
            <v>MARITIMO B</v>
          </cell>
          <cell r="E5372" t="str">
            <v>22</v>
          </cell>
          <cell r="F5372" t="str">
            <v>PAQ25a30</v>
          </cell>
          <cell r="G5372" t="str">
            <v>B</v>
          </cell>
          <cell r="H5372">
            <v>25.48</v>
          </cell>
        </row>
        <row r="5373">
          <cell r="A5373" t="str">
            <v>1;22;M4;B;PAQ30a35</v>
          </cell>
          <cell r="B5373">
            <v>730069</v>
          </cell>
          <cell r="C5373" t="str">
            <v>M4</v>
          </cell>
          <cell r="D5373" t="str">
            <v>MARITIMO B</v>
          </cell>
          <cell r="E5373" t="str">
            <v>22</v>
          </cell>
          <cell r="F5373" t="str">
            <v>PAQ30a35</v>
          </cell>
          <cell r="G5373" t="str">
            <v>B</v>
          </cell>
          <cell r="H5373">
            <v>29.13</v>
          </cell>
        </row>
        <row r="5374">
          <cell r="A5374" t="str">
            <v>1;22;M4;B;PAQ35a40</v>
          </cell>
          <cell r="B5374">
            <v>730069</v>
          </cell>
          <cell r="C5374" t="str">
            <v>M4</v>
          </cell>
          <cell r="D5374" t="str">
            <v>MARITIMO B</v>
          </cell>
          <cell r="E5374" t="str">
            <v>22</v>
          </cell>
          <cell r="F5374" t="str">
            <v>PAQ35a40</v>
          </cell>
          <cell r="G5374" t="str">
            <v>B</v>
          </cell>
          <cell r="H5374">
            <v>32.76</v>
          </cell>
        </row>
        <row r="5375">
          <cell r="A5375" t="str">
            <v>1;22;M4;F;</v>
          </cell>
          <cell r="B5375">
            <v>730069</v>
          </cell>
          <cell r="C5375" t="str">
            <v>M4</v>
          </cell>
          <cell r="D5375" t="str">
            <v>MARITIMO B</v>
          </cell>
          <cell r="E5375" t="str">
            <v>22</v>
          </cell>
          <cell r="F5375" t="str">
            <v/>
          </cell>
          <cell r="G5375" t="str">
            <v>F</v>
          </cell>
          <cell r="H5375">
            <v>3.64</v>
          </cell>
        </row>
        <row r="5376">
          <cell r="A5376" t="str">
            <v>1;22;M4;P;</v>
          </cell>
          <cell r="B5376">
            <v>730069</v>
          </cell>
          <cell r="C5376" t="str">
            <v>M4</v>
          </cell>
          <cell r="D5376" t="str">
            <v>MARITIMO B</v>
          </cell>
          <cell r="E5376" t="str">
            <v>22</v>
          </cell>
          <cell r="F5376" t="str">
            <v/>
          </cell>
          <cell r="G5376" t="str">
            <v>P</v>
          </cell>
          <cell r="H5376">
            <v>3.64</v>
          </cell>
        </row>
        <row r="5377">
          <cell r="A5377" t="str">
            <v>1;22;M4;E;</v>
          </cell>
          <cell r="B5377">
            <v>730069</v>
          </cell>
          <cell r="C5377" t="str">
            <v>M4</v>
          </cell>
          <cell r="D5377" t="str">
            <v>MARITIMO B</v>
          </cell>
          <cell r="E5377" t="str">
            <v>22</v>
          </cell>
          <cell r="F5377" t="str">
            <v/>
          </cell>
          <cell r="G5377" t="str">
            <v>E</v>
          </cell>
          <cell r="H5377">
            <v>3.64</v>
          </cell>
        </row>
        <row r="5378">
          <cell r="A5378" t="str">
            <v>1;22;M5;B;PAQ00a05</v>
          </cell>
          <cell r="B5378">
            <v>730069</v>
          </cell>
          <cell r="C5378" t="str">
            <v>M5</v>
          </cell>
          <cell r="D5378" t="str">
            <v>MARITIMO D</v>
          </cell>
          <cell r="E5378" t="str">
            <v>22</v>
          </cell>
          <cell r="F5378" t="str">
            <v>PAQ00a05</v>
          </cell>
          <cell r="G5378" t="str">
            <v>B</v>
          </cell>
          <cell r="H5378">
            <v>6.66</v>
          </cell>
        </row>
        <row r="5379">
          <cell r="A5379" t="str">
            <v>1;22;M5;B;PAQ05a10</v>
          </cell>
          <cell r="B5379">
            <v>730069</v>
          </cell>
          <cell r="C5379" t="str">
            <v>M5</v>
          </cell>
          <cell r="D5379" t="str">
            <v>MARITIMO D</v>
          </cell>
          <cell r="E5379" t="str">
            <v>22</v>
          </cell>
          <cell r="F5379" t="str">
            <v>PAQ05a10</v>
          </cell>
          <cell r="G5379" t="str">
            <v>B</v>
          </cell>
          <cell r="H5379">
            <v>9.4</v>
          </cell>
        </row>
        <row r="5380">
          <cell r="A5380" t="str">
            <v>1;22;M5;B;PAQ10a15</v>
          </cell>
          <cell r="B5380">
            <v>730069</v>
          </cell>
          <cell r="C5380" t="str">
            <v>M5</v>
          </cell>
          <cell r="D5380" t="str">
            <v>MARITIMO D</v>
          </cell>
          <cell r="E5380" t="str">
            <v>22</v>
          </cell>
          <cell r="F5380" t="str">
            <v>PAQ10a15</v>
          </cell>
          <cell r="G5380" t="str">
            <v>B</v>
          </cell>
          <cell r="H5380">
            <v>12.13</v>
          </cell>
        </row>
        <row r="5381">
          <cell r="A5381" t="str">
            <v>1;22;M5;B;PAQ15a20</v>
          </cell>
          <cell r="B5381">
            <v>730069</v>
          </cell>
          <cell r="C5381" t="str">
            <v>M5</v>
          </cell>
          <cell r="D5381" t="str">
            <v>MARITIMO D</v>
          </cell>
          <cell r="E5381" t="str">
            <v>22</v>
          </cell>
          <cell r="F5381" t="str">
            <v>PAQ15a20</v>
          </cell>
          <cell r="G5381" t="str">
            <v>B</v>
          </cell>
          <cell r="H5381">
            <v>14.86</v>
          </cell>
        </row>
        <row r="5382">
          <cell r="A5382" t="str">
            <v>1;22;M5;B;PAQ20a25</v>
          </cell>
          <cell r="B5382">
            <v>730069</v>
          </cell>
          <cell r="C5382" t="str">
            <v>M5</v>
          </cell>
          <cell r="D5382" t="str">
            <v>MARITIMO D</v>
          </cell>
          <cell r="E5382" t="str">
            <v>22</v>
          </cell>
          <cell r="F5382" t="str">
            <v>PAQ20a25</v>
          </cell>
          <cell r="G5382" t="str">
            <v>B</v>
          </cell>
          <cell r="H5382">
            <v>17.61</v>
          </cell>
        </row>
        <row r="5383">
          <cell r="A5383" t="str">
            <v>1;22;M5;B;PAQ25a30</v>
          </cell>
          <cell r="B5383">
            <v>730069</v>
          </cell>
          <cell r="C5383" t="str">
            <v>M5</v>
          </cell>
          <cell r="D5383" t="str">
            <v>MARITIMO D</v>
          </cell>
          <cell r="E5383" t="str">
            <v>22</v>
          </cell>
          <cell r="F5383" t="str">
            <v>PAQ25a30</v>
          </cell>
          <cell r="G5383" t="str">
            <v>B</v>
          </cell>
          <cell r="H5383">
            <v>20.329999999999998</v>
          </cell>
        </row>
        <row r="5384">
          <cell r="A5384" t="str">
            <v>1;22;M5;B;PAQ30a35</v>
          </cell>
          <cell r="B5384">
            <v>730069</v>
          </cell>
          <cell r="C5384" t="str">
            <v>M5</v>
          </cell>
          <cell r="D5384" t="str">
            <v>MARITIMO D</v>
          </cell>
          <cell r="E5384" t="str">
            <v>22</v>
          </cell>
          <cell r="F5384" t="str">
            <v>PAQ30a35</v>
          </cell>
          <cell r="G5384" t="str">
            <v>B</v>
          </cell>
          <cell r="H5384">
            <v>23.07</v>
          </cell>
        </row>
        <row r="5385">
          <cell r="A5385" t="str">
            <v>1;22;M5;B;PAQ35a40</v>
          </cell>
          <cell r="B5385">
            <v>730069</v>
          </cell>
          <cell r="C5385" t="str">
            <v>M5</v>
          </cell>
          <cell r="D5385" t="str">
            <v>MARITIMO D</v>
          </cell>
          <cell r="E5385" t="str">
            <v>22</v>
          </cell>
          <cell r="F5385" t="str">
            <v>PAQ35a40</v>
          </cell>
          <cell r="G5385" t="str">
            <v>B</v>
          </cell>
          <cell r="H5385">
            <v>25.79</v>
          </cell>
        </row>
        <row r="5386">
          <cell r="A5386" t="str">
            <v>1;22;M5;F;</v>
          </cell>
          <cell r="B5386">
            <v>730069</v>
          </cell>
          <cell r="C5386" t="str">
            <v>M5</v>
          </cell>
          <cell r="D5386" t="str">
            <v>MARITIMO D</v>
          </cell>
          <cell r="E5386" t="str">
            <v>22</v>
          </cell>
          <cell r="F5386" t="str">
            <v/>
          </cell>
          <cell r="G5386" t="str">
            <v>F</v>
          </cell>
          <cell r="H5386">
            <v>3.64</v>
          </cell>
        </row>
        <row r="5387">
          <cell r="A5387" t="str">
            <v>1;22;M5;E;</v>
          </cell>
          <cell r="B5387">
            <v>730069</v>
          </cell>
          <cell r="C5387" t="str">
            <v>M5</v>
          </cell>
          <cell r="D5387" t="str">
            <v>MARITIMO D</v>
          </cell>
          <cell r="E5387" t="str">
            <v>22</v>
          </cell>
          <cell r="F5387" t="str">
            <v/>
          </cell>
          <cell r="G5387" t="str">
            <v>E</v>
          </cell>
          <cell r="H5387">
            <v>3.64</v>
          </cell>
        </row>
        <row r="5388">
          <cell r="A5388" t="str">
            <v>1;22;M5;P;</v>
          </cell>
          <cell r="B5388">
            <v>730069</v>
          </cell>
          <cell r="C5388" t="str">
            <v>M5</v>
          </cell>
          <cell r="D5388" t="str">
            <v>MARITIMO D</v>
          </cell>
          <cell r="E5388" t="str">
            <v>22</v>
          </cell>
          <cell r="F5388" t="str">
            <v/>
          </cell>
          <cell r="G5388" t="str">
            <v>P</v>
          </cell>
          <cell r="H5388">
            <v>3.64</v>
          </cell>
        </row>
        <row r="5389">
          <cell r="A5389" t="str">
            <v>1;22;M7;B;PAQ00a05</v>
          </cell>
          <cell r="B5389">
            <v>730069</v>
          </cell>
          <cell r="C5389" t="str">
            <v>M7</v>
          </cell>
          <cell r="D5389" t="str">
            <v>MARITIMO C</v>
          </cell>
          <cell r="E5389" t="str">
            <v>22</v>
          </cell>
          <cell r="F5389" t="str">
            <v>PAQ00a05</v>
          </cell>
          <cell r="G5389" t="str">
            <v>B</v>
          </cell>
          <cell r="H5389">
            <v>7.9</v>
          </cell>
        </row>
        <row r="5390">
          <cell r="A5390" t="str">
            <v>1;22;M7;B;PAQ05a10</v>
          </cell>
          <cell r="B5390">
            <v>730069</v>
          </cell>
          <cell r="C5390" t="str">
            <v>M7</v>
          </cell>
          <cell r="D5390" t="str">
            <v>MARITIMO C</v>
          </cell>
          <cell r="E5390" t="str">
            <v>22</v>
          </cell>
          <cell r="F5390" t="str">
            <v>PAQ05a10</v>
          </cell>
          <cell r="G5390" t="str">
            <v>B</v>
          </cell>
          <cell r="H5390">
            <v>10.92</v>
          </cell>
        </row>
        <row r="5391">
          <cell r="A5391" t="str">
            <v>1;22;M7;B;PAQ10a15</v>
          </cell>
          <cell r="B5391">
            <v>730069</v>
          </cell>
          <cell r="C5391" t="str">
            <v>M7</v>
          </cell>
          <cell r="D5391" t="str">
            <v>MARITIMO C</v>
          </cell>
          <cell r="E5391" t="str">
            <v>22</v>
          </cell>
          <cell r="F5391" t="str">
            <v>PAQ10a15</v>
          </cell>
          <cell r="G5391" t="str">
            <v>B</v>
          </cell>
          <cell r="H5391">
            <v>14.55</v>
          </cell>
        </row>
        <row r="5392">
          <cell r="A5392" t="str">
            <v>1;22;M7;B;PAQ15a20</v>
          </cell>
          <cell r="B5392">
            <v>730069</v>
          </cell>
          <cell r="C5392" t="str">
            <v>M7</v>
          </cell>
          <cell r="D5392" t="str">
            <v>MARITIMO C</v>
          </cell>
          <cell r="E5392" t="str">
            <v>22</v>
          </cell>
          <cell r="F5392" t="str">
            <v>PAQ15a20</v>
          </cell>
          <cell r="G5392" t="str">
            <v>B</v>
          </cell>
          <cell r="H5392">
            <v>18.2</v>
          </cell>
        </row>
        <row r="5393">
          <cell r="A5393" t="str">
            <v>1;22;M7;B;PAQ20a25</v>
          </cell>
          <cell r="B5393">
            <v>730069</v>
          </cell>
          <cell r="C5393" t="str">
            <v>M7</v>
          </cell>
          <cell r="D5393" t="str">
            <v>MARITIMO C</v>
          </cell>
          <cell r="E5393" t="str">
            <v>22</v>
          </cell>
          <cell r="F5393" t="str">
            <v>PAQ20a25</v>
          </cell>
          <cell r="G5393" t="str">
            <v>B</v>
          </cell>
          <cell r="H5393">
            <v>21.84</v>
          </cell>
        </row>
        <row r="5394">
          <cell r="A5394" t="str">
            <v>1;22;M7;B;PAQ25a30</v>
          </cell>
          <cell r="B5394">
            <v>730069</v>
          </cell>
          <cell r="C5394" t="str">
            <v>M7</v>
          </cell>
          <cell r="D5394" t="str">
            <v>MARITIMO C</v>
          </cell>
          <cell r="E5394" t="str">
            <v>22</v>
          </cell>
          <cell r="F5394" t="str">
            <v>PAQ25a30</v>
          </cell>
          <cell r="G5394" t="str">
            <v>B</v>
          </cell>
          <cell r="H5394">
            <v>25.48</v>
          </cell>
        </row>
        <row r="5395">
          <cell r="A5395" t="str">
            <v>1;22;M7;B;PAQ30a35</v>
          </cell>
          <cell r="B5395">
            <v>730069</v>
          </cell>
          <cell r="C5395" t="str">
            <v>M7</v>
          </cell>
          <cell r="D5395" t="str">
            <v>MARITIMO C</v>
          </cell>
          <cell r="E5395" t="str">
            <v>22</v>
          </cell>
          <cell r="F5395" t="str">
            <v>PAQ30a35</v>
          </cell>
          <cell r="G5395" t="str">
            <v>B</v>
          </cell>
          <cell r="H5395">
            <v>29.13</v>
          </cell>
        </row>
        <row r="5396">
          <cell r="A5396" t="str">
            <v>1;22;M7;B;PAQ35a40</v>
          </cell>
          <cell r="B5396">
            <v>730069</v>
          </cell>
          <cell r="C5396" t="str">
            <v>M7</v>
          </cell>
          <cell r="D5396" t="str">
            <v>MARITIMO C</v>
          </cell>
          <cell r="E5396" t="str">
            <v>22</v>
          </cell>
          <cell r="F5396" t="str">
            <v>PAQ35a40</v>
          </cell>
          <cell r="G5396" t="str">
            <v>B</v>
          </cell>
          <cell r="H5396">
            <v>32.76</v>
          </cell>
        </row>
        <row r="5397">
          <cell r="A5397" t="str">
            <v>1;22;M7;F;</v>
          </cell>
          <cell r="B5397">
            <v>730069</v>
          </cell>
          <cell r="C5397" t="str">
            <v>M7</v>
          </cell>
          <cell r="D5397" t="str">
            <v>MARITIMO C</v>
          </cell>
          <cell r="E5397" t="str">
            <v>22</v>
          </cell>
          <cell r="F5397" t="str">
            <v/>
          </cell>
          <cell r="G5397" t="str">
            <v>F</v>
          </cell>
          <cell r="H5397">
            <v>3.64</v>
          </cell>
        </row>
        <row r="5398">
          <cell r="A5398" t="str">
            <v>1;22;M7;E;</v>
          </cell>
          <cell r="B5398">
            <v>730069</v>
          </cell>
          <cell r="C5398" t="str">
            <v>M7</v>
          </cell>
          <cell r="D5398" t="str">
            <v>MARITIMO C</v>
          </cell>
          <cell r="E5398" t="str">
            <v>22</v>
          </cell>
          <cell r="F5398" t="str">
            <v/>
          </cell>
          <cell r="G5398" t="str">
            <v>E</v>
          </cell>
          <cell r="H5398">
            <v>3.64</v>
          </cell>
        </row>
        <row r="5399">
          <cell r="A5399" t="str">
            <v>1;22;M7;P;</v>
          </cell>
          <cell r="B5399">
            <v>730069</v>
          </cell>
          <cell r="C5399" t="str">
            <v>M7</v>
          </cell>
          <cell r="D5399" t="str">
            <v>MARITIMO C</v>
          </cell>
          <cell r="E5399" t="str">
            <v>22</v>
          </cell>
          <cell r="F5399" t="str">
            <v/>
          </cell>
          <cell r="G5399" t="str">
            <v>P</v>
          </cell>
          <cell r="H5399">
            <v>3.64</v>
          </cell>
        </row>
        <row r="5400">
          <cell r="A5400" t="str">
            <v>1;E;N;B;BAG</v>
          </cell>
          <cell r="B5400">
            <v>730069</v>
          </cell>
          <cell r="C5400" t="str">
            <v>N</v>
          </cell>
          <cell r="D5400" t="str">
            <v>NACIONAL</v>
          </cell>
          <cell r="E5400" t="str">
            <v>E</v>
          </cell>
          <cell r="F5400" t="str">
            <v>BAG</v>
          </cell>
          <cell r="G5400" t="str">
            <v>B</v>
          </cell>
          <cell r="H5400">
            <v>0</v>
          </cell>
        </row>
        <row r="5401">
          <cell r="A5401" t="str">
            <v>1;E;N;B;PAQ00a05</v>
          </cell>
          <cell r="B5401">
            <v>730069</v>
          </cell>
          <cell r="C5401" t="str">
            <v>N</v>
          </cell>
          <cell r="D5401" t="str">
            <v>NACIONAL</v>
          </cell>
          <cell r="E5401" t="str">
            <v>E</v>
          </cell>
          <cell r="F5401" t="str">
            <v>PAQ00a05</v>
          </cell>
          <cell r="G5401" t="str">
            <v>B</v>
          </cell>
          <cell r="H5401">
            <v>0</v>
          </cell>
        </row>
        <row r="5402">
          <cell r="A5402" t="str">
            <v>1;E;N;B;PAQ05a10</v>
          </cell>
          <cell r="B5402">
            <v>730069</v>
          </cell>
          <cell r="C5402" t="str">
            <v>N</v>
          </cell>
          <cell r="D5402" t="str">
            <v>NACIONAL</v>
          </cell>
          <cell r="E5402" t="str">
            <v>E</v>
          </cell>
          <cell r="F5402" t="str">
            <v>PAQ05a10</v>
          </cell>
          <cell r="G5402" t="str">
            <v>B</v>
          </cell>
          <cell r="H5402">
            <v>0</v>
          </cell>
        </row>
        <row r="5403">
          <cell r="A5403" t="str">
            <v>1;E;N;B;PAQ10a15</v>
          </cell>
          <cell r="B5403">
            <v>730069</v>
          </cell>
          <cell r="C5403" t="str">
            <v>N</v>
          </cell>
          <cell r="D5403" t="str">
            <v>NACIONAL</v>
          </cell>
          <cell r="E5403" t="str">
            <v>E</v>
          </cell>
          <cell r="F5403" t="str">
            <v>PAQ10a15</v>
          </cell>
          <cell r="G5403" t="str">
            <v>B</v>
          </cell>
          <cell r="H5403">
            <v>0</v>
          </cell>
        </row>
        <row r="5404">
          <cell r="A5404" t="str">
            <v>1;E;N;B;PAQ15a20</v>
          </cell>
          <cell r="B5404">
            <v>730069</v>
          </cell>
          <cell r="C5404" t="str">
            <v>N</v>
          </cell>
          <cell r="D5404" t="str">
            <v>NACIONAL</v>
          </cell>
          <cell r="E5404" t="str">
            <v>E</v>
          </cell>
          <cell r="F5404" t="str">
            <v>PAQ15a20</v>
          </cell>
          <cell r="G5404" t="str">
            <v>B</v>
          </cell>
          <cell r="H5404">
            <v>0</v>
          </cell>
        </row>
        <row r="5405">
          <cell r="A5405" t="str">
            <v>1;E;N;B;PAQ20a25</v>
          </cell>
          <cell r="B5405">
            <v>730069</v>
          </cell>
          <cell r="C5405" t="str">
            <v>N</v>
          </cell>
          <cell r="D5405" t="str">
            <v>NACIONAL</v>
          </cell>
          <cell r="E5405" t="str">
            <v>E</v>
          </cell>
          <cell r="F5405" t="str">
            <v>PAQ20a25</v>
          </cell>
          <cell r="G5405" t="str">
            <v>B</v>
          </cell>
          <cell r="H5405">
            <v>0</v>
          </cell>
        </row>
        <row r="5406">
          <cell r="A5406" t="str">
            <v>1;E;N;B;PAQ25a30</v>
          </cell>
          <cell r="B5406">
            <v>730069</v>
          </cell>
          <cell r="C5406" t="str">
            <v>N</v>
          </cell>
          <cell r="D5406" t="str">
            <v>NACIONAL</v>
          </cell>
          <cell r="E5406" t="str">
            <v>E</v>
          </cell>
          <cell r="F5406" t="str">
            <v>PAQ25a30</v>
          </cell>
          <cell r="G5406" t="str">
            <v>B</v>
          </cell>
          <cell r="H5406">
            <v>0</v>
          </cell>
        </row>
        <row r="5407">
          <cell r="A5407" t="str">
            <v>1;E;N;B;PAQ30a35</v>
          </cell>
          <cell r="B5407">
            <v>730069</v>
          </cell>
          <cell r="C5407" t="str">
            <v>N</v>
          </cell>
          <cell r="D5407" t="str">
            <v>NACIONAL</v>
          </cell>
          <cell r="E5407" t="str">
            <v>E</v>
          </cell>
          <cell r="F5407" t="str">
            <v>PAQ30a35</v>
          </cell>
          <cell r="G5407" t="str">
            <v>B</v>
          </cell>
          <cell r="H5407">
            <v>0</v>
          </cell>
        </row>
        <row r="5408">
          <cell r="A5408" t="str">
            <v>1;E;N;B;PAQ35a40</v>
          </cell>
          <cell r="B5408">
            <v>730069</v>
          </cell>
          <cell r="C5408" t="str">
            <v>N</v>
          </cell>
          <cell r="D5408" t="str">
            <v>NACIONAL</v>
          </cell>
          <cell r="E5408" t="str">
            <v>E</v>
          </cell>
          <cell r="F5408" t="str">
            <v>PAQ35a40</v>
          </cell>
          <cell r="G5408" t="str">
            <v>B</v>
          </cell>
          <cell r="H5408">
            <v>0</v>
          </cell>
        </row>
        <row r="5409">
          <cell r="A5409" t="str">
            <v>1;E;N;F;</v>
          </cell>
          <cell r="B5409">
            <v>730069</v>
          </cell>
          <cell r="C5409" t="str">
            <v>N</v>
          </cell>
          <cell r="D5409" t="str">
            <v>NACIONAL</v>
          </cell>
          <cell r="E5409" t="str">
            <v>E</v>
          </cell>
          <cell r="F5409" t="str">
            <v/>
          </cell>
          <cell r="G5409" t="str">
            <v>F</v>
          </cell>
          <cell r="H5409">
            <v>0</v>
          </cell>
        </row>
        <row r="5410">
          <cell r="A5410" t="str">
            <v>1;E;N;P;</v>
          </cell>
          <cell r="B5410">
            <v>730069</v>
          </cell>
          <cell r="C5410" t="str">
            <v>N</v>
          </cell>
          <cell r="D5410" t="str">
            <v>NACIONAL</v>
          </cell>
          <cell r="E5410" t="str">
            <v>E</v>
          </cell>
          <cell r="F5410" t="str">
            <v/>
          </cell>
          <cell r="G5410" t="str">
            <v>P</v>
          </cell>
          <cell r="H5410">
            <v>0</v>
          </cell>
        </row>
        <row r="5411">
          <cell r="A5411" t="str">
            <v>1;E;N;E;</v>
          </cell>
          <cell r="B5411">
            <v>730069</v>
          </cell>
          <cell r="C5411" t="str">
            <v>N</v>
          </cell>
          <cell r="D5411" t="str">
            <v>NACIONAL</v>
          </cell>
          <cell r="E5411" t="str">
            <v>E</v>
          </cell>
          <cell r="F5411" t="str">
            <v/>
          </cell>
          <cell r="G5411" t="str">
            <v>E</v>
          </cell>
          <cell r="H5411">
            <v>0</v>
          </cell>
        </row>
        <row r="5412">
          <cell r="A5412" t="str">
            <v>1;F;N;B;BAG</v>
          </cell>
          <cell r="B5412">
            <v>730069</v>
          </cell>
          <cell r="C5412" t="str">
            <v>N</v>
          </cell>
          <cell r="D5412" t="str">
            <v>NACIONAL</v>
          </cell>
          <cell r="E5412" t="str">
            <v>F</v>
          </cell>
          <cell r="F5412" t="str">
            <v>BAG</v>
          </cell>
          <cell r="G5412" t="str">
            <v>B</v>
          </cell>
          <cell r="H5412">
            <v>0</v>
          </cell>
        </row>
        <row r="5413">
          <cell r="A5413" t="str">
            <v>1;F;N;B;PAQ00a05</v>
          </cell>
          <cell r="B5413">
            <v>730069</v>
          </cell>
          <cell r="C5413" t="str">
            <v>N</v>
          </cell>
          <cell r="D5413" t="str">
            <v>NACIONAL</v>
          </cell>
          <cell r="E5413" t="str">
            <v>F</v>
          </cell>
          <cell r="F5413" t="str">
            <v>PAQ00a05</v>
          </cell>
          <cell r="G5413" t="str">
            <v>B</v>
          </cell>
          <cell r="H5413">
            <v>0</v>
          </cell>
        </row>
        <row r="5414">
          <cell r="A5414" t="str">
            <v>1;F;N;B;PAQ05a10</v>
          </cell>
          <cell r="B5414">
            <v>730069</v>
          </cell>
          <cell r="C5414" t="str">
            <v>N</v>
          </cell>
          <cell r="D5414" t="str">
            <v>NACIONAL</v>
          </cell>
          <cell r="E5414" t="str">
            <v>F</v>
          </cell>
          <cell r="F5414" t="str">
            <v>PAQ05a10</v>
          </cell>
          <cell r="G5414" t="str">
            <v>B</v>
          </cell>
          <cell r="H5414">
            <v>0</v>
          </cell>
        </row>
        <row r="5415">
          <cell r="A5415" t="str">
            <v>1;F;N;B;PAQ10a15</v>
          </cell>
          <cell r="B5415">
            <v>730069</v>
          </cell>
          <cell r="C5415" t="str">
            <v>N</v>
          </cell>
          <cell r="D5415" t="str">
            <v>NACIONAL</v>
          </cell>
          <cell r="E5415" t="str">
            <v>F</v>
          </cell>
          <cell r="F5415" t="str">
            <v>PAQ10a15</v>
          </cell>
          <cell r="G5415" t="str">
            <v>B</v>
          </cell>
          <cell r="H5415">
            <v>0</v>
          </cell>
        </row>
        <row r="5416">
          <cell r="A5416" t="str">
            <v>1;F;N;B;PAQ15a20</v>
          </cell>
          <cell r="B5416">
            <v>730069</v>
          </cell>
          <cell r="C5416" t="str">
            <v>N</v>
          </cell>
          <cell r="D5416" t="str">
            <v>NACIONAL</v>
          </cell>
          <cell r="E5416" t="str">
            <v>F</v>
          </cell>
          <cell r="F5416" t="str">
            <v>PAQ15a20</v>
          </cell>
          <cell r="G5416" t="str">
            <v>B</v>
          </cell>
          <cell r="H5416">
            <v>0</v>
          </cell>
        </row>
        <row r="5417">
          <cell r="A5417" t="str">
            <v>1;F;N;B;PAQ20a25</v>
          </cell>
          <cell r="B5417">
            <v>730069</v>
          </cell>
          <cell r="C5417" t="str">
            <v>N</v>
          </cell>
          <cell r="D5417" t="str">
            <v>NACIONAL</v>
          </cell>
          <cell r="E5417" t="str">
            <v>F</v>
          </cell>
          <cell r="F5417" t="str">
            <v>PAQ20a25</v>
          </cell>
          <cell r="G5417" t="str">
            <v>B</v>
          </cell>
          <cell r="H5417">
            <v>0</v>
          </cell>
        </row>
        <row r="5418">
          <cell r="A5418" t="str">
            <v>1;F;N;B;PAQ25a30</v>
          </cell>
          <cell r="B5418">
            <v>730069</v>
          </cell>
          <cell r="C5418" t="str">
            <v>N</v>
          </cell>
          <cell r="D5418" t="str">
            <v>NACIONAL</v>
          </cell>
          <cell r="E5418" t="str">
            <v>F</v>
          </cell>
          <cell r="F5418" t="str">
            <v>PAQ25a30</v>
          </cell>
          <cell r="G5418" t="str">
            <v>B</v>
          </cell>
          <cell r="H5418">
            <v>0</v>
          </cell>
        </row>
        <row r="5419">
          <cell r="A5419" t="str">
            <v>1;F;N;B;PAQ30a35</v>
          </cell>
          <cell r="B5419">
            <v>730069</v>
          </cell>
          <cell r="C5419" t="str">
            <v>N</v>
          </cell>
          <cell r="D5419" t="str">
            <v>NACIONAL</v>
          </cell>
          <cell r="E5419" t="str">
            <v>F</v>
          </cell>
          <cell r="F5419" t="str">
            <v>PAQ30a35</v>
          </cell>
          <cell r="G5419" t="str">
            <v>B</v>
          </cell>
          <cell r="H5419">
            <v>0</v>
          </cell>
        </row>
        <row r="5420">
          <cell r="A5420" t="str">
            <v>1;F;N;B;PAQ35a40</v>
          </cell>
          <cell r="B5420">
            <v>730069</v>
          </cell>
          <cell r="C5420" t="str">
            <v>N</v>
          </cell>
          <cell r="D5420" t="str">
            <v>NACIONAL</v>
          </cell>
          <cell r="E5420" t="str">
            <v>F</v>
          </cell>
          <cell r="F5420" t="str">
            <v>PAQ35a40</v>
          </cell>
          <cell r="G5420" t="str">
            <v>B</v>
          </cell>
          <cell r="H5420">
            <v>0</v>
          </cell>
        </row>
        <row r="5421">
          <cell r="A5421" t="str">
            <v>1;F;N;F;</v>
          </cell>
          <cell r="B5421">
            <v>730069</v>
          </cell>
          <cell r="C5421" t="str">
            <v>N</v>
          </cell>
          <cell r="D5421" t="str">
            <v>NACIONAL</v>
          </cell>
          <cell r="E5421" t="str">
            <v>F</v>
          </cell>
          <cell r="F5421" t="str">
            <v/>
          </cell>
          <cell r="G5421" t="str">
            <v>F</v>
          </cell>
          <cell r="H5421">
            <v>0</v>
          </cell>
        </row>
        <row r="5422">
          <cell r="A5422" t="str">
            <v>1;F;N;E;</v>
          </cell>
          <cell r="B5422">
            <v>730069</v>
          </cell>
          <cell r="C5422" t="str">
            <v>N</v>
          </cell>
          <cell r="D5422" t="str">
            <v>NACIONAL</v>
          </cell>
          <cell r="E5422" t="str">
            <v>F</v>
          </cell>
          <cell r="F5422" t="str">
            <v/>
          </cell>
          <cell r="G5422" t="str">
            <v>E</v>
          </cell>
          <cell r="H5422">
            <v>0</v>
          </cell>
        </row>
        <row r="5423">
          <cell r="A5423" t="str">
            <v>1;F;N;P;</v>
          </cell>
          <cell r="B5423">
            <v>730069</v>
          </cell>
          <cell r="C5423" t="str">
            <v>N</v>
          </cell>
          <cell r="D5423" t="str">
            <v>NACIONAL</v>
          </cell>
          <cell r="E5423" t="str">
            <v>F</v>
          </cell>
          <cell r="F5423" t="str">
            <v/>
          </cell>
          <cell r="G5423" t="str">
            <v>P</v>
          </cell>
          <cell r="H5423">
            <v>0</v>
          </cell>
        </row>
        <row r="5424">
          <cell r="A5424" t="str">
            <v>1;G;N;B;BAG</v>
          </cell>
          <cell r="B5424">
            <v>730069</v>
          </cell>
          <cell r="C5424" t="str">
            <v>N</v>
          </cell>
          <cell r="D5424" t="str">
            <v>NACIONAL</v>
          </cell>
          <cell r="E5424" t="str">
            <v>G</v>
          </cell>
          <cell r="F5424" t="str">
            <v>BAG</v>
          </cell>
          <cell r="G5424" t="str">
            <v>B</v>
          </cell>
          <cell r="H5424">
            <v>0</v>
          </cell>
        </row>
        <row r="5425">
          <cell r="A5425" t="str">
            <v>1;G;N;B;PAQ00a05</v>
          </cell>
          <cell r="B5425">
            <v>730069</v>
          </cell>
          <cell r="C5425" t="str">
            <v>N</v>
          </cell>
          <cell r="D5425" t="str">
            <v>NACIONAL</v>
          </cell>
          <cell r="E5425" t="str">
            <v>G</v>
          </cell>
          <cell r="F5425" t="str">
            <v>PAQ00a05</v>
          </cell>
          <cell r="G5425" t="str">
            <v>B</v>
          </cell>
          <cell r="H5425">
            <v>0</v>
          </cell>
        </row>
        <row r="5426">
          <cell r="A5426" t="str">
            <v>1;G;N;B;PAQ05a10</v>
          </cell>
          <cell r="B5426">
            <v>730069</v>
          </cell>
          <cell r="C5426" t="str">
            <v>N</v>
          </cell>
          <cell r="D5426" t="str">
            <v>NACIONAL</v>
          </cell>
          <cell r="E5426" t="str">
            <v>G</v>
          </cell>
          <cell r="F5426" t="str">
            <v>PAQ05a10</v>
          </cell>
          <cell r="G5426" t="str">
            <v>B</v>
          </cell>
          <cell r="H5426">
            <v>0</v>
          </cell>
        </row>
        <row r="5427">
          <cell r="A5427" t="str">
            <v>1;G;N;B;PAQ10a15</v>
          </cell>
          <cell r="B5427">
            <v>730069</v>
          </cell>
          <cell r="C5427" t="str">
            <v>N</v>
          </cell>
          <cell r="D5427" t="str">
            <v>NACIONAL</v>
          </cell>
          <cell r="E5427" t="str">
            <v>G</v>
          </cell>
          <cell r="F5427" t="str">
            <v>PAQ10a15</v>
          </cell>
          <cell r="G5427" t="str">
            <v>B</v>
          </cell>
          <cell r="H5427">
            <v>0</v>
          </cell>
        </row>
        <row r="5428">
          <cell r="A5428" t="str">
            <v>1;G;N;B;PAQ15a20</v>
          </cell>
          <cell r="B5428">
            <v>730069</v>
          </cell>
          <cell r="C5428" t="str">
            <v>N</v>
          </cell>
          <cell r="D5428" t="str">
            <v>NACIONAL</v>
          </cell>
          <cell r="E5428" t="str">
            <v>G</v>
          </cell>
          <cell r="F5428" t="str">
            <v>PAQ15a20</v>
          </cell>
          <cell r="G5428" t="str">
            <v>B</v>
          </cell>
          <cell r="H5428">
            <v>0</v>
          </cell>
        </row>
        <row r="5429">
          <cell r="A5429" t="str">
            <v>1;G;N;B;PAQ20a25</v>
          </cell>
          <cell r="B5429">
            <v>730069</v>
          </cell>
          <cell r="C5429" t="str">
            <v>N</v>
          </cell>
          <cell r="D5429" t="str">
            <v>NACIONAL</v>
          </cell>
          <cell r="E5429" t="str">
            <v>G</v>
          </cell>
          <cell r="F5429" t="str">
            <v>PAQ20a25</v>
          </cell>
          <cell r="G5429" t="str">
            <v>B</v>
          </cell>
          <cell r="H5429">
            <v>0</v>
          </cell>
        </row>
        <row r="5430">
          <cell r="A5430" t="str">
            <v>1;G;N;B;PAQ25a30</v>
          </cell>
          <cell r="B5430">
            <v>730069</v>
          </cell>
          <cell r="C5430" t="str">
            <v>N</v>
          </cell>
          <cell r="D5430" t="str">
            <v>NACIONAL</v>
          </cell>
          <cell r="E5430" t="str">
            <v>G</v>
          </cell>
          <cell r="F5430" t="str">
            <v>PAQ25a30</v>
          </cell>
          <cell r="G5430" t="str">
            <v>B</v>
          </cell>
          <cell r="H5430">
            <v>0</v>
          </cell>
        </row>
        <row r="5431">
          <cell r="A5431" t="str">
            <v>1;G;N;B;PAQ30a35</v>
          </cell>
          <cell r="B5431">
            <v>730069</v>
          </cell>
          <cell r="C5431" t="str">
            <v>N</v>
          </cell>
          <cell r="D5431" t="str">
            <v>NACIONAL</v>
          </cell>
          <cell r="E5431" t="str">
            <v>G</v>
          </cell>
          <cell r="F5431" t="str">
            <v>PAQ30a35</v>
          </cell>
          <cell r="G5431" t="str">
            <v>B</v>
          </cell>
          <cell r="H5431">
            <v>0</v>
          </cell>
        </row>
        <row r="5432">
          <cell r="A5432" t="str">
            <v>1;G;N;B;PAQ35a40</v>
          </cell>
          <cell r="B5432">
            <v>730069</v>
          </cell>
          <cell r="C5432" t="str">
            <v>N</v>
          </cell>
          <cell r="D5432" t="str">
            <v>NACIONAL</v>
          </cell>
          <cell r="E5432" t="str">
            <v>G</v>
          </cell>
          <cell r="F5432" t="str">
            <v>PAQ35a40</v>
          </cell>
          <cell r="G5432" t="str">
            <v>B</v>
          </cell>
          <cell r="H5432">
            <v>0</v>
          </cell>
        </row>
        <row r="5433">
          <cell r="A5433" t="str">
            <v>1;G;N;F;</v>
          </cell>
          <cell r="B5433">
            <v>730069</v>
          </cell>
          <cell r="C5433" t="str">
            <v>N</v>
          </cell>
          <cell r="D5433" t="str">
            <v>NACIONAL</v>
          </cell>
          <cell r="E5433" t="str">
            <v>G</v>
          </cell>
          <cell r="F5433" t="str">
            <v/>
          </cell>
          <cell r="G5433" t="str">
            <v>F</v>
          </cell>
          <cell r="H5433">
            <v>0</v>
          </cell>
        </row>
        <row r="5434">
          <cell r="A5434" t="str">
            <v>1;G;N;E;</v>
          </cell>
          <cell r="B5434">
            <v>730069</v>
          </cell>
          <cell r="C5434" t="str">
            <v>N</v>
          </cell>
          <cell r="D5434" t="str">
            <v>NACIONAL</v>
          </cell>
          <cell r="E5434" t="str">
            <v>G</v>
          </cell>
          <cell r="F5434" t="str">
            <v/>
          </cell>
          <cell r="G5434" t="str">
            <v>E</v>
          </cell>
          <cell r="H5434">
            <v>0</v>
          </cell>
        </row>
        <row r="5435">
          <cell r="A5435" t="str">
            <v>1;G;N;P;</v>
          </cell>
          <cell r="B5435">
            <v>730069</v>
          </cell>
          <cell r="C5435" t="str">
            <v>N</v>
          </cell>
          <cell r="D5435" t="str">
            <v>NACIONAL</v>
          </cell>
          <cell r="E5435" t="str">
            <v>G</v>
          </cell>
          <cell r="F5435" t="str">
            <v/>
          </cell>
          <cell r="G5435" t="str">
            <v>P</v>
          </cell>
          <cell r="H5435">
            <v>0</v>
          </cell>
        </row>
        <row r="5436">
          <cell r="A5436" t="str">
            <v>1;01;N;B;BAG</v>
          </cell>
          <cell r="B5436">
            <v>730069</v>
          </cell>
          <cell r="C5436" t="str">
            <v>N</v>
          </cell>
          <cell r="D5436" t="str">
            <v>NACIONAL</v>
          </cell>
          <cell r="E5436" t="str">
            <v>01</v>
          </cell>
          <cell r="F5436" t="str">
            <v>BAG</v>
          </cell>
          <cell r="G5436" t="str">
            <v>B</v>
          </cell>
          <cell r="H5436">
            <v>19.02</v>
          </cell>
        </row>
        <row r="5437">
          <cell r="A5437" t="str">
            <v>1;01;N;B;DOCS</v>
          </cell>
          <cell r="B5437">
            <v>730069</v>
          </cell>
          <cell r="C5437" t="str">
            <v>N</v>
          </cell>
          <cell r="D5437" t="str">
            <v>NACIONAL</v>
          </cell>
          <cell r="E5437" t="str">
            <v>01</v>
          </cell>
          <cell r="F5437" t="str">
            <v>DOCS</v>
          </cell>
          <cell r="G5437" t="str">
            <v>B</v>
          </cell>
          <cell r="H5437">
            <v>13.93</v>
          </cell>
        </row>
        <row r="5438">
          <cell r="A5438" t="str">
            <v>1;01;N;B;PAQ00a02</v>
          </cell>
          <cell r="B5438">
            <v>730069</v>
          </cell>
          <cell r="C5438" t="str">
            <v>N</v>
          </cell>
          <cell r="D5438" t="str">
            <v>NACIONAL</v>
          </cell>
          <cell r="E5438" t="str">
            <v>01</v>
          </cell>
          <cell r="F5438" t="str">
            <v>PAQ00a02</v>
          </cell>
          <cell r="G5438" t="str">
            <v>B</v>
          </cell>
          <cell r="H5438">
            <v>23.64</v>
          </cell>
        </row>
        <row r="5439">
          <cell r="A5439" t="str">
            <v>1;01;N;B;PAQ02a05</v>
          </cell>
          <cell r="B5439">
            <v>730069</v>
          </cell>
          <cell r="C5439" t="str">
            <v>N</v>
          </cell>
          <cell r="D5439" t="str">
            <v>NACIONAL</v>
          </cell>
          <cell r="E5439" t="str">
            <v>01</v>
          </cell>
          <cell r="F5439" t="str">
            <v>PAQ02a05</v>
          </cell>
          <cell r="G5439" t="str">
            <v>B</v>
          </cell>
          <cell r="H5439">
            <v>23.64</v>
          </cell>
        </row>
        <row r="5440">
          <cell r="A5440" t="str">
            <v>1;01;N;B;PAQ05a10</v>
          </cell>
          <cell r="B5440">
            <v>730069</v>
          </cell>
          <cell r="C5440" t="str">
            <v>N</v>
          </cell>
          <cell r="D5440" t="str">
            <v>NACIONAL</v>
          </cell>
          <cell r="E5440" t="str">
            <v>01</v>
          </cell>
          <cell r="F5440" t="str">
            <v>PAQ05a10</v>
          </cell>
          <cell r="G5440" t="str">
            <v>B</v>
          </cell>
          <cell r="H5440">
            <v>41.23</v>
          </cell>
        </row>
        <row r="5441">
          <cell r="A5441" t="str">
            <v>1;01;N;B;PAQ10a15</v>
          </cell>
          <cell r="B5441">
            <v>730069</v>
          </cell>
          <cell r="C5441" t="str">
            <v>N</v>
          </cell>
          <cell r="D5441" t="str">
            <v>NACIONAL</v>
          </cell>
          <cell r="E5441" t="str">
            <v>01</v>
          </cell>
          <cell r="F5441" t="str">
            <v>PAQ10a15</v>
          </cell>
          <cell r="G5441" t="str">
            <v>B</v>
          </cell>
          <cell r="H5441">
            <v>60.87</v>
          </cell>
        </row>
        <row r="5442">
          <cell r="A5442" t="str">
            <v>1;01;N;B;PAQ15a20</v>
          </cell>
          <cell r="B5442">
            <v>730069</v>
          </cell>
          <cell r="C5442" t="str">
            <v>N</v>
          </cell>
          <cell r="D5442" t="str">
            <v>NACIONAL</v>
          </cell>
          <cell r="E5442" t="str">
            <v>01</v>
          </cell>
          <cell r="F5442" t="str">
            <v>PAQ15a20</v>
          </cell>
          <cell r="G5442" t="str">
            <v>B</v>
          </cell>
          <cell r="H5442">
            <v>80.489999999999995</v>
          </cell>
        </row>
        <row r="5443">
          <cell r="A5443" t="str">
            <v>1;01;N;B;PAQ20a25</v>
          </cell>
          <cell r="B5443">
            <v>730069</v>
          </cell>
          <cell r="C5443" t="str">
            <v>N</v>
          </cell>
          <cell r="D5443" t="str">
            <v>NACIONAL</v>
          </cell>
          <cell r="E5443" t="str">
            <v>01</v>
          </cell>
          <cell r="F5443" t="str">
            <v>PAQ20a25</v>
          </cell>
          <cell r="G5443" t="str">
            <v>B</v>
          </cell>
          <cell r="H5443">
            <v>100.13</v>
          </cell>
        </row>
        <row r="5444">
          <cell r="A5444" t="str">
            <v>1;01;N;B;PAQ25a30</v>
          </cell>
          <cell r="B5444">
            <v>730069</v>
          </cell>
          <cell r="C5444" t="str">
            <v>N</v>
          </cell>
          <cell r="D5444" t="str">
            <v>NACIONAL</v>
          </cell>
          <cell r="E5444" t="str">
            <v>01</v>
          </cell>
          <cell r="F5444" t="str">
            <v>PAQ25a30</v>
          </cell>
          <cell r="G5444" t="str">
            <v>B</v>
          </cell>
          <cell r="H5444">
            <v>119.75</v>
          </cell>
        </row>
        <row r="5445">
          <cell r="A5445" t="str">
            <v>1;01;N;B;PAQ30a35</v>
          </cell>
          <cell r="B5445">
            <v>730069</v>
          </cell>
          <cell r="C5445" t="str">
            <v>N</v>
          </cell>
          <cell r="D5445" t="str">
            <v>NACIONAL</v>
          </cell>
          <cell r="E5445" t="str">
            <v>01</v>
          </cell>
          <cell r="F5445" t="str">
            <v>PAQ30a35</v>
          </cell>
          <cell r="G5445" t="str">
            <v>B</v>
          </cell>
          <cell r="H5445">
            <v>139.38999999999999</v>
          </cell>
        </row>
        <row r="5446">
          <cell r="A5446" t="str">
            <v>1;01;N;F;</v>
          </cell>
          <cell r="B5446">
            <v>730069</v>
          </cell>
          <cell r="C5446" t="str">
            <v>N</v>
          </cell>
          <cell r="D5446" t="str">
            <v>NACIONAL</v>
          </cell>
          <cell r="E5446" t="str">
            <v>01</v>
          </cell>
          <cell r="F5446" t="str">
            <v/>
          </cell>
          <cell r="G5446" t="str">
            <v>F</v>
          </cell>
          <cell r="H5446">
            <v>19.62</v>
          </cell>
        </row>
        <row r="5447">
          <cell r="A5447" t="str">
            <v>1;01;N;B;PAQ35a40</v>
          </cell>
          <cell r="B5447">
            <v>730069</v>
          </cell>
          <cell r="C5447" t="str">
            <v>N</v>
          </cell>
          <cell r="D5447" t="str">
            <v>NACIONAL</v>
          </cell>
          <cell r="E5447" t="str">
            <v>01</v>
          </cell>
          <cell r="F5447" t="str">
            <v>PAQ35a40</v>
          </cell>
          <cell r="G5447" t="str">
            <v>B</v>
          </cell>
          <cell r="H5447">
            <v>159.01</v>
          </cell>
        </row>
        <row r="5448">
          <cell r="A5448" t="str">
            <v>1;01;N;P;</v>
          </cell>
          <cell r="B5448">
            <v>730069</v>
          </cell>
          <cell r="C5448" t="str">
            <v>N</v>
          </cell>
          <cell r="D5448" t="str">
            <v>NACIONAL</v>
          </cell>
          <cell r="E5448" t="str">
            <v>01</v>
          </cell>
          <cell r="F5448" t="str">
            <v/>
          </cell>
          <cell r="G5448" t="str">
            <v>P</v>
          </cell>
          <cell r="H5448">
            <v>23.64</v>
          </cell>
        </row>
        <row r="5449">
          <cell r="A5449" t="str">
            <v>1;01;N;E;</v>
          </cell>
          <cell r="B5449">
            <v>730069</v>
          </cell>
          <cell r="C5449" t="str">
            <v>N</v>
          </cell>
          <cell r="D5449" t="str">
            <v>NACIONAL</v>
          </cell>
          <cell r="E5449" t="str">
            <v>01</v>
          </cell>
          <cell r="F5449" t="str">
            <v/>
          </cell>
          <cell r="G5449" t="str">
            <v>E</v>
          </cell>
          <cell r="H5449">
            <v>23.64</v>
          </cell>
        </row>
        <row r="5450">
          <cell r="A5450" t="str">
            <v>1;02;N;B;BAG</v>
          </cell>
          <cell r="B5450">
            <v>730069</v>
          </cell>
          <cell r="C5450" t="str">
            <v>N</v>
          </cell>
          <cell r="D5450" t="str">
            <v>NACIONAL</v>
          </cell>
          <cell r="E5450" t="str">
            <v>02</v>
          </cell>
          <cell r="F5450" t="str">
            <v>BAG</v>
          </cell>
          <cell r="G5450" t="str">
            <v>B</v>
          </cell>
          <cell r="H5450">
            <v>13.99</v>
          </cell>
        </row>
        <row r="5451">
          <cell r="A5451" t="str">
            <v>1;02;N;B;DOCS</v>
          </cell>
          <cell r="B5451">
            <v>730069</v>
          </cell>
          <cell r="C5451" t="str">
            <v>N</v>
          </cell>
          <cell r="D5451" t="str">
            <v>NACIONAL</v>
          </cell>
          <cell r="E5451" t="str">
            <v>02</v>
          </cell>
          <cell r="F5451" t="str">
            <v>DOCS</v>
          </cell>
          <cell r="G5451" t="str">
            <v>B</v>
          </cell>
          <cell r="H5451">
            <v>10</v>
          </cell>
        </row>
        <row r="5452">
          <cell r="A5452" t="str">
            <v>1;02;N;B;PAQ00a02</v>
          </cell>
          <cell r="B5452">
            <v>730069</v>
          </cell>
          <cell r="C5452" t="str">
            <v>N</v>
          </cell>
          <cell r="D5452" t="str">
            <v>NACIONAL</v>
          </cell>
          <cell r="E5452" t="str">
            <v>02</v>
          </cell>
          <cell r="F5452" t="str">
            <v>PAQ00a02</v>
          </cell>
          <cell r="G5452" t="str">
            <v>B</v>
          </cell>
          <cell r="H5452">
            <v>16.66</v>
          </cell>
        </row>
        <row r="5453">
          <cell r="A5453" t="str">
            <v>1;02;N;B;PAQ02a05</v>
          </cell>
          <cell r="B5453">
            <v>730069</v>
          </cell>
          <cell r="C5453" t="str">
            <v>N</v>
          </cell>
          <cell r="D5453" t="str">
            <v>NACIONAL</v>
          </cell>
          <cell r="E5453" t="str">
            <v>02</v>
          </cell>
          <cell r="F5453" t="str">
            <v>PAQ02a05</v>
          </cell>
          <cell r="G5453" t="str">
            <v>B</v>
          </cell>
          <cell r="H5453">
            <v>16.66</v>
          </cell>
        </row>
        <row r="5454">
          <cell r="A5454" t="str">
            <v>1;02;N;B;PAQ05a10</v>
          </cell>
          <cell r="B5454">
            <v>730069</v>
          </cell>
          <cell r="C5454" t="str">
            <v>N</v>
          </cell>
          <cell r="D5454" t="str">
            <v>NACIONAL</v>
          </cell>
          <cell r="E5454" t="str">
            <v>02</v>
          </cell>
          <cell r="F5454" t="str">
            <v>PAQ05a10</v>
          </cell>
          <cell r="G5454" t="str">
            <v>B</v>
          </cell>
          <cell r="H5454">
            <v>24.9</v>
          </cell>
        </row>
        <row r="5455">
          <cell r="A5455" t="str">
            <v>1;02;N;B;PAQ10a15</v>
          </cell>
          <cell r="B5455">
            <v>730069</v>
          </cell>
          <cell r="C5455" t="str">
            <v>N</v>
          </cell>
          <cell r="D5455" t="str">
            <v>NACIONAL</v>
          </cell>
          <cell r="E5455" t="str">
            <v>02</v>
          </cell>
          <cell r="F5455" t="str">
            <v>PAQ10a15</v>
          </cell>
          <cell r="G5455" t="str">
            <v>B</v>
          </cell>
          <cell r="H5455">
            <v>33.049999999999997</v>
          </cell>
        </row>
        <row r="5456">
          <cell r="A5456" t="str">
            <v>1;02;N;B;PAQ15a20</v>
          </cell>
          <cell r="B5456">
            <v>730069</v>
          </cell>
          <cell r="C5456" t="str">
            <v>N</v>
          </cell>
          <cell r="D5456" t="str">
            <v>NACIONAL</v>
          </cell>
          <cell r="E5456" t="str">
            <v>02</v>
          </cell>
          <cell r="F5456" t="str">
            <v>PAQ15a20</v>
          </cell>
          <cell r="G5456" t="str">
            <v>B</v>
          </cell>
          <cell r="H5456">
            <v>41.19</v>
          </cell>
        </row>
        <row r="5457">
          <cell r="A5457" t="str">
            <v>1;02;N;B;PAQ20a25</v>
          </cell>
          <cell r="B5457">
            <v>730069</v>
          </cell>
          <cell r="C5457" t="str">
            <v>N</v>
          </cell>
          <cell r="D5457" t="str">
            <v>NACIONAL</v>
          </cell>
          <cell r="E5457" t="str">
            <v>02</v>
          </cell>
          <cell r="F5457" t="str">
            <v>PAQ20a25</v>
          </cell>
          <cell r="G5457" t="str">
            <v>B</v>
          </cell>
          <cell r="H5457">
            <v>49.35</v>
          </cell>
        </row>
        <row r="5458">
          <cell r="A5458" t="str">
            <v>1;02;N;B;PAQ25a30</v>
          </cell>
          <cell r="B5458">
            <v>730069</v>
          </cell>
          <cell r="C5458" t="str">
            <v>N</v>
          </cell>
          <cell r="D5458" t="str">
            <v>NACIONAL</v>
          </cell>
          <cell r="E5458" t="str">
            <v>02</v>
          </cell>
          <cell r="F5458" t="str">
            <v>PAQ25a30</v>
          </cell>
          <cell r="G5458" t="str">
            <v>B</v>
          </cell>
          <cell r="H5458">
            <v>57.51</v>
          </cell>
        </row>
        <row r="5459">
          <cell r="A5459" t="str">
            <v>1;02;N;B;PAQ30a35</v>
          </cell>
          <cell r="B5459">
            <v>730069</v>
          </cell>
          <cell r="C5459" t="str">
            <v>N</v>
          </cell>
          <cell r="D5459" t="str">
            <v>NACIONAL</v>
          </cell>
          <cell r="E5459" t="str">
            <v>02</v>
          </cell>
          <cell r="F5459" t="str">
            <v>PAQ30a35</v>
          </cell>
          <cell r="G5459" t="str">
            <v>B</v>
          </cell>
          <cell r="H5459">
            <v>65.66</v>
          </cell>
        </row>
        <row r="5460">
          <cell r="A5460" t="str">
            <v>1;02;N;F;</v>
          </cell>
          <cell r="B5460">
            <v>730069</v>
          </cell>
          <cell r="C5460" t="str">
            <v>N</v>
          </cell>
          <cell r="D5460" t="str">
            <v>NACIONAL</v>
          </cell>
          <cell r="E5460" t="str">
            <v>02</v>
          </cell>
          <cell r="F5460" t="str">
            <v/>
          </cell>
          <cell r="G5460" t="str">
            <v>F</v>
          </cell>
          <cell r="H5460">
            <v>8.16</v>
          </cell>
        </row>
        <row r="5461">
          <cell r="A5461" t="str">
            <v>1;02;N;B;PAQ35a40</v>
          </cell>
          <cell r="B5461">
            <v>730069</v>
          </cell>
          <cell r="C5461" t="str">
            <v>N</v>
          </cell>
          <cell r="D5461" t="str">
            <v>NACIONAL</v>
          </cell>
          <cell r="E5461" t="str">
            <v>02</v>
          </cell>
          <cell r="F5461" t="str">
            <v>PAQ35a40</v>
          </cell>
          <cell r="G5461" t="str">
            <v>B</v>
          </cell>
          <cell r="H5461">
            <v>73.819999999999993</v>
          </cell>
        </row>
        <row r="5462">
          <cell r="A5462" t="str">
            <v>1;02;N;E;</v>
          </cell>
          <cell r="B5462">
            <v>730069</v>
          </cell>
          <cell r="C5462" t="str">
            <v>N</v>
          </cell>
          <cell r="D5462" t="str">
            <v>NACIONAL</v>
          </cell>
          <cell r="E5462" t="str">
            <v>02</v>
          </cell>
          <cell r="F5462" t="str">
            <v/>
          </cell>
          <cell r="G5462" t="str">
            <v>E</v>
          </cell>
          <cell r="H5462">
            <v>16.66</v>
          </cell>
        </row>
        <row r="5463">
          <cell r="A5463" t="str">
            <v>1;02;N;P;</v>
          </cell>
          <cell r="B5463">
            <v>730069</v>
          </cell>
          <cell r="C5463" t="str">
            <v>N</v>
          </cell>
          <cell r="D5463" t="str">
            <v>NACIONAL</v>
          </cell>
          <cell r="E5463" t="str">
            <v>02</v>
          </cell>
          <cell r="F5463" t="str">
            <v/>
          </cell>
          <cell r="G5463" t="str">
            <v>P</v>
          </cell>
          <cell r="H5463">
            <v>16.66</v>
          </cell>
        </row>
        <row r="5464">
          <cell r="A5464" t="str">
            <v>1;02;N;X;</v>
          </cell>
          <cell r="B5464">
            <v>730069</v>
          </cell>
          <cell r="C5464" t="str">
            <v>N</v>
          </cell>
          <cell r="D5464" t="str">
            <v>NACIONAL</v>
          </cell>
          <cell r="E5464" t="str">
            <v>02</v>
          </cell>
          <cell r="F5464" t="str">
            <v/>
          </cell>
          <cell r="G5464" t="str">
            <v>X</v>
          </cell>
          <cell r="H5464">
            <v>23.8</v>
          </cell>
        </row>
        <row r="5465">
          <cell r="A5465" t="str">
            <v>1;02;N;C;</v>
          </cell>
          <cell r="B5465">
            <v>730069</v>
          </cell>
          <cell r="C5465" t="str">
            <v>N</v>
          </cell>
          <cell r="D5465" t="str">
            <v>NACIONAL</v>
          </cell>
          <cell r="E5465" t="str">
            <v>02</v>
          </cell>
          <cell r="F5465" t="str">
            <v/>
          </cell>
          <cell r="G5465" t="str">
            <v>C</v>
          </cell>
          <cell r="H5465">
            <v>11.91</v>
          </cell>
        </row>
        <row r="5466">
          <cell r="A5466" t="str">
            <v>1;03;N;B;BAG</v>
          </cell>
          <cell r="B5466">
            <v>730069</v>
          </cell>
          <cell r="C5466" t="str">
            <v>N</v>
          </cell>
          <cell r="D5466" t="str">
            <v>NACIONAL</v>
          </cell>
          <cell r="E5466" t="str">
            <v>03</v>
          </cell>
          <cell r="F5466" t="str">
            <v>BAG</v>
          </cell>
          <cell r="G5466" t="str">
            <v>B</v>
          </cell>
          <cell r="H5466">
            <v>19.02</v>
          </cell>
        </row>
        <row r="5467">
          <cell r="A5467" t="str">
            <v>1;03;N;B;DOCS</v>
          </cell>
          <cell r="B5467">
            <v>730069</v>
          </cell>
          <cell r="C5467" t="str">
            <v>N</v>
          </cell>
          <cell r="D5467" t="str">
            <v>NACIONAL</v>
          </cell>
          <cell r="E5467" t="str">
            <v>03</v>
          </cell>
          <cell r="F5467" t="str">
            <v>DOCS</v>
          </cell>
          <cell r="G5467" t="str">
            <v>B</v>
          </cell>
          <cell r="H5467">
            <v>13.93</v>
          </cell>
        </row>
        <row r="5468">
          <cell r="A5468" t="str">
            <v>1;03;N;B;PAQ00a02</v>
          </cell>
          <cell r="B5468">
            <v>730069</v>
          </cell>
          <cell r="C5468" t="str">
            <v>N</v>
          </cell>
          <cell r="D5468" t="str">
            <v>NACIONAL</v>
          </cell>
          <cell r="E5468" t="str">
            <v>03</v>
          </cell>
          <cell r="F5468" t="str">
            <v>PAQ00a02</v>
          </cell>
          <cell r="G5468" t="str">
            <v>B</v>
          </cell>
          <cell r="H5468">
            <v>23.64</v>
          </cell>
        </row>
        <row r="5469">
          <cell r="A5469" t="str">
            <v>1;03;N;B;PAQ02a05</v>
          </cell>
          <cell r="B5469">
            <v>730069</v>
          </cell>
          <cell r="C5469" t="str">
            <v>N</v>
          </cell>
          <cell r="D5469" t="str">
            <v>NACIONAL</v>
          </cell>
          <cell r="E5469" t="str">
            <v>03</v>
          </cell>
          <cell r="F5469" t="str">
            <v>PAQ02a05</v>
          </cell>
          <cell r="G5469" t="str">
            <v>B</v>
          </cell>
          <cell r="H5469">
            <v>23.64</v>
          </cell>
        </row>
        <row r="5470">
          <cell r="A5470" t="str">
            <v>1;03;N;B;PAQ05a10</v>
          </cell>
          <cell r="B5470">
            <v>730069</v>
          </cell>
          <cell r="C5470" t="str">
            <v>N</v>
          </cell>
          <cell r="D5470" t="str">
            <v>NACIONAL</v>
          </cell>
          <cell r="E5470" t="str">
            <v>03</v>
          </cell>
          <cell r="F5470" t="str">
            <v>PAQ05a10</v>
          </cell>
          <cell r="G5470" t="str">
            <v>B</v>
          </cell>
          <cell r="H5470">
            <v>41.23</v>
          </cell>
        </row>
        <row r="5471">
          <cell r="A5471" t="str">
            <v>1;03;N;B;PAQ10a15</v>
          </cell>
          <cell r="B5471">
            <v>730069</v>
          </cell>
          <cell r="C5471" t="str">
            <v>N</v>
          </cell>
          <cell r="D5471" t="str">
            <v>NACIONAL</v>
          </cell>
          <cell r="E5471" t="str">
            <v>03</v>
          </cell>
          <cell r="F5471" t="str">
            <v>PAQ10a15</v>
          </cell>
          <cell r="G5471" t="str">
            <v>B</v>
          </cell>
          <cell r="H5471">
            <v>60.87</v>
          </cell>
        </row>
        <row r="5472">
          <cell r="A5472" t="str">
            <v>1;03;N;B;PAQ15a20</v>
          </cell>
          <cell r="B5472">
            <v>730069</v>
          </cell>
          <cell r="C5472" t="str">
            <v>N</v>
          </cell>
          <cell r="D5472" t="str">
            <v>NACIONAL</v>
          </cell>
          <cell r="E5472" t="str">
            <v>03</v>
          </cell>
          <cell r="F5472" t="str">
            <v>PAQ15a20</v>
          </cell>
          <cell r="G5472" t="str">
            <v>B</v>
          </cell>
          <cell r="H5472">
            <v>80.489999999999995</v>
          </cell>
        </row>
        <row r="5473">
          <cell r="A5473" t="str">
            <v>1;03;N;B;PAQ20a25</v>
          </cell>
          <cell r="B5473">
            <v>730069</v>
          </cell>
          <cell r="C5473" t="str">
            <v>N</v>
          </cell>
          <cell r="D5473" t="str">
            <v>NACIONAL</v>
          </cell>
          <cell r="E5473" t="str">
            <v>03</v>
          </cell>
          <cell r="F5473" t="str">
            <v>PAQ20a25</v>
          </cell>
          <cell r="G5473" t="str">
            <v>B</v>
          </cell>
          <cell r="H5473">
            <v>100.13</v>
          </cell>
        </row>
        <row r="5474">
          <cell r="A5474" t="str">
            <v>1;03;N;B;PAQ25a30</v>
          </cell>
          <cell r="B5474">
            <v>730069</v>
          </cell>
          <cell r="C5474" t="str">
            <v>N</v>
          </cell>
          <cell r="D5474" t="str">
            <v>NACIONAL</v>
          </cell>
          <cell r="E5474" t="str">
            <v>03</v>
          </cell>
          <cell r="F5474" t="str">
            <v>PAQ25a30</v>
          </cell>
          <cell r="G5474" t="str">
            <v>B</v>
          </cell>
          <cell r="H5474">
            <v>119.75</v>
          </cell>
        </row>
        <row r="5475">
          <cell r="A5475" t="str">
            <v>1;03;N;B;PAQ30a35</v>
          </cell>
          <cell r="B5475">
            <v>730069</v>
          </cell>
          <cell r="C5475" t="str">
            <v>N</v>
          </cell>
          <cell r="D5475" t="str">
            <v>NACIONAL</v>
          </cell>
          <cell r="E5475" t="str">
            <v>03</v>
          </cell>
          <cell r="F5475" t="str">
            <v>PAQ30a35</v>
          </cell>
          <cell r="G5475" t="str">
            <v>B</v>
          </cell>
          <cell r="H5475">
            <v>139.38999999999999</v>
          </cell>
        </row>
        <row r="5476">
          <cell r="A5476" t="str">
            <v>1;03;N;F;</v>
          </cell>
          <cell r="B5476">
            <v>730069</v>
          </cell>
          <cell r="C5476" t="str">
            <v>N</v>
          </cell>
          <cell r="D5476" t="str">
            <v>NACIONAL</v>
          </cell>
          <cell r="E5476" t="str">
            <v>03</v>
          </cell>
          <cell r="F5476" t="str">
            <v/>
          </cell>
          <cell r="G5476" t="str">
            <v>F</v>
          </cell>
          <cell r="H5476">
            <v>19.62</v>
          </cell>
        </row>
        <row r="5477">
          <cell r="A5477" t="str">
            <v>1;03;N;B;PAQ35a40</v>
          </cell>
          <cell r="B5477">
            <v>730069</v>
          </cell>
          <cell r="C5477" t="str">
            <v>N</v>
          </cell>
          <cell r="D5477" t="str">
            <v>NACIONAL</v>
          </cell>
          <cell r="E5477" t="str">
            <v>03</v>
          </cell>
          <cell r="F5477" t="str">
            <v>PAQ35a40</v>
          </cell>
          <cell r="G5477" t="str">
            <v>B</v>
          </cell>
          <cell r="H5477">
            <v>159.01</v>
          </cell>
        </row>
        <row r="5478">
          <cell r="A5478" t="str">
            <v>1;03;N;E;</v>
          </cell>
          <cell r="B5478">
            <v>730069</v>
          </cell>
          <cell r="C5478" t="str">
            <v>N</v>
          </cell>
          <cell r="D5478" t="str">
            <v>NACIONAL</v>
          </cell>
          <cell r="E5478" t="str">
            <v>03</v>
          </cell>
          <cell r="F5478" t="str">
            <v/>
          </cell>
          <cell r="G5478" t="str">
            <v>E</v>
          </cell>
          <cell r="H5478">
            <v>23.64</v>
          </cell>
        </row>
        <row r="5479">
          <cell r="A5479" t="str">
            <v>1;03;N;P;</v>
          </cell>
          <cell r="B5479">
            <v>730069</v>
          </cell>
          <cell r="C5479" t="str">
            <v>N</v>
          </cell>
          <cell r="D5479" t="str">
            <v>NACIONAL</v>
          </cell>
          <cell r="E5479" t="str">
            <v>03</v>
          </cell>
          <cell r="F5479" t="str">
            <v/>
          </cell>
          <cell r="G5479" t="str">
            <v>P</v>
          </cell>
          <cell r="H5479">
            <v>23.64</v>
          </cell>
        </row>
        <row r="5480">
          <cell r="A5480" t="str">
            <v>1;04;N;B;BAG</v>
          </cell>
          <cell r="B5480">
            <v>730069</v>
          </cell>
          <cell r="C5480" t="str">
            <v>N</v>
          </cell>
          <cell r="D5480" t="str">
            <v>NACIONAL</v>
          </cell>
          <cell r="E5480" t="str">
            <v>04</v>
          </cell>
          <cell r="F5480" t="str">
            <v>BAG</v>
          </cell>
          <cell r="G5480" t="str">
            <v>B</v>
          </cell>
          <cell r="H5480">
            <v>5.66</v>
          </cell>
        </row>
        <row r="5481">
          <cell r="A5481" t="str">
            <v>1;05;N;B;BAG</v>
          </cell>
          <cell r="B5481">
            <v>730069</v>
          </cell>
          <cell r="C5481" t="str">
            <v>N</v>
          </cell>
          <cell r="D5481" t="str">
            <v>NACIONAL</v>
          </cell>
          <cell r="E5481" t="str">
            <v>05</v>
          </cell>
          <cell r="F5481" t="str">
            <v>BAG</v>
          </cell>
          <cell r="G5481" t="str">
            <v>B</v>
          </cell>
          <cell r="H5481">
            <v>5.66</v>
          </cell>
        </row>
        <row r="5482">
          <cell r="A5482" t="str">
            <v>1;06;N;B;BAG</v>
          </cell>
          <cell r="B5482">
            <v>730069</v>
          </cell>
          <cell r="C5482" t="str">
            <v>N</v>
          </cell>
          <cell r="D5482" t="str">
            <v>NACIONAL</v>
          </cell>
          <cell r="E5482" t="str">
            <v>06</v>
          </cell>
          <cell r="F5482" t="str">
            <v>BAG</v>
          </cell>
          <cell r="G5482" t="str">
            <v>B</v>
          </cell>
          <cell r="H5482">
            <v>0</v>
          </cell>
        </row>
        <row r="5483">
          <cell r="A5483" t="str">
            <v>1;06;N;B;DOCS</v>
          </cell>
          <cell r="B5483">
            <v>730069</v>
          </cell>
          <cell r="C5483" t="str">
            <v>N</v>
          </cell>
          <cell r="D5483" t="str">
            <v>NACIONAL</v>
          </cell>
          <cell r="E5483" t="str">
            <v>06</v>
          </cell>
          <cell r="F5483" t="str">
            <v>DOCS</v>
          </cell>
          <cell r="G5483" t="str">
            <v>B</v>
          </cell>
          <cell r="H5483">
            <v>0</v>
          </cell>
        </row>
        <row r="5484">
          <cell r="A5484" t="str">
            <v>1;06;N;B;PAQ00a05</v>
          </cell>
          <cell r="B5484">
            <v>730069</v>
          </cell>
          <cell r="C5484" t="str">
            <v>N</v>
          </cell>
          <cell r="D5484" t="str">
            <v>NACIONAL</v>
          </cell>
          <cell r="E5484" t="str">
            <v>06</v>
          </cell>
          <cell r="F5484" t="str">
            <v>PAQ00a05</v>
          </cell>
          <cell r="G5484" t="str">
            <v>B</v>
          </cell>
          <cell r="H5484">
            <v>0</v>
          </cell>
        </row>
        <row r="5485">
          <cell r="A5485" t="str">
            <v>1;06;N;B;PAQ05a10</v>
          </cell>
          <cell r="B5485">
            <v>730069</v>
          </cell>
          <cell r="C5485" t="str">
            <v>N</v>
          </cell>
          <cell r="D5485" t="str">
            <v>NACIONAL</v>
          </cell>
          <cell r="E5485" t="str">
            <v>06</v>
          </cell>
          <cell r="F5485" t="str">
            <v>PAQ05a10</v>
          </cell>
          <cell r="G5485" t="str">
            <v>B</v>
          </cell>
          <cell r="H5485">
            <v>0</v>
          </cell>
        </row>
        <row r="5486">
          <cell r="A5486" t="str">
            <v>1;06;N;B;PAQ10a15</v>
          </cell>
          <cell r="B5486">
            <v>730069</v>
          </cell>
          <cell r="C5486" t="str">
            <v>N</v>
          </cell>
          <cell r="D5486" t="str">
            <v>NACIONAL</v>
          </cell>
          <cell r="E5486" t="str">
            <v>06</v>
          </cell>
          <cell r="F5486" t="str">
            <v>PAQ10a15</v>
          </cell>
          <cell r="G5486" t="str">
            <v>B</v>
          </cell>
          <cell r="H5486">
            <v>0</v>
          </cell>
        </row>
        <row r="5487">
          <cell r="A5487" t="str">
            <v>1;06;N;B;PAQ15a20</v>
          </cell>
          <cell r="B5487">
            <v>730069</v>
          </cell>
          <cell r="C5487" t="str">
            <v>N</v>
          </cell>
          <cell r="D5487" t="str">
            <v>NACIONAL</v>
          </cell>
          <cell r="E5487" t="str">
            <v>06</v>
          </cell>
          <cell r="F5487" t="str">
            <v>PAQ15a20</v>
          </cell>
          <cell r="G5487" t="str">
            <v>B</v>
          </cell>
          <cell r="H5487">
            <v>0</v>
          </cell>
        </row>
        <row r="5488">
          <cell r="A5488" t="str">
            <v>1;06;N;B;PAQ20a25</v>
          </cell>
          <cell r="B5488">
            <v>730069</v>
          </cell>
          <cell r="C5488" t="str">
            <v>N</v>
          </cell>
          <cell r="D5488" t="str">
            <v>NACIONAL</v>
          </cell>
          <cell r="E5488" t="str">
            <v>06</v>
          </cell>
          <cell r="F5488" t="str">
            <v>PAQ20a25</v>
          </cell>
          <cell r="G5488" t="str">
            <v>B</v>
          </cell>
          <cell r="H5488">
            <v>0</v>
          </cell>
        </row>
        <row r="5489">
          <cell r="A5489" t="str">
            <v>1;06;N;B;PAQ25a30</v>
          </cell>
          <cell r="B5489">
            <v>730069</v>
          </cell>
          <cell r="C5489" t="str">
            <v>N</v>
          </cell>
          <cell r="D5489" t="str">
            <v>NACIONAL</v>
          </cell>
          <cell r="E5489" t="str">
            <v>06</v>
          </cell>
          <cell r="F5489" t="str">
            <v>PAQ25a30</v>
          </cell>
          <cell r="G5489" t="str">
            <v>B</v>
          </cell>
          <cell r="H5489">
            <v>0</v>
          </cell>
        </row>
        <row r="5490">
          <cell r="A5490" t="str">
            <v>1;06;N;B;PAQ30a35</v>
          </cell>
          <cell r="B5490">
            <v>730069</v>
          </cell>
          <cell r="C5490" t="str">
            <v>N</v>
          </cell>
          <cell r="D5490" t="str">
            <v>NACIONAL</v>
          </cell>
          <cell r="E5490" t="str">
            <v>06</v>
          </cell>
          <cell r="F5490" t="str">
            <v>PAQ30a35</v>
          </cell>
          <cell r="G5490" t="str">
            <v>B</v>
          </cell>
          <cell r="H5490">
            <v>0</v>
          </cell>
        </row>
        <row r="5491">
          <cell r="A5491" t="str">
            <v>1;06;N;B;PAQ35a40</v>
          </cell>
          <cell r="B5491">
            <v>730069</v>
          </cell>
          <cell r="C5491" t="str">
            <v>N</v>
          </cell>
          <cell r="D5491" t="str">
            <v>NACIONAL</v>
          </cell>
          <cell r="E5491" t="str">
            <v>06</v>
          </cell>
          <cell r="F5491" t="str">
            <v>PAQ35a40</v>
          </cell>
          <cell r="G5491" t="str">
            <v>B</v>
          </cell>
          <cell r="H5491">
            <v>0</v>
          </cell>
        </row>
        <row r="5492">
          <cell r="A5492" t="str">
            <v>1;06;N;F;</v>
          </cell>
          <cell r="B5492">
            <v>730069</v>
          </cell>
          <cell r="C5492" t="str">
            <v>N</v>
          </cell>
          <cell r="D5492" t="str">
            <v>NACIONAL</v>
          </cell>
          <cell r="E5492" t="str">
            <v>06</v>
          </cell>
          <cell r="F5492" t="str">
            <v/>
          </cell>
          <cell r="G5492" t="str">
            <v>F</v>
          </cell>
          <cell r="H5492">
            <v>0</v>
          </cell>
        </row>
        <row r="5493">
          <cell r="A5493" t="str">
            <v>1;06;N;E;</v>
          </cell>
          <cell r="B5493">
            <v>730069</v>
          </cell>
          <cell r="C5493" t="str">
            <v>N</v>
          </cell>
          <cell r="D5493" t="str">
            <v>NACIONAL</v>
          </cell>
          <cell r="E5493" t="str">
            <v>06</v>
          </cell>
          <cell r="F5493" t="str">
            <v/>
          </cell>
          <cell r="G5493" t="str">
            <v>E</v>
          </cell>
          <cell r="H5493">
            <v>16.66</v>
          </cell>
        </row>
        <row r="5494">
          <cell r="A5494" t="str">
            <v>1;06;N;P;</v>
          </cell>
          <cell r="B5494">
            <v>730069</v>
          </cell>
          <cell r="C5494" t="str">
            <v>N</v>
          </cell>
          <cell r="D5494" t="str">
            <v>NACIONAL</v>
          </cell>
          <cell r="E5494" t="str">
            <v>06</v>
          </cell>
          <cell r="F5494" t="str">
            <v/>
          </cell>
          <cell r="G5494" t="str">
            <v>P</v>
          </cell>
          <cell r="H5494">
            <v>16.66</v>
          </cell>
        </row>
        <row r="5495">
          <cell r="A5495" t="str">
            <v>1;07;N;B;BAG</v>
          </cell>
          <cell r="B5495">
            <v>730069</v>
          </cell>
          <cell r="C5495" t="str">
            <v>N</v>
          </cell>
          <cell r="D5495" t="str">
            <v>NACIONAL</v>
          </cell>
          <cell r="E5495" t="str">
            <v>07</v>
          </cell>
          <cell r="F5495" t="str">
            <v>BAG</v>
          </cell>
          <cell r="G5495" t="str">
            <v>B</v>
          </cell>
          <cell r="H5495">
            <v>0</v>
          </cell>
        </row>
        <row r="5496">
          <cell r="A5496" t="str">
            <v>1;07;N;B;DOCS</v>
          </cell>
          <cell r="B5496">
            <v>730069</v>
          </cell>
          <cell r="C5496" t="str">
            <v>N</v>
          </cell>
          <cell r="D5496" t="str">
            <v>NACIONAL</v>
          </cell>
          <cell r="E5496" t="str">
            <v>07</v>
          </cell>
          <cell r="F5496" t="str">
            <v>DOCS</v>
          </cell>
          <cell r="G5496" t="str">
            <v>B</v>
          </cell>
          <cell r="H5496">
            <v>0</v>
          </cell>
        </row>
        <row r="5497">
          <cell r="A5497" t="str">
            <v>1;07;N;B;PAQ00a05</v>
          </cell>
          <cell r="B5497">
            <v>730069</v>
          </cell>
          <cell r="C5497" t="str">
            <v>N</v>
          </cell>
          <cell r="D5497" t="str">
            <v>NACIONAL</v>
          </cell>
          <cell r="E5497" t="str">
            <v>07</v>
          </cell>
          <cell r="F5497" t="str">
            <v>PAQ00a05</v>
          </cell>
          <cell r="G5497" t="str">
            <v>B</v>
          </cell>
          <cell r="H5497">
            <v>0</v>
          </cell>
        </row>
        <row r="5498">
          <cell r="A5498" t="str">
            <v>1;07;N;B;PAQ05a10</v>
          </cell>
          <cell r="B5498">
            <v>730069</v>
          </cell>
          <cell r="C5498" t="str">
            <v>N</v>
          </cell>
          <cell r="D5498" t="str">
            <v>NACIONAL</v>
          </cell>
          <cell r="E5498" t="str">
            <v>07</v>
          </cell>
          <cell r="F5498" t="str">
            <v>PAQ05a10</v>
          </cell>
          <cell r="G5498" t="str">
            <v>B</v>
          </cell>
          <cell r="H5498">
            <v>0</v>
          </cell>
        </row>
        <row r="5499">
          <cell r="A5499" t="str">
            <v>1;07;N;B;PAQ10a15</v>
          </cell>
          <cell r="B5499">
            <v>730069</v>
          </cell>
          <cell r="C5499" t="str">
            <v>N</v>
          </cell>
          <cell r="D5499" t="str">
            <v>NACIONAL</v>
          </cell>
          <cell r="E5499" t="str">
            <v>07</v>
          </cell>
          <cell r="F5499" t="str">
            <v>PAQ10a15</v>
          </cell>
          <cell r="G5499" t="str">
            <v>B</v>
          </cell>
          <cell r="H5499">
            <v>0</v>
          </cell>
        </row>
        <row r="5500">
          <cell r="A5500" t="str">
            <v>1;07;N;B;PAQ15a20</v>
          </cell>
          <cell r="B5500">
            <v>730069</v>
          </cell>
          <cell r="C5500" t="str">
            <v>N</v>
          </cell>
          <cell r="D5500" t="str">
            <v>NACIONAL</v>
          </cell>
          <cell r="E5500" t="str">
            <v>07</v>
          </cell>
          <cell r="F5500" t="str">
            <v>PAQ15a20</v>
          </cell>
          <cell r="G5500" t="str">
            <v>B</v>
          </cell>
          <cell r="H5500">
            <v>0</v>
          </cell>
        </row>
        <row r="5501">
          <cell r="A5501" t="str">
            <v>1;07;N;B;PAQ20a25</v>
          </cell>
          <cell r="B5501">
            <v>730069</v>
          </cell>
          <cell r="C5501" t="str">
            <v>N</v>
          </cell>
          <cell r="D5501" t="str">
            <v>NACIONAL</v>
          </cell>
          <cell r="E5501" t="str">
            <v>07</v>
          </cell>
          <cell r="F5501" t="str">
            <v>PAQ20a25</v>
          </cell>
          <cell r="G5501" t="str">
            <v>B</v>
          </cell>
          <cell r="H5501">
            <v>0</v>
          </cell>
        </row>
        <row r="5502">
          <cell r="A5502" t="str">
            <v>1;07;N;B;PAQ25a30</v>
          </cell>
          <cell r="B5502">
            <v>730069</v>
          </cell>
          <cell r="C5502" t="str">
            <v>N</v>
          </cell>
          <cell r="D5502" t="str">
            <v>NACIONAL</v>
          </cell>
          <cell r="E5502" t="str">
            <v>07</v>
          </cell>
          <cell r="F5502" t="str">
            <v>PAQ25a30</v>
          </cell>
          <cell r="G5502" t="str">
            <v>B</v>
          </cell>
          <cell r="H5502">
            <v>0</v>
          </cell>
        </row>
        <row r="5503">
          <cell r="A5503" t="str">
            <v>1;07;N;B;PAQ30a35</v>
          </cell>
          <cell r="B5503">
            <v>730069</v>
          </cell>
          <cell r="C5503" t="str">
            <v>N</v>
          </cell>
          <cell r="D5503" t="str">
            <v>NACIONAL</v>
          </cell>
          <cell r="E5503" t="str">
            <v>07</v>
          </cell>
          <cell r="F5503" t="str">
            <v>PAQ30a35</v>
          </cell>
          <cell r="G5503" t="str">
            <v>B</v>
          </cell>
          <cell r="H5503">
            <v>0</v>
          </cell>
        </row>
        <row r="5504">
          <cell r="A5504" t="str">
            <v>1;07;N;B;PAQ35a40</v>
          </cell>
          <cell r="B5504">
            <v>730069</v>
          </cell>
          <cell r="C5504" t="str">
            <v>N</v>
          </cell>
          <cell r="D5504" t="str">
            <v>NACIONAL</v>
          </cell>
          <cell r="E5504" t="str">
            <v>07</v>
          </cell>
          <cell r="F5504" t="str">
            <v>PAQ35a40</v>
          </cell>
          <cell r="G5504" t="str">
            <v>B</v>
          </cell>
          <cell r="H5504">
            <v>0</v>
          </cell>
        </row>
        <row r="5505">
          <cell r="A5505" t="str">
            <v>1;07;N;F;</v>
          </cell>
          <cell r="B5505">
            <v>730069</v>
          </cell>
          <cell r="C5505" t="str">
            <v>N</v>
          </cell>
          <cell r="D5505" t="str">
            <v>NACIONAL</v>
          </cell>
          <cell r="E5505" t="str">
            <v>07</v>
          </cell>
          <cell r="F5505" t="str">
            <v/>
          </cell>
          <cell r="G5505" t="str">
            <v>F</v>
          </cell>
          <cell r="H5505">
            <v>0</v>
          </cell>
        </row>
        <row r="5506">
          <cell r="A5506" t="str">
            <v>1;07;N;E;</v>
          </cell>
          <cell r="B5506">
            <v>730069</v>
          </cell>
          <cell r="C5506" t="str">
            <v>N</v>
          </cell>
          <cell r="D5506" t="str">
            <v>NACIONAL</v>
          </cell>
          <cell r="E5506" t="str">
            <v>07</v>
          </cell>
          <cell r="F5506" t="str">
            <v/>
          </cell>
          <cell r="G5506" t="str">
            <v>E</v>
          </cell>
          <cell r="H5506">
            <v>16.66</v>
          </cell>
        </row>
        <row r="5507">
          <cell r="A5507" t="str">
            <v>1;07;N;P;</v>
          </cell>
          <cell r="B5507">
            <v>730069</v>
          </cell>
          <cell r="C5507" t="str">
            <v>N</v>
          </cell>
          <cell r="D5507" t="str">
            <v>NACIONAL</v>
          </cell>
          <cell r="E5507" t="str">
            <v>07</v>
          </cell>
          <cell r="F5507" t="str">
            <v/>
          </cell>
          <cell r="G5507" t="str">
            <v>P</v>
          </cell>
          <cell r="H5507">
            <v>16.66</v>
          </cell>
        </row>
        <row r="5508">
          <cell r="A5508" t="str">
            <v>1;08;N;B;BAG</v>
          </cell>
          <cell r="B5508">
            <v>730069</v>
          </cell>
          <cell r="C5508" t="str">
            <v>N</v>
          </cell>
          <cell r="D5508" t="str">
            <v>NACIONAL</v>
          </cell>
          <cell r="E5508" t="str">
            <v>08</v>
          </cell>
          <cell r="F5508" t="str">
            <v>BAG</v>
          </cell>
          <cell r="G5508" t="str">
            <v>B</v>
          </cell>
          <cell r="H5508">
            <v>4.2</v>
          </cell>
        </row>
        <row r="5509">
          <cell r="A5509" t="str">
            <v>1;08;N;B;DOCS</v>
          </cell>
          <cell r="B5509">
            <v>730069</v>
          </cell>
          <cell r="C5509" t="str">
            <v>N</v>
          </cell>
          <cell r="D5509" t="str">
            <v>NACIONAL</v>
          </cell>
          <cell r="E5509" t="str">
            <v>08</v>
          </cell>
          <cell r="F5509" t="str">
            <v>DOCS</v>
          </cell>
          <cell r="G5509" t="str">
            <v>B</v>
          </cell>
          <cell r="H5509">
            <v>8.32</v>
          </cell>
        </row>
        <row r="5510">
          <cell r="A5510" t="str">
            <v>1;08;N;B;PAQ00a02</v>
          </cell>
          <cell r="B5510">
            <v>730069</v>
          </cell>
          <cell r="C5510" t="str">
            <v>N</v>
          </cell>
          <cell r="D5510" t="str">
            <v>NACIONAL</v>
          </cell>
          <cell r="E5510" t="str">
            <v>08</v>
          </cell>
          <cell r="F5510" t="str">
            <v>PAQ00a02</v>
          </cell>
          <cell r="G5510" t="str">
            <v>B</v>
          </cell>
          <cell r="H5510">
            <v>4.2</v>
          </cell>
        </row>
        <row r="5511">
          <cell r="A5511" t="str">
            <v>1;08;N;B;PAQ02a05</v>
          </cell>
          <cell r="B5511">
            <v>730069</v>
          </cell>
          <cell r="C5511" t="str">
            <v>N</v>
          </cell>
          <cell r="D5511" t="str">
            <v>NACIONAL</v>
          </cell>
          <cell r="E5511" t="str">
            <v>08</v>
          </cell>
          <cell r="F5511" t="str">
            <v>PAQ02a05</v>
          </cell>
          <cell r="G5511" t="str">
            <v>B</v>
          </cell>
          <cell r="H5511">
            <v>5.78</v>
          </cell>
        </row>
        <row r="5512">
          <cell r="A5512" t="str">
            <v>1;08;N;B;PAQ05a10</v>
          </cell>
          <cell r="B5512">
            <v>730069</v>
          </cell>
          <cell r="C5512" t="str">
            <v>N</v>
          </cell>
          <cell r="D5512" t="str">
            <v>NACIONAL</v>
          </cell>
          <cell r="E5512" t="str">
            <v>08</v>
          </cell>
          <cell r="F5512" t="str">
            <v>PAQ05a10</v>
          </cell>
          <cell r="G5512" t="str">
            <v>B</v>
          </cell>
          <cell r="H5512">
            <v>7.25</v>
          </cell>
        </row>
        <row r="5513">
          <cell r="A5513" t="str">
            <v>1;08;N;B;PAQ10a15</v>
          </cell>
          <cell r="B5513">
            <v>730069</v>
          </cell>
          <cell r="C5513" t="str">
            <v>N</v>
          </cell>
          <cell r="D5513" t="str">
            <v>NACIONAL</v>
          </cell>
          <cell r="E5513" t="str">
            <v>08</v>
          </cell>
          <cell r="F5513" t="str">
            <v>PAQ10a15</v>
          </cell>
          <cell r="G5513" t="str">
            <v>B</v>
          </cell>
          <cell r="H5513">
            <v>10.29</v>
          </cell>
        </row>
        <row r="5514">
          <cell r="A5514" t="str">
            <v>1;08;N;B;PAQ15a20</v>
          </cell>
          <cell r="B5514">
            <v>730069</v>
          </cell>
          <cell r="C5514" t="str">
            <v>N</v>
          </cell>
          <cell r="D5514" t="str">
            <v>NACIONAL</v>
          </cell>
          <cell r="E5514" t="str">
            <v>08</v>
          </cell>
          <cell r="F5514" t="str">
            <v>PAQ15a20</v>
          </cell>
          <cell r="G5514" t="str">
            <v>B</v>
          </cell>
          <cell r="H5514">
            <v>13.02</v>
          </cell>
        </row>
        <row r="5515">
          <cell r="A5515" t="str">
            <v>1;08;N;B;PAQ20a25</v>
          </cell>
          <cell r="B5515">
            <v>730069</v>
          </cell>
          <cell r="C5515" t="str">
            <v>N</v>
          </cell>
          <cell r="D5515" t="str">
            <v>NACIONAL</v>
          </cell>
          <cell r="E5515" t="str">
            <v>08</v>
          </cell>
          <cell r="F5515" t="str">
            <v>PAQ20a25</v>
          </cell>
          <cell r="G5515" t="str">
            <v>B</v>
          </cell>
          <cell r="H5515">
            <v>15.96</v>
          </cell>
        </row>
        <row r="5516">
          <cell r="A5516" t="str">
            <v>1;08;N;B;PAQ25a30</v>
          </cell>
          <cell r="B5516">
            <v>730069</v>
          </cell>
          <cell r="C5516" t="str">
            <v>N</v>
          </cell>
          <cell r="D5516" t="str">
            <v>NACIONAL</v>
          </cell>
          <cell r="E5516" t="str">
            <v>08</v>
          </cell>
          <cell r="F5516" t="str">
            <v>PAQ25a30</v>
          </cell>
          <cell r="G5516" t="str">
            <v>B</v>
          </cell>
          <cell r="H5516">
            <v>18.899999999999999</v>
          </cell>
        </row>
        <row r="5517">
          <cell r="A5517" t="str">
            <v>1;08;N;B;PAQ30a35</v>
          </cell>
          <cell r="B5517">
            <v>730069</v>
          </cell>
          <cell r="C5517" t="str">
            <v>N</v>
          </cell>
          <cell r="D5517" t="str">
            <v>NACIONAL</v>
          </cell>
          <cell r="E5517" t="str">
            <v>08</v>
          </cell>
          <cell r="F5517" t="str">
            <v>PAQ30a35</v>
          </cell>
          <cell r="G5517" t="str">
            <v>B</v>
          </cell>
          <cell r="H5517">
            <v>21.84</v>
          </cell>
        </row>
        <row r="5518">
          <cell r="A5518" t="str">
            <v>1;08;N;B;PAQ35a40</v>
          </cell>
          <cell r="B5518">
            <v>730069</v>
          </cell>
          <cell r="C5518" t="str">
            <v>N</v>
          </cell>
          <cell r="D5518" t="str">
            <v>NACIONAL</v>
          </cell>
          <cell r="E5518" t="str">
            <v>08</v>
          </cell>
          <cell r="F5518" t="str">
            <v>PAQ35a40</v>
          </cell>
          <cell r="G5518" t="str">
            <v>B</v>
          </cell>
          <cell r="H5518">
            <v>24.78</v>
          </cell>
        </row>
        <row r="5519">
          <cell r="A5519" t="str">
            <v>1;08;N;F;</v>
          </cell>
          <cell r="B5519">
            <v>730069</v>
          </cell>
          <cell r="C5519" t="str">
            <v>N</v>
          </cell>
          <cell r="D5519" t="str">
            <v>NACIONAL</v>
          </cell>
          <cell r="E5519" t="str">
            <v>08</v>
          </cell>
          <cell r="F5519" t="str">
            <v/>
          </cell>
          <cell r="G5519" t="str">
            <v>F</v>
          </cell>
          <cell r="H5519">
            <v>3.68</v>
          </cell>
        </row>
        <row r="5520">
          <cell r="A5520" t="str">
            <v>1;08;N;E;</v>
          </cell>
          <cell r="B5520">
            <v>730069</v>
          </cell>
          <cell r="C5520" t="str">
            <v>N</v>
          </cell>
          <cell r="D5520" t="str">
            <v>NACIONAL</v>
          </cell>
          <cell r="E5520" t="str">
            <v>08</v>
          </cell>
          <cell r="F5520" t="str">
            <v/>
          </cell>
          <cell r="G5520" t="str">
            <v>E</v>
          </cell>
          <cell r="H5520">
            <v>4.7300000000000004</v>
          </cell>
        </row>
        <row r="5521">
          <cell r="A5521" t="str">
            <v>1;08;N;P;</v>
          </cell>
          <cell r="B5521">
            <v>730069</v>
          </cell>
          <cell r="C5521" t="str">
            <v>N</v>
          </cell>
          <cell r="D5521" t="str">
            <v>NACIONAL</v>
          </cell>
          <cell r="E5521" t="str">
            <v>08</v>
          </cell>
          <cell r="F5521" t="str">
            <v/>
          </cell>
          <cell r="G5521" t="str">
            <v>P</v>
          </cell>
          <cell r="H5521">
            <v>3.68</v>
          </cell>
        </row>
        <row r="5522">
          <cell r="A5522" t="str">
            <v>1;10;N;B;BAG</v>
          </cell>
          <cell r="B5522">
            <v>730069</v>
          </cell>
          <cell r="C5522" t="str">
            <v>N</v>
          </cell>
          <cell r="D5522" t="str">
            <v>NACIONAL</v>
          </cell>
          <cell r="E5522" t="str">
            <v>10</v>
          </cell>
          <cell r="F5522" t="str">
            <v>BAG</v>
          </cell>
          <cell r="G5522" t="str">
            <v>B</v>
          </cell>
          <cell r="H5522">
            <v>1.67</v>
          </cell>
        </row>
        <row r="5523">
          <cell r="A5523" t="str">
            <v>1;10;N;B;DOCS</v>
          </cell>
          <cell r="B5523">
            <v>730069</v>
          </cell>
          <cell r="C5523" t="str">
            <v>N</v>
          </cell>
          <cell r="D5523" t="str">
            <v>NACIONAL</v>
          </cell>
          <cell r="E5523" t="str">
            <v>10</v>
          </cell>
          <cell r="F5523" t="str">
            <v>DOCS</v>
          </cell>
          <cell r="G5523" t="str">
            <v>B</v>
          </cell>
          <cell r="H5523">
            <v>1.67</v>
          </cell>
        </row>
        <row r="5524">
          <cell r="A5524" t="str">
            <v>1;11;N;B;BAG</v>
          </cell>
          <cell r="B5524">
            <v>730069</v>
          </cell>
          <cell r="C5524" t="str">
            <v>N</v>
          </cell>
          <cell r="D5524" t="str">
            <v>NACIONAL</v>
          </cell>
          <cell r="E5524" t="str">
            <v>11</v>
          </cell>
          <cell r="F5524" t="str">
            <v>BAG</v>
          </cell>
          <cell r="G5524" t="str">
            <v>B</v>
          </cell>
          <cell r="H5524">
            <v>30.25</v>
          </cell>
        </row>
        <row r="5525">
          <cell r="A5525" t="str">
            <v>1;11;N;B;DOCS</v>
          </cell>
          <cell r="B5525">
            <v>730069</v>
          </cell>
          <cell r="C5525" t="str">
            <v>N</v>
          </cell>
          <cell r="D5525" t="str">
            <v>NACIONAL</v>
          </cell>
          <cell r="E5525" t="str">
            <v>11</v>
          </cell>
          <cell r="F5525" t="str">
            <v>DOCS</v>
          </cell>
          <cell r="G5525" t="str">
            <v>B</v>
          </cell>
          <cell r="H5525">
            <v>25.18</v>
          </cell>
        </row>
        <row r="5526">
          <cell r="A5526" t="str">
            <v>1;11;N;B;PAQ00a02</v>
          </cell>
          <cell r="B5526">
            <v>730069</v>
          </cell>
          <cell r="C5526" t="str">
            <v>N</v>
          </cell>
          <cell r="D5526" t="str">
            <v>NACIONAL</v>
          </cell>
          <cell r="E5526" t="str">
            <v>11</v>
          </cell>
          <cell r="F5526" t="str">
            <v>PAQ00a02</v>
          </cell>
          <cell r="G5526" t="str">
            <v>B</v>
          </cell>
          <cell r="H5526">
            <v>34.880000000000003</v>
          </cell>
        </row>
        <row r="5527">
          <cell r="A5527" t="str">
            <v>1;11;N;B;PAQ02a05</v>
          </cell>
          <cell r="B5527">
            <v>730069</v>
          </cell>
          <cell r="C5527" t="str">
            <v>N</v>
          </cell>
          <cell r="D5527" t="str">
            <v>NACIONAL</v>
          </cell>
          <cell r="E5527" t="str">
            <v>11</v>
          </cell>
          <cell r="F5527" t="str">
            <v>PAQ02a05</v>
          </cell>
          <cell r="G5527" t="str">
            <v>B</v>
          </cell>
          <cell r="H5527">
            <v>34.880000000000003</v>
          </cell>
        </row>
        <row r="5528">
          <cell r="A5528" t="str">
            <v>1;11;N;B;PAQ05a10</v>
          </cell>
          <cell r="B5528">
            <v>730069</v>
          </cell>
          <cell r="C5528" t="str">
            <v>N</v>
          </cell>
          <cell r="D5528" t="str">
            <v>NACIONAL</v>
          </cell>
          <cell r="E5528" t="str">
            <v>11</v>
          </cell>
          <cell r="F5528" t="str">
            <v>PAQ05a10</v>
          </cell>
          <cell r="G5528" t="str">
            <v>B</v>
          </cell>
          <cell r="H5528">
            <v>52.48</v>
          </cell>
        </row>
        <row r="5529">
          <cell r="A5529" t="str">
            <v>1;11;N;B;PAQ10a15</v>
          </cell>
          <cell r="B5529">
            <v>730069</v>
          </cell>
          <cell r="C5529" t="str">
            <v>N</v>
          </cell>
          <cell r="D5529" t="str">
            <v>NACIONAL</v>
          </cell>
          <cell r="E5529" t="str">
            <v>11</v>
          </cell>
          <cell r="F5529" t="str">
            <v>PAQ10a15</v>
          </cell>
          <cell r="G5529" t="str">
            <v>B</v>
          </cell>
          <cell r="H5529">
            <v>72.099999999999994</v>
          </cell>
        </row>
        <row r="5530">
          <cell r="A5530" t="str">
            <v>1;11;N;B;PAQ15a20</v>
          </cell>
          <cell r="B5530">
            <v>730069</v>
          </cell>
          <cell r="C5530" t="str">
            <v>N</v>
          </cell>
          <cell r="D5530" t="str">
            <v>NACIONAL</v>
          </cell>
          <cell r="E5530" t="str">
            <v>11</v>
          </cell>
          <cell r="F5530" t="str">
            <v>PAQ15a20</v>
          </cell>
          <cell r="G5530" t="str">
            <v>B</v>
          </cell>
          <cell r="H5530">
            <v>91.73</v>
          </cell>
        </row>
        <row r="5531">
          <cell r="A5531" t="str">
            <v>1;11;N;B;PAQ20a25</v>
          </cell>
          <cell r="B5531">
            <v>730069</v>
          </cell>
          <cell r="C5531" t="str">
            <v>N</v>
          </cell>
          <cell r="D5531" t="str">
            <v>NACIONAL</v>
          </cell>
          <cell r="E5531" t="str">
            <v>11</v>
          </cell>
          <cell r="F5531" t="str">
            <v>PAQ20a25</v>
          </cell>
          <cell r="G5531" t="str">
            <v>B</v>
          </cell>
          <cell r="H5531">
            <v>111.36</v>
          </cell>
        </row>
        <row r="5532">
          <cell r="A5532" t="str">
            <v>1;11;N;B;PAQ25a30</v>
          </cell>
          <cell r="B5532">
            <v>730069</v>
          </cell>
          <cell r="C5532" t="str">
            <v>N</v>
          </cell>
          <cell r="D5532" t="str">
            <v>NACIONAL</v>
          </cell>
          <cell r="E5532" t="str">
            <v>11</v>
          </cell>
          <cell r="F5532" t="str">
            <v>PAQ25a30</v>
          </cell>
          <cell r="G5532" t="str">
            <v>B</v>
          </cell>
          <cell r="H5532">
            <v>130.99</v>
          </cell>
        </row>
        <row r="5533">
          <cell r="A5533" t="str">
            <v>1;11;N;B;PAQ30a35</v>
          </cell>
          <cell r="B5533">
            <v>730069</v>
          </cell>
          <cell r="C5533" t="str">
            <v>N</v>
          </cell>
          <cell r="D5533" t="str">
            <v>NACIONAL</v>
          </cell>
          <cell r="E5533" t="str">
            <v>11</v>
          </cell>
          <cell r="F5533" t="str">
            <v>PAQ30a35</v>
          </cell>
          <cell r="G5533" t="str">
            <v>B</v>
          </cell>
          <cell r="H5533">
            <v>150.62</v>
          </cell>
        </row>
        <row r="5534">
          <cell r="A5534" t="str">
            <v>1;11;N;B;PAQ35a40</v>
          </cell>
          <cell r="B5534">
            <v>730069</v>
          </cell>
          <cell r="C5534" t="str">
            <v>N</v>
          </cell>
          <cell r="D5534" t="str">
            <v>NACIONAL</v>
          </cell>
          <cell r="E5534" t="str">
            <v>11</v>
          </cell>
          <cell r="F5534" t="str">
            <v>PAQ35a40</v>
          </cell>
          <cell r="G5534" t="str">
            <v>B</v>
          </cell>
          <cell r="H5534">
            <v>170.25</v>
          </cell>
        </row>
        <row r="5535">
          <cell r="A5535" t="str">
            <v>1;11;N;F;</v>
          </cell>
          <cell r="B5535">
            <v>730069</v>
          </cell>
          <cell r="C5535" t="str">
            <v>N</v>
          </cell>
          <cell r="D5535" t="str">
            <v>NACIONAL</v>
          </cell>
          <cell r="E5535" t="str">
            <v>11</v>
          </cell>
          <cell r="F5535" t="str">
            <v/>
          </cell>
          <cell r="G5535" t="str">
            <v>F</v>
          </cell>
          <cell r="H5535">
            <v>19.62</v>
          </cell>
        </row>
        <row r="5536">
          <cell r="A5536" t="str">
            <v>1;11;N;E;</v>
          </cell>
          <cell r="B5536">
            <v>730069</v>
          </cell>
          <cell r="C5536" t="str">
            <v>N</v>
          </cell>
          <cell r="D5536" t="str">
            <v>NACIONAL</v>
          </cell>
          <cell r="E5536" t="str">
            <v>11</v>
          </cell>
          <cell r="F5536" t="str">
            <v/>
          </cell>
          <cell r="G5536" t="str">
            <v>E</v>
          </cell>
          <cell r="H5536">
            <v>23.64</v>
          </cell>
        </row>
        <row r="5537">
          <cell r="A5537" t="str">
            <v>1;11;N;P;</v>
          </cell>
          <cell r="B5537">
            <v>730069</v>
          </cell>
          <cell r="C5537" t="str">
            <v>N</v>
          </cell>
          <cell r="D5537" t="str">
            <v>NACIONAL</v>
          </cell>
          <cell r="E5537" t="str">
            <v>11</v>
          </cell>
          <cell r="F5537" t="str">
            <v/>
          </cell>
          <cell r="G5537" t="str">
            <v>P</v>
          </cell>
          <cell r="H5537">
            <v>23.64</v>
          </cell>
        </row>
        <row r="5538">
          <cell r="A5538" t="str">
            <v>1;13;N;B;PAQ00a02</v>
          </cell>
          <cell r="B5538">
            <v>730069</v>
          </cell>
          <cell r="C5538" t="str">
            <v>N</v>
          </cell>
          <cell r="D5538" t="str">
            <v>NACIONAL</v>
          </cell>
          <cell r="E5538" t="str">
            <v>13</v>
          </cell>
          <cell r="F5538" t="str">
            <v>PAQ00a02</v>
          </cell>
          <cell r="G5538" t="str">
            <v>B</v>
          </cell>
          <cell r="H5538">
            <v>0</v>
          </cell>
        </row>
        <row r="5539">
          <cell r="A5539" t="str">
            <v>1;13;N;B;PAQ02a05</v>
          </cell>
          <cell r="B5539">
            <v>730069</v>
          </cell>
          <cell r="C5539" t="str">
            <v>N</v>
          </cell>
          <cell r="D5539" t="str">
            <v>NACIONAL</v>
          </cell>
          <cell r="E5539" t="str">
            <v>13</v>
          </cell>
          <cell r="F5539" t="str">
            <v>PAQ02a05</v>
          </cell>
          <cell r="G5539" t="str">
            <v>B</v>
          </cell>
          <cell r="H5539">
            <v>0</v>
          </cell>
        </row>
        <row r="5540">
          <cell r="A5540" t="str">
            <v>1;13;N;B;PAQ05a10</v>
          </cell>
          <cell r="B5540">
            <v>730069</v>
          </cell>
          <cell r="C5540" t="str">
            <v>N</v>
          </cell>
          <cell r="D5540" t="str">
            <v>NACIONAL</v>
          </cell>
          <cell r="E5540" t="str">
            <v>13</v>
          </cell>
          <cell r="F5540" t="str">
            <v>PAQ05a10</v>
          </cell>
          <cell r="G5540" t="str">
            <v>B</v>
          </cell>
          <cell r="H5540">
            <v>0</v>
          </cell>
        </row>
        <row r="5541">
          <cell r="A5541" t="str">
            <v>1;13;N;B;PAQ10a15</v>
          </cell>
          <cell r="B5541">
            <v>730069</v>
          </cell>
          <cell r="C5541" t="str">
            <v>N</v>
          </cell>
          <cell r="D5541" t="str">
            <v>NACIONAL</v>
          </cell>
          <cell r="E5541" t="str">
            <v>13</v>
          </cell>
          <cell r="F5541" t="str">
            <v>PAQ10a15</v>
          </cell>
          <cell r="G5541" t="str">
            <v>B</v>
          </cell>
          <cell r="H5541">
            <v>0</v>
          </cell>
        </row>
        <row r="5542">
          <cell r="A5542" t="str">
            <v>1;13;N;B;PAQ15a20</v>
          </cell>
          <cell r="B5542">
            <v>730069</v>
          </cell>
          <cell r="C5542" t="str">
            <v>N</v>
          </cell>
          <cell r="D5542" t="str">
            <v>NACIONAL</v>
          </cell>
          <cell r="E5542" t="str">
            <v>13</v>
          </cell>
          <cell r="F5542" t="str">
            <v>PAQ15a20</v>
          </cell>
          <cell r="G5542" t="str">
            <v>B</v>
          </cell>
          <cell r="H5542">
            <v>0</v>
          </cell>
        </row>
        <row r="5543">
          <cell r="A5543" t="str">
            <v>1;13;N;B;PAQ20a25</v>
          </cell>
          <cell r="B5543">
            <v>730069</v>
          </cell>
          <cell r="C5543" t="str">
            <v>N</v>
          </cell>
          <cell r="D5543" t="str">
            <v>NACIONAL</v>
          </cell>
          <cell r="E5543" t="str">
            <v>13</v>
          </cell>
          <cell r="F5543" t="str">
            <v>PAQ20a25</v>
          </cell>
          <cell r="G5543" t="str">
            <v>B</v>
          </cell>
          <cell r="H5543">
            <v>0</v>
          </cell>
        </row>
        <row r="5544">
          <cell r="A5544" t="str">
            <v>1;13;N;B;PAQ25a30</v>
          </cell>
          <cell r="B5544">
            <v>730069</v>
          </cell>
          <cell r="C5544" t="str">
            <v>N</v>
          </cell>
          <cell r="D5544" t="str">
            <v>NACIONAL</v>
          </cell>
          <cell r="E5544" t="str">
            <v>13</v>
          </cell>
          <cell r="F5544" t="str">
            <v>PAQ25a30</v>
          </cell>
          <cell r="G5544" t="str">
            <v>B</v>
          </cell>
          <cell r="H5544">
            <v>0</v>
          </cell>
        </row>
        <row r="5545">
          <cell r="A5545" t="str">
            <v>1;13;N;B;PAQ30a35</v>
          </cell>
          <cell r="B5545">
            <v>730069</v>
          </cell>
          <cell r="C5545" t="str">
            <v>N</v>
          </cell>
          <cell r="D5545" t="str">
            <v>NACIONAL</v>
          </cell>
          <cell r="E5545" t="str">
            <v>13</v>
          </cell>
          <cell r="F5545" t="str">
            <v>PAQ30a35</v>
          </cell>
          <cell r="G5545" t="str">
            <v>B</v>
          </cell>
          <cell r="H5545">
            <v>0</v>
          </cell>
        </row>
        <row r="5546">
          <cell r="A5546" t="str">
            <v>1;13;N;B;PAQ35a40</v>
          </cell>
          <cell r="B5546">
            <v>730069</v>
          </cell>
          <cell r="C5546" t="str">
            <v>N</v>
          </cell>
          <cell r="D5546" t="str">
            <v>NACIONAL</v>
          </cell>
          <cell r="E5546" t="str">
            <v>13</v>
          </cell>
          <cell r="F5546" t="str">
            <v>PAQ35a40</v>
          </cell>
          <cell r="G5546" t="str">
            <v>B</v>
          </cell>
          <cell r="H5546">
            <v>0</v>
          </cell>
        </row>
        <row r="5547">
          <cell r="A5547" t="str">
            <v>1;13;N;F;</v>
          </cell>
          <cell r="B5547">
            <v>730069</v>
          </cell>
          <cell r="C5547" t="str">
            <v>N</v>
          </cell>
          <cell r="D5547" t="str">
            <v>NACIONAL</v>
          </cell>
          <cell r="E5547" t="str">
            <v>13</v>
          </cell>
          <cell r="F5547" t="str">
            <v/>
          </cell>
          <cell r="G5547" t="str">
            <v>F</v>
          </cell>
          <cell r="H5547">
            <v>0</v>
          </cell>
        </row>
        <row r="5548">
          <cell r="A5548" t="str">
            <v>1;13;N;E;</v>
          </cell>
          <cell r="B5548">
            <v>730069</v>
          </cell>
          <cell r="C5548" t="str">
            <v>N</v>
          </cell>
          <cell r="D5548" t="str">
            <v>NACIONAL</v>
          </cell>
          <cell r="E5548" t="str">
            <v>13</v>
          </cell>
          <cell r="F5548" t="str">
            <v/>
          </cell>
          <cell r="G5548" t="str">
            <v>E</v>
          </cell>
          <cell r="H5548">
            <v>0</v>
          </cell>
        </row>
        <row r="5549">
          <cell r="A5549" t="str">
            <v>1;13;N;P;</v>
          </cell>
          <cell r="B5549">
            <v>730069</v>
          </cell>
          <cell r="C5549" t="str">
            <v>N</v>
          </cell>
          <cell r="D5549" t="str">
            <v>NACIONAL</v>
          </cell>
          <cell r="E5549" t="str">
            <v>13</v>
          </cell>
          <cell r="F5549" t="str">
            <v/>
          </cell>
          <cell r="G5549" t="str">
            <v>P</v>
          </cell>
          <cell r="H5549">
            <v>0</v>
          </cell>
        </row>
        <row r="5550">
          <cell r="A5550" t="str">
            <v>1;14;N;B;BAG</v>
          </cell>
          <cell r="B5550">
            <v>730069</v>
          </cell>
          <cell r="C5550" t="str">
            <v>N</v>
          </cell>
          <cell r="D5550" t="str">
            <v>NACIONAL</v>
          </cell>
          <cell r="E5550" t="str">
            <v>14</v>
          </cell>
          <cell r="F5550" t="str">
            <v>BAG</v>
          </cell>
          <cell r="G5550" t="str">
            <v>B</v>
          </cell>
          <cell r="H5550">
            <v>1.75</v>
          </cell>
        </row>
        <row r="5551">
          <cell r="A5551" t="str">
            <v>1;15;N;B;BAG</v>
          </cell>
          <cell r="B5551">
            <v>730069</v>
          </cell>
          <cell r="C5551" t="str">
            <v>N</v>
          </cell>
          <cell r="D5551" t="str">
            <v>NACIONAL</v>
          </cell>
          <cell r="E5551" t="str">
            <v>15</v>
          </cell>
          <cell r="F5551" t="str">
            <v>BAG</v>
          </cell>
          <cell r="G5551" t="str">
            <v>B</v>
          </cell>
          <cell r="H5551">
            <v>1.75</v>
          </cell>
        </row>
        <row r="5552">
          <cell r="A5552" t="str">
            <v>1;17;N;B;PAQ00a02</v>
          </cell>
          <cell r="B5552">
            <v>730069</v>
          </cell>
          <cell r="C5552" t="str">
            <v>N</v>
          </cell>
          <cell r="D5552" t="str">
            <v>NACIONAL</v>
          </cell>
          <cell r="E5552" t="str">
            <v>17</v>
          </cell>
          <cell r="F5552" t="str">
            <v>PAQ00a02</v>
          </cell>
          <cell r="G5552" t="str">
            <v>B</v>
          </cell>
          <cell r="H5552">
            <v>2.68</v>
          </cell>
        </row>
        <row r="5553">
          <cell r="A5553" t="str">
            <v>1;17;N;B;PAQ02a05</v>
          </cell>
          <cell r="B5553">
            <v>730069</v>
          </cell>
          <cell r="C5553" t="str">
            <v>N</v>
          </cell>
          <cell r="D5553" t="str">
            <v>NACIONAL</v>
          </cell>
          <cell r="E5553" t="str">
            <v>17</v>
          </cell>
          <cell r="F5553" t="str">
            <v>PAQ02a05</v>
          </cell>
          <cell r="G5553" t="str">
            <v>B</v>
          </cell>
          <cell r="H5553">
            <v>5.18</v>
          </cell>
        </row>
        <row r="5554">
          <cell r="A5554" t="str">
            <v>1;17;N;B;PAQ05a10</v>
          </cell>
          <cell r="B5554">
            <v>730069</v>
          </cell>
          <cell r="C5554" t="str">
            <v>N</v>
          </cell>
          <cell r="D5554" t="str">
            <v>NACIONAL</v>
          </cell>
          <cell r="E5554" t="str">
            <v>17</v>
          </cell>
          <cell r="F5554" t="str">
            <v>PAQ05a10</v>
          </cell>
          <cell r="G5554" t="str">
            <v>B</v>
          </cell>
          <cell r="H5554">
            <v>7.69</v>
          </cell>
        </row>
        <row r="5555">
          <cell r="A5555" t="str">
            <v>1;17;N;B;PAQ10a15</v>
          </cell>
          <cell r="B5555">
            <v>730069</v>
          </cell>
          <cell r="C5555" t="str">
            <v>N</v>
          </cell>
          <cell r="D5555" t="str">
            <v>NACIONAL</v>
          </cell>
          <cell r="E5555" t="str">
            <v>17</v>
          </cell>
          <cell r="F5555" t="str">
            <v>PAQ10a15</v>
          </cell>
          <cell r="G5555" t="str">
            <v>B</v>
          </cell>
          <cell r="H5555">
            <v>8.94</v>
          </cell>
        </row>
        <row r="5556">
          <cell r="A5556" t="str">
            <v>1;17;N;B;PAQ15a20</v>
          </cell>
          <cell r="B5556">
            <v>730069</v>
          </cell>
          <cell r="C5556" t="str">
            <v>N</v>
          </cell>
          <cell r="D5556" t="str">
            <v>NACIONAL</v>
          </cell>
          <cell r="E5556" t="str">
            <v>17</v>
          </cell>
          <cell r="F5556" t="str">
            <v>PAQ15a20</v>
          </cell>
          <cell r="G5556" t="str">
            <v>B</v>
          </cell>
          <cell r="H5556">
            <v>10.17</v>
          </cell>
        </row>
        <row r="5557">
          <cell r="A5557" t="str">
            <v>1;17;N;B;PAQ20a25</v>
          </cell>
          <cell r="B5557">
            <v>730069</v>
          </cell>
          <cell r="C5557" t="str">
            <v>N</v>
          </cell>
          <cell r="D5557" t="str">
            <v>NACIONAL</v>
          </cell>
          <cell r="E5557" t="str">
            <v>17</v>
          </cell>
          <cell r="F5557" t="str">
            <v>PAQ20a25</v>
          </cell>
          <cell r="G5557" t="str">
            <v>B</v>
          </cell>
          <cell r="H5557">
            <v>15.3</v>
          </cell>
        </row>
        <row r="5558">
          <cell r="A5558" t="str">
            <v>1;17;N;B;PAQ25a30</v>
          </cell>
          <cell r="B5558">
            <v>730069</v>
          </cell>
          <cell r="C5558" t="str">
            <v>N</v>
          </cell>
          <cell r="D5558" t="str">
            <v>NACIONAL</v>
          </cell>
          <cell r="E5558" t="str">
            <v>17</v>
          </cell>
          <cell r="F5558" t="str">
            <v>PAQ25a30</v>
          </cell>
          <cell r="G5558" t="str">
            <v>B</v>
          </cell>
          <cell r="H5558">
            <v>20.43</v>
          </cell>
        </row>
        <row r="5559">
          <cell r="A5559" t="str">
            <v>1;17;N;B;PAQ30a35</v>
          </cell>
          <cell r="B5559">
            <v>730069</v>
          </cell>
          <cell r="C5559" t="str">
            <v>N</v>
          </cell>
          <cell r="D5559" t="str">
            <v>NACIONAL</v>
          </cell>
          <cell r="E5559" t="str">
            <v>17</v>
          </cell>
          <cell r="F5559" t="str">
            <v>PAQ30a35</v>
          </cell>
          <cell r="G5559" t="str">
            <v>B</v>
          </cell>
          <cell r="H5559">
            <v>25.56</v>
          </cell>
        </row>
        <row r="5560">
          <cell r="A5560" t="str">
            <v>1;17;N;F;</v>
          </cell>
          <cell r="B5560">
            <v>730069</v>
          </cell>
          <cell r="C5560" t="str">
            <v>N</v>
          </cell>
          <cell r="D5560" t="str">
            <v>NACIONAL</v>
          </cell>
          <cell r="E5560" t="str">
            <v>17</v>
          </cell>
          <cell r="F5560" t="str">
            <v/>
          </cell>
          <cell r="G5560" t="str">
            <v>F</v>
          </cell>
          <cell r="H5560">
            <v>5.12</v>
          </cell>
        </row>
        <row r="5561">
          <cell r="A5561" t="str">
            <v>1;17;N;B;PAQ35a40</v>
          </cell>
          <cell r="B5561">
            <v>730069</v>
          </cell>
          <cell r="C5561" t="str">
            <v>N</v>
          </cell>
          <cell r="D5561" t="str">
            <v>NACIONAL</v>
          </cell>
          <cell r="E5561" t="str">
            <v>17</v>
          </cell>
          <cell r="F5561" t="str">
            <v>PAQ35a40</v>
          </cell>
          <cell r="G5561" t="str">
            <v>B</v>
          </cell>
          <cell r="H5561">
            <v>30.68</v>
          </cell>
        </row>
        <row r="5562">
          <cell r="A5562" t="str">
            <v>1;17;N;P;</v>
          </cell>
          <cell r="B5562">
            <v>730069</v>
          </cell>
          <cell r="C5562" t="str">
            <v>N</v>
          </cell>
          <cell r="D5562" t="str">
            <v>NACIONAL</v>
          </cell>
          <cell r="E5562" t="str">
            <v>17</v>
          </cell>
          <cell r="F5562" t="str">
            <v/>
          </cell>
          <cell r="G5562" t="str">
            <v>P</v>
          </cell>
          <cell r="H5562">
            <v>0</v>
          </cell>
        </row>
        <row r="5563">
          <cell r="A5563" t="str">
            <v>1;17;N;E;</v>
          </cell>
          <cell r="B5563">
            <v>730069</v>
          </cell>
          <cell r="C5563" t="str">
            <v>N</v>
          </cell>
          <cell r="D5563" t="str">
            <v>NACIONAL</v>
          </cell>
          <cell r="E5563" t="str">
            <v>17</v>
          </cell>
          <cell r="F5563" t="str">
            <v/>
          </cell>
          <cell r="G5563" t="str">
            <v>E</v>
          </cell>
          <cell r="H5563">
            <v>5.12</v>
          </cell>
        </row>
        <row r="5564">
          <cell r="A5564" t="str">
            <v>1;18;N;B;BAG</v>
          </cell>
          <cell r="B5564">
            <v>730069</v>
          </cell>
          <cell r="C5564" t="str">
            <v>N</v>
          </cell>
          <cell r="D5564" t="str">
            <v>NACIONAL</v>
          </cell>
          <cell r="E5564" t="str">
            <v>18</v>
          </cell>
          <cell r="F5564" t="str">
            <v>BAG</v>
          </cell>
          <cell r="G5564" t="str">
            <v>B</v>
          </cell>
          <cell r="H5564">
            <v>2.42</v>
          </cell>
        </row>
        <row r="5565">
          <cell r="A5565" t="str">
            <v>1;18;N;B;PAQ00a02</v>
          </cell>
          <cell r="B5565">
            <v>730069</v>
          </cell>
          <cell r="C5565" t="str">
            <v>N</v>
          </cell>
          <cell r="D5565" t="str">
            <v>NACIONAL</v>
          </cell>
          <cell r="E5565" t="str">
            <v>18</v>
          </cell>
          <cell r="F5565" t="str">
            <v>PAQ00a02</v>
          </cell>
          <cell r="G5565" t="str">
            <v>B</v>
          </cell>
          <cell r="H5565">
            <v>2.42</v>
          </cell>
        </row>
        <row r="5566">
          <cell r="A5566" t="str">
            <v>1;18;N;B;PAQ02a05</v>
          </cell>
          <cell r="B5566">
            <v>730069</v>
          </cell>
          <cell r="C5566" t="str">
            <v>N</v>
          </cell>
          <cell r="D5566" t="str">
            <v>NACIONAL</v>
          </cell>
          <cell r="E5566" t="str">
            <v>18</v>
          </cell>
          <cell r="F5566" t="str">
            <v>PAQ02a05</v>
          </cell>
          <cell r="G5566" t="str">
            <v>B</v>
          </cell>
          <cell r="H5566">
            <v>4.67</v>
          </cell>
        </row>
        <row r="5567">
          <cell r="A5567" t="str">
            <v>1;18;N;B;PAQ05a10</v>
          </cell>
          <cell r="B5567">
            <v>730069</v>
          </cell>
          <cell r="C5567" t="str">
            <v>N</v>
          </cell>
          <cell r="D5567" t="str">
            <v>NACIONAL</v>
          </cell>
          <cell r="E5567" t="str">
            <v>18</v>
          </cell>
          <cell r="F5567" t="str">
            <v>PAQ05a10</v>
          </cell>
          <cell r="G5567" t="str">
            <v>B</v>
          </cell>
          <cell r="H5567">
            <v>5.88</v>
          </cell>
        </row>
        <row r="5568">
          <cell r="A5568" t="str">
            <v>1;18;N;B;PAQ10a15</v>
          </cell>
          <cell r="B5568">
            <v>730069</v>
          </cell>
          <cell r="C5568" t="str">
            <v>N</v>
          </cell>
          <cell r="D5568" t="str">
            <v>NACIONAL</v>
          </cell>
          <cell r="E5568" t="str">
            <v>18</v>
          </cell>
          <cell r="F5568" t="str">
            <v>PAQ10a15</v>
          </cell>
          <cell r="G5568" t="str">
            <v>B</v>
          </cell>
          <cell r="H5568">
            <v>7.01</v>
          </cell>
        </row>
        <row r="5569">
          <cell r="A5569" t="str">
            <v>1;18;N;B;PAQ15a20</v>
          </cell>
          <cell r="B5569">
            <v>730069</v>
          </cell>
          <cell r="C5569" t="str">
            <v>N</v>
          </cell>
          <cell r="D5569" t="str">
            <v>NACIONAL</v>
          </cell>
          <cell r="E5569" t="str">
            <v>18</v>
          </cell>
          <cell r="F5569" t="str">
            <v>PAQ15a20</v>
          </cell>
          <cell r="G5569" t="str">
            <v>B</v>
          </cell>
          <cell r="H5569">
            <v>8.1300000000000008</v>
          </cell>
        </row>
        <row r="5570">
          <cell r="A5570" t="str">
            <v>1;21;N;B;BAG</v>
          </cell>
          <cell r="B5570">
            <v>730069</v>
          </cell>
          <cell r="C5570" t="str">
            <v>N</v>
          </cell>
          <cell r="D5570" t="str">
            <v>NACIONAL</v>
          </cell>
          <cell r="E5570" t="str">
            <v>21</v>
          </cell>
          <cell r="F5570" t="str">
            <v>BAG</v>
          </cell>
          <cell r="G5570" t="str">
            <v>B</v>
          </cell>
          <cell r="H5570">
            <v>21.26</v>
          </cell>
        </row>
        <row r="5571">
          <cell r="A5571" t="str">
            <v>1;21;N;B;DOCS</v>
          </cell>
          <cell r="B5571">
            <v>730069</v>
          </cell>
          <cell r="C5571" t="str">
            <v>N</v>
          </cell>
          <cell r="D5571" t="str">
            <v>NACIONAL</v>
          </cell>
          <cell r="E5571" t="str">
            <v>21</v>
          </cell>
          <cell r="F5571" t="str">
            <v>DOCS</v>
          </cell>
          <cell r="G5571" t="str">
            <v>B</v>
          </cell>
          <cell r="H5571">
            <v>21.26</v>
          </cell>
        </row>
        <row r="5572">
          <cell r="A5572" t="str">
            <v>1;21;N;B;PAQ00a02</v>
          </cell>
          <cell r="B5572">
            <v>730069</v>
          </cell>
          <cell r="C5572" t="str">
            <v>N</v>
          </cell>
          <cell r="D5572" t="str">
            <v>NACIONAL</v>
          </cell>
          <cell r="E5572" t="str">
            <v>21</v>
          </cell>
          <cell r="F5572" t="str">
            <v>PAQ00a02</v>
          </cell>
          <cell r="G5572" t="str">
            <v>B</v>
          </cell>
          <cell r="H5572">
            <v>23.93</v>
          </cell>
        </row>
        <row r="5573">
          <cell r="A5573" t="str">
            <v>1;21;N;B;PAQ02a05</v>
          </cell>
          <cell r="B5573">
            <v>730069</v>
          </cell>
          <cell r="C5573" t="str">
            <v>N</v>
          </cell>
          <cell r="D5573" t="str">
            <v>NACIONAL</v>
          </cell>
          <cell r="E5573" t="str">
            <v>21</v>
          </cell>
          <cell r="F5573" t="str">
            <v>PAQ02a05</v>
          </cell>
          <cell r="G5573" t="str">
            <v>B</v>
          </cell>
          <cell r="H5573">
            <v>23.93</v>
          </cell>
        </row>
        <row r="5574">
          <cell r="A5574" t="str">
            <v>1;21;N;B;PAQ05a10</v>
          </cell>
          <cell r="B5574">
            <v>730069</v>
          </cell>
          <cell r="C5574" t="str">
            <v>N</v>
          </cell>
          <cell r="D5574" t="str">
            <v>NACIONAL</v>
          </cell>
          <cell r="E5574" t="str">
            <v>21</v>
          </cell>
          <cell r="F5574" t="str">
            <v>PAQ05a10</v>
          </cell>
          <cell r="G5574" t="str">
            <v>B</v>
          </cell>
          <cell r="H5574">
            <v>32.18</v>
          </cell>
        </row>
        <row r="5575">
          <cell r="A5575" t="str">
            <v>1;21;N;B;PAQ10a15</v>
          </cell>
          <cell r="B5575">
            <v>730069</v>
          </cell>
          <cell r="C5575" t="str">
            <v>N</v>
          </cell>
          <cell r="D5575" t="str">
            <v>NACIONAL</v>
          </cell>
          <cell r="E5575" t="str">
            <v>21</v>
          </cell>
          <cell r="F5575" t="str">
            <v>PAQ10a15</v>
          </cell>
          <cell r="G5575" t="str">
            <v>B</v>
          </cell>
          <cell r="H5575">
            <v>40.340000000000003</v>
          </cell>
        </row>
        <row r="5576">
          <cell r="A5576" t="str">
            <v>1;21;N;B;PAQ15a20</v>
          </cell>
          <cell r="B5576">
            <v>730069</v>
          </cell>
          <cell r="C5576" t="str">
            <v>N</v>
          </cell>
          <cell r="D5576" t="str">
            <v>NACIONAL</v>
          </cell>
          <cell r="E5576" t="str">
            <v>21</v>
          </cell>
          <cell r="F5576" t="str">
            <v>PAQ15a20</v>
          </cell>
          <cell r="G5576" t="str">
            <v>B</v>
          </cell>
          <cell r="H5576">
            <v>48.5</v>
          </cell>
        </row>
        <row r="5577">
          <cell r="A5577" t="str">
            <v>1;21;N;B;PAQ20a25</v>
          </cell>
          <cell r="B5577">
            <v>730069</v>
          </cell>
          <cell r="C5577" t="str">
            <v>N</v>
          </cell>
          <cell r="D5577" t="str">
            <v>NACIONAL</v>
          </cell>
          <cell r="E5577" t="str">
            <v>21</v>
          </cell>
          <cell r="F5577" t="str">
            <v>PAQ20a25</v>
          </cell>
          <cell r="G5577" t="str">
            <v>B</v>
          </cell>
          <cell r="H5577">
            <v>56.65</v>
          </cell>
        </row>
        <row r="5578">
          <cell r="A5578" t="str">
            <v>1;21;N;B;PAQ25a30</v>
          </cell>
          <cell r="B5578">
            <v>730069</v>
          </cell>
          <cell r="C5578" t="str">
            <v>N</v>
          </cell>
          <cell r="D5578" t="str">
            <v>NACIONAL</v>
          </cell>
          <cell r="E5578" t="str">
            <v>21</v>
          </cell>
          <cell r="F5578" t="str">
            <v>PAQ25a30</v>
          </cell>
          <cell r="G5578" t="str">
            <v>B</v>
          </cell>
          <cell r="H5578">
            <v>64.81</v>
          </cell>
        </row>
        <row r="5579">
          <cell r="A5579" t="str">
            <v>1;21;N;B;PAQ30a35</v>
          </cell>
          <cell r="B5579">
            <v>730069</v>
          </cell>
          <cell r="C5579" t="str">
            <v>N</v>
          </cell>
          <cell r="D5579" t="str">
            <v>NACIONAL</v>
          </cell>
          <cell r="E5579" t="str">
            <v>21</v>
          </cell>
          <cell r="F5579" t="str">
            <v>PAQ30a35</v>
          </cell>
          <cell r="G5579" t="str">
            <v>B</v>
          </cell>
          <cell r="H5579">
            <v>72.95</v>
          </cell>
        </row>
        <row r="5580">
          <cell r="A5580" t="str">
            <v>1;21;N;F;</v>
          </cell>
          <cell r="B5580">
            <v>730069</v>
          </cell>
          <cell r="C5580" t="str">
            <v>N</v>
          </cell>
          <cell r="D5580" t="str">
            <v>NACIONAL</v>
          </cell>
          <cell r="E5580" t="str">
            <v>21</v>
          </cell>
          <cell r="F5580" t="str">
            <v/>
          </cell>
          <cell r="G5580" t="str">
            <v>F</v>
          </cell>
          <cell r="H5580">
            <v>8.16</v>
          </cell>
        </row>
        <row r="5581">
          <cell r="A5581" t="str">
            <v>1;21;N;B;PAQ35a40</v>
          </cell>
          <cell r="B5581">
            <v>730069</v>
          </cell>
          <cell r="C5581" t="str">
            <v>N</v>
          </cell>
          <cell r="D5581" t="str">
            <v>NACIONAL</v>
          </cell>
          <cell r="E5581" t="str">
            <v>21</v>
          </cell>
          <cell r="F5581" t="str">
            <v>PAQ35a40</v>
          </cell>
          <cell r="G5581" t="str">
            <v>B</v>
          </cell>
          <cell r="H5581">
            <v>81.11</v>
          </cell>
        </row>
        <row r="5582">
          <cell r="A5582" t="str">
            <v>1;21;N;P;</v>
          </cell>
          <cell r="B5582">
            <v>730069</v>
          </cell>
          <cell r="C5582" t="str">
            <v>N</v>
          </cell>
          <cell r="D5582" t="str">
            <v>NACIONAL</v>
          </cell>
          <cell r="E5582" t="str">
            <v>21</v>
          </cell>
          <cell r="F5582" t="str">
            <v/>
          </cell>
          <cell r="G5582" t="str">
            <v>P</v>
          </cell>
          <cell r="H5582">
            <v>16.66</v>
          </cell>
        </row>
        <row r="5583">
          <cell r="A5583" t="str">
            <v>1;21;N;E;</v>
          </cell>
          <cell r="B5583">
            <v>730069</v>
          </cell>
          <cell r="C5583" t="str">
            <v>N</v>
          </cell>
          <cell r="D5583" t="str">
            <v>NACIONAL</v>
          </cell>
          <cell r="E5583" t="str">
            <v>21</v>
          </cell>
          <cell r="F5583" t="str">
            <v/>
          </cell>
          <cell r="G5583" t="str">
            <v>E</v>
          </cell>
          <cell r="H5583">
            <v>16.66</v>
          </cell>
        </row>
        <row r="5584">
          <cell r="A5584" t="str">
            <v>1;25;N;B;BICI</v>
          </cell>
          <cell r="B5584">
            <v>730069</v>
          </cell>
          <cell r="C5584" t="str">
            <v>N</v>
          </cell>
          <cell r="D5584" t="str">
            <v>NACIONAL</v>
          </cell>
          <cell r="E5584" t="str">
            <v>25</v>
          </cell>
          <cell r="F5584" t="str">
            <v>BICI</v>
          </cell>
          <cell r="G5584" t="str">
            <v>B</v>
          </cell>
          <cell r="H5584">
            <v>31.4</v>
          </cell>
        </row>
        <row r="5585">
          <cell r="A5585" t="str">
            <v>1;25;N;B;BIIV</v>
          </cell>
          <cell r="B5585">
            <v>730069</v>
          </cell>
          <cell r="C5585" t="str">
            <v>N</v>
          </cell>
          <cell r="D5585" t="str">
            <v>NACIONAL</v>
          </cell>
          <cell r="E5585" t="str">
            <v>25</v>
          </cell>
          <cell r="F5585" t="str">
            <v>BIIV</v>
          </cell>
          <cell r="G5585" t="str">
            <v>B</v>
          </cell>
          <cell r="H5585">
            <v>57.85</v>
          </cell>
        </row>
        <row r="5586">
          <cell r="A5586" t="str">
            <v>1;25;N;B;EQIV</v>
          </cell>
          <cell r="B5586">
            <v>730069</v>
          </cell>
          <cell r="C5586" t="str">
            <v>N</v>
          </cell>
          <cell r="D5586" t="str">
            <v>NACIONAL</v>
          </cell>
          <cell r="E5586" t="str">
            <v>25</v>
          </cell>
          <cell r="F5586" t="str">
            <v>EQIV</v>
          </cell>
          <cell r="G5586" t="str">
            <v>B</v>
          </cell>
          <cell r="H5586">
            <v>41.32</v>
          </cell>
        </row>
        <row r="5587">
          <cell r="A5587" t="str">
            <v>1;25;N;B;EQUI</v>
          </cell>
          <cell r="B5587">
            <v>730069</v>
          </cell>
          <cell r="C5587" t="str">
            <v>N</v>
          </cell>
          <cell r="D5587" t="str">
            <v>NACIONAL</v>
          </cell>
          <cell r="E5587" t="str">
            <v>25</v>
          </cell>
          <cell r="F5587" t="str">
            <v>EQUI</v>
          </cell>
          <cell r="G5587" t="str">
            <v>B</v>
          </cell>
          <cell r="H5587">
            <v>23.14</v>
          </cell>
        </row>
        <row r="5588">
          <cell r="A5588" t="str">
            <v>1;26;N;B;BAG</v>
          </cell>
          <cell r="B5588">
            <v>730069</v>
          </cell>
          <cell r="C5588" t="str">
            <v>N</v>
          </cell>
          <cell r="D5588" t="str">
            <v>NACIONAL</v>
          </cell>
          <cell r="E5588" t="str">
            <v>26</v>
          </cell>
          <cell r="F5588" t="str">
            <v>BAG</v>
          </cell>
          <cell r="G5588" t="str">
            <v>B</v>
          </cell>
          <cell r="H5588">
            <v>4.2</v>
          </cell>
        </row>
        <row r="5589">
          <cell r="A5589" t="str">
            <v>1;26;N;B;PAQ00a02</v>
          </cell>
          <cell r="B5589">
            <v>730069</v>
          </cell>
          <cell r="C5589" t="str">
            <v>N</v>
          </cell>
          <cell r="D5589" t="str">
            <v>NACIONAL</v>
          </cell>
          <cell r="E5589" t="str">
            <v>26</v>
          </cell>
          <cell r="F5589" t="str">
            <v>PAQ00a02</v>
          </cell>
          <cell r="G5589" t="str">
            <v>B</v>
          </cell>
          <cell r="H5589">
            <v>4.2</v>
          </cell>
        </row>
        <row r="5590">
          <cell r="A5590" t="str">
            <v>1;26;N;B;PAQ02a05</v>
          </cell>
          <cell r="B5590">
            <v>730069</v>
          </cell>
          <cell r="C5590" t="str">
            <v>N</v>
          </cell>
          <cell r="D5590" t="str">
            <v>NACIONAL</v>
          </cell>
          <cell r="E5590" t="str">
            <v>26</v>
          </cell>
          <cell r="F5590" t="str">
            <v>PAQ02a05</v>
          </cell>
          <cell r="G5590" t="str">
            <v>B</v>
          </cell>
          <cell r="H5590">
            <v>5.15</v>
          </cell>
        </row>
        <row r="5591">
          <cell r="A5591" t="str">
            <v>1;26;N;B;PAQ05a10</v>
          </cell>
          <cell r="B5591">
            <v>730069</v>
          </cell>
          <cell r="C5591" t="str">
            <v>N</v>
          </cell>
          <cell r="D5591" t="str">
            <v>NACIONAL</v>
          </cell>
          <cell r="E5591" t="str">
            <v>26</v>
          </cell>
          <cell r="F5591" t="str">
            <v>PAQ05a10</v>
          </cell>
          <cell r="G5591" t="str">
            <v>B</v>
          </cell>
          <cell r="H5591">
            <v>6.83</v>
          </cell>
        </row>
        <row r="5592">
          <cell r="A5592" t="str">
            <v>1;26;N;B;PAQ10a15</v>
          </cell>
          <cell r="B5592">
            <v>730069</v>
          </cell>
          <cell r="C5592" t="str">
            <v>N</v>
          </cell>
          <cell r="D5592" t="str">
            <v>NACIONAL</v>
          </cell>
          <cell r="E5592" t="str">
            <v>26</v>
          </cell>
          <cell r="F5592" t="str">
            <v>PAQ10a15</v>
          </cell>
          <cell r="G5592" t="str">
            <v>B</v>
          </cell>
          <cell r="H5592">
            <v>9.77</v>
          </cell>
        </row>
        <row r="5593">
          <cell r="A5593" t="str">
            <v>1;26;N;B;PAQ15a20</v>
          </cell>
          <cell r="B5593">
            <v>730069</v>
          </cell>
          <cell r="C5593" t="str">
            <v>N</v>
          </cell>
          <cell r="D5593" t="str">
            <v>NACIONAL</v>
          </cell>
          <cell r="E5593" t="str">
            <v>26</v>
          </cell>
          <cell r="F5593" t="str">
            <v>PAQ15a20</v>
          </cell>
          <cell r="G5593" t="str">
            <v>B</v>
          </cell>
          <cell r="H5593">
            <v>10.53</v>
          </cell>
        </row>
        <row r="5594">
          <cell r="A5594" t="str">
            <v>1;27;N;B;PAQ00a02</v>
          </cell>
          <cell r="B5594">
            <v>730069</v>
          </cell>
          <cell r="C5594" t="str">
            <v>N</v>
          </cell>
          <cell r="D5594" t="str">
            <v>NACIONAL</v>
          </cell>
          <cell r="E5594" t="str">
            <v>27</v>
          </cell>
          <cell r="F5594" t="str">
            <v>PAQ00a02</v>
          </cell>
          <cell r="G5594" t="str">
            <v>B</v>
          </cell>
          <cell r="H5594">
            <v>7.14</v>
          </cell>
        </row>
        <row r="5595">
          <cell r="A5595" t="str">
            <v>1;27;N;B;PAQ02a05</v>
          </cell>
          <cell r="B5595">
            <v>730069</v>
          </cell>
          <cell r="C5595" t="str">
            <v>N</v>
          </cell>
          <cell r="D5595" t="str">
            <v>NACIONAL</v>
          </cell>
          <cell r="E5595" t="str">
            <v>27</v>
          </cell>
          <cell r="F5595" t="str">
            <v>PAQ02a05</v>
          </cell>
          <cell r="G5595" t="str">
            <v>B</v>
          </cell>
          <cell r="H5595">
            <v>8.75</v>
          </cell>
        </row>
        <row r="5596">
          <cell r="A5596" t="str">
            <v>1;27;N;B;PAQ05a10</v>
          </cell>
          <cell r="B5596">
            <v>730069</v>
          </cell>
          <cell r="C5596" t="str">
            <v>N</v>
          </cell>
          <cell r="D5596" t="str">
            <v>NACIONAL</v>
          </cell>
          <cell r="E5596" t="str">
            <v>27</v>
          </cell>
          <cell r="F5596" t="str">
            <v>PAQ05a10</v>
          </cell>
          <cell r="G5596" t="str">
            <v>B</v>
          </cell>
          <cell r="H5596">
            <v>11.25</v>
          </cell>
        </row>
        <row r="5597">
          <cell r="A5597" t="str">
            <v>1;27;N;B;PAQ10a15</v>
          </cell>
          <cell r="B5597">
            <v>730069</v>
          </cell>
          <cell r="C5597" t="str">
            <v>N</v>
          </cell>
          <cell r="D5597" t="str">
            <v>NACIONAL</v>
          </cell>
          <cell r="E5597" t="str">
            <v>27</v>
          </cell>
          <cell r="F5597" t="str">
            <v>PAQ10a15</v>
          </cell>
          <cell r="G5597" t="str">
            <v>B</v>
          </cell>
          <cell r="H5597">
            <v>16.96</v>
          </cell>
        </row>
        <row r="5598">
          <cell r="A5598" t="str">
            <v>1;27;N;B;PAQ15a20</v>
          </cell>
          <cell r="B5598">
            <v>730069</v>
          </cell>
          <cell r="C5598" t="str">
            <v>N</v>
          </cell>
          <cell r="D5598" t="str">
            <v>NACIONAL</v>
          </cell>
          <cell r="E5598" t="str">
            <v>27</v>
          </cell>
          <cell r="F5598" t="str">
            <v>PAQ15a20</v>
          </cell>
          <cell r="G5598" t="str">
            <v>B</v>
          </cell>
          <cell r="H5598">
            <v>19.079999999999998</v>
          </cell>
        </row>
        <row r="5599">
          <cell r="A5599" t="str">
            <v>1;27;N;B;PAQ20a25</v>
          </cell>
          <cell r="B5599">
            <v>730069</v>
          </cell>
          <cell r="C5599" t="str">
            <v>N</v>
          </cell>
          <cell r="D5599" t="str">
            <v>NACIONAL</v>
          </cell>
          <cell r="E5599" t="str">
            <v>27</v>
          </cell>
          <cell r="F5599" t="str">
            <v>PAQ20a25</v>
          </cell>
          <cell r="G5599" t="str">
            <v>B</v>
          </cell>
          <cell r="H5599">
            <v>24.2</v>
          </cell>
        </row>
        <row r="5600">
          <cell r="A5600" t="str">
            <v>1;27;N;B;PAQ25a30</v>
          </cell>
          <cell r="B5600">
            <v>730069</v>
          </cell>
          <cell r="C5600" t="str">
            <v>N</v>
          </cell>
          <cell r="D5600" t="str">
            <v>NACIONAL</v>
          </cell>
          <cell r="E5600" t="str">
            <v>27</v>
          </cell>
          <cell r="F5600" t="str">
            <v>PAQ25a30</v>
          </cell>
          <cell r="G5600" t="str">
            <v>B</v>
          </cell>
          <cell r="H5600">
            <v>29.32</v>
          </cell>
        </row>
        <row r="5601">
          <cell r="A5601" t="str">
            <v>1;27;N;B;PAQ30a35</v>
          </cell>
          <cell r="B5601">
            <v>730069</v>
          </cell>
          <cell r="C5601" t="str">
            <v>N</v>
          </cell>
          <cell r="D5601" t="str">
            <v>NACIONAL</v>
          </cell>
          <cell r="E5601" t="str">
            <v>27</v>
          </cell>
          <cell r="F5601" t="str">
            <v>PAQ30a35</v>
          </cell>
          <cell r="G5601" t="str">
            <v>B</v>
          </cell>
          <cell r="H5601">
            <v>34.450000000000003</v>
          </cell>
        </row>
        <row r="5602">
          <cell r="A5602" t="str">
            <v>1;27;N;B;PAQ35a40</v>
          </cell>
          <cell r="B5602">
            <v>730069</v>
          </cell>
          <cell r="C5602" t="str">
            <v>N</v>
          </cell>
          <cell r="D5602" t="str">
            <v>NACIONAL</v>
          </cell>
          <cell r="E5602" t="str">
            <v>27</v>
          </cell>
          <cell r="F5602" t="str">
            <v>PAQ35a40</v>
          </cell>
          <cell r="G5602" t="str">
            <v>B</v>
          </cell>
          <cell r="H5602">
            <v>39.56</v>
          </cell>
        </row>
        <row r="5603">
          <cell r="A5603" t="str">
            <v>1;27;N;F;</v>
          </cell>
          <cell r="B5603">
            <v>730069</v>
          </cell>
          <cell r="C5603" t="str">
            <v>N</v>
          </cell>
          <cell r="D5603" t="str">
            <v>NACIONAL</v>
          </cell>
          <cell r="E5603" t="str">
            <v>27</v>
          </cell>
          <cell r="F5603" t="str">
            <v/>
          </cell>
          <cell r="G5603" t="str">
            <v>F</v>
          </cell>
          <cell r="H5603">
            <v>5.86</v>
          </cell>
        </row>
        <row r="5604">
          <cell r="A5604" t="str">
            <v>1;27;N;P;</v>
          </cell>
          <cell r="B5604">
            <v>730069</v>
          </cell>
          <cell r="C5604" t="str">
            <v>N</v>
          </cell>
          <cell r="D5604" t="str">
            <v>NACIONAL</v>
          </cell>
          <cell r="E5604" t="str">
            <v>27</v>
          </cell>
          <cell r="F5604" t="str">
            <v/>
          </cell>
          <cell r="G5604" t="str">
            <v>P</v>
          </cell>
          <cell r="H5604">
            <v>0</v>
          </cell>
        </row>
        <row r="5605">
          <cell r="A5605" t="str">
            <v>1;27;N;E;</v>
          </cell>
          <cell r="B5605">
            <v>730069</v>
          </cell>
          <cell r="C5605" t="str">
            <v>N</v>
          </cell>
          <cell r="D5605" t="str">
            <v>NACIONAL</v>
          </cell>
          <cell r="E5605" t="str">
            <v>27</v>
          </cell>
          <cell r="F5605" t="str">
            <v/>
          </cell>
          <cell r="G5605" t="str">
            <v>E</v>
          </cell>
          <cell r="H5605">
            <v>5.86</v>
          </cell>
        </row>
        <row r="5606">
          <cell r="A5606" t="str">
            <v>1;31;N;B;PAQ00a02</v>
          </cell>
          <cell r="B5606">
            <v>730069</v>
          </cell>
          <cell r="C5606" t="str">
            <v>N</v>
          </cell>
          <cell r="D5606" t="str">
            <v>NACIONAL</v>
          </cell>
          <cell r="E5606" t="str">
            <v>31</v>
          </cell>
          <cell r="F5606" t="str">
            <v>PAQ00a02</v>
          </cell>
          <cell r="G5606" t="str">
            <v>B</v>
          </cell>
          <cell r="H5606">
            <v>5.0999999999999996</v>
          </cell>
        </row>
        <row r="5607">
          <cell r="A5607" t="str">
            <v>1;31;N;B;PAQ02a05</v>
          </cell>
          <cell r="B5607">
            <v>730069</v>
          </cell>
          <cell r="C5607" t="str">
            <v>N</v>
          </cell>
          <cell r="D5607" t="str">
            <v>NACIONAL</v>
          </cell>
          <cell r="E5607" t="str">
            <v>31</v>
          </cell>
          <cell r="F5607" t="str">
            <v>PAQ02a05</v>
          </cell>
          <cell r="G5607" t="str">
            <v>B</v>
          </cell>
          <cell r="H5607">
            <v>6.34</v>
          </cell>
        </row>
        <row r="5608">
          <cell r="A5608" t="str">
            <v>1;31;N;B;PAQ05a10</v>
          </cell>
          <cell r="B5608">
            <v>730069</v>
          </cell>
          <cell r="C5608" t="str">
            <v>N</v>
          </cell>
          <cell r="D5608" t="str">
            <v>NACIONAL</v>
          </cell>
          <cell r="E5608" t="str">
            <v>31</v>
          </cell>
          <cell r="F5608" t="str">
            <v>PAQ05a10</v>
          </cell>
          <cell r="G5608" t="str">
            <v>B</v>
          </cell>
          <cell r="H5608">
            <v>8.2200000000000006</v>
          </cell>
        </row>
        <row r="5609">
          <cell r="A5609" t="str">
            <v>1;31;N;B;PAQ10a15</v>
          </cell>
          <cell r="B5609">
            <v>730069</v>
          </cell>
          <cell r="C5609" t="str">
            <v>N</v>
          </cell>
          <cell r="D5609" t="str">
            <v>NACIONAL</v>
          </cell>
          <cell r="E5609" t="str">
            <v>31</v>
          </cell>
          <cell r="F5609" t="str">
            <v>PAQ10a15</v>
          </cell>
          <cell r="G5609" t="str">
            <v>B</v>
          </cell>
          <cell r="H5609">
            <v>11.04</v>
          </cell>
        </row>
        <row r="5610">
          <cell r="A5610" t="str">
            <v>1;31;N;B;PAQ15a20</v>
          </cell>
          <cell r="B5610">
            <v>730069</v>
          </cell>
          <cell r="C5610" t="str">
            <v>N</v>
          </cell>
          <cell r="D5610" t="str">
            <v>NACIONAL</v>
          </cell>
          <cell r="E5610" t="str">
            <v>31</v>
          </cell>
          <cell r="F5610" t="str">
            <v>PAQ15a20</v>
          </cell>
          <cell r="G5610" t="str">
            <v>B</v>
          </cell>
          <cell r="H5610">
            <v>14.41</v>
          </cell>
        </row>
        <row r="5611">
          <cell r="A5611" t="str">
            <v>1;33;N;B;PAQ00a02</v>
          </cell>
          <cell r="B5611">
            <v>730069</v>
          </cell>
          <cell r="C5611" t="str">
            <v>N</v>
          </cell>
          <cell r="D5611" t="str">
            <v>NACIONAL</v>
          </cell>
          <cell r="E5611" t="str">
            <v>33</v>
          </cell>
          <cell r="F5611" t="str">
            <v>PAQ00a02</v>
          </cell>
          <cell r="G5611" t="str">
            <v>B</v>
          </cell>
          <cell r="H5611">
            <v>9.7799999999999994</v>
          </cell>
        </row>
        <row r="5612">
          <cell r="A5612" t="str">
            <v>1;33;N;B;PAQ02a05</v>
          </cell>
          <cell r="B5612">
            <v>730069</v>
          </cell>
          <cell r="C5612" t="str">
            <v>N</v>
          </cell>
          <cell r="D5612" t="str">
            <v>NACIONAL</v>
          </cell>
          <cell r="E5612" t="str">
            <v>33</v>
          </cell>
          <cell r="F5612" t="str">
            <v>PAQ02a05</v>
          </cell>
          <cell r="G5612" t="str">
            <v>B</v>
          </cell>
          <cell r="H5612">
            <v>12.98</v>
          </cell>
        </row>
        <row r="5613">
          <cell r="A5613" t="str">
            <v>1;33;N;B;PAQ05a10</v>
          </cell>
          <cell r="B5613">
            <v>730069</v>
          </cell>
          <cell r="C5613" t="str">
            <v>N</v>
          </cell>
          <cell r="D5613" t="str">
            <v>NACIONAL</v>
          </cell>
          <cell r="E5613" t="str">
            <v>33</v>
          </cell>
          <cell r="F5613" t="str">
            <v>PAQ05a10</v>
          </cell>
          <cell r="G5613" t="str">
            <v>B</v>
          </cell>
          <cell r="H5613">
            <v>16.72</v>
          </cell>
        </row>
        <row r="5614">
          <cell r="A5614" t="str">
            <v>1;33;N;B;PAQ10a15</v>
          </cell>
          <cell r="B5614">
            <v>730069</v>
          </cell>
          <cell r="C5614" t="str">
            <v>N</v>
          </cell>
          <cell r="D5614" t="str">
            <v>NACIONAL</v>
          </cell>
          <cell r="E5614" t="str">
            <v>33</v>
          </cell>
          <cell r="F5614" t="str">
            <v>PAQ10a15</v>
          </cell>
          <cell r="G5614" t="str">
            <v>B</v>
          </cell>
          <cell r="H5614">
            <v>25.31</v>
          </cell>
        </row>
        <row r="5615">
          <cell r="A5615" t="str">
            <v>1;33;N;B;PAQ15a20</v>
          </cell>
          <cell r="B5615">
            <v>730069</v>
          </cell>
          <cell r="C5615" t="str">
            <v>N</v>
          </cell>
          <cell r="D5615" t="str">
            <v>NACIONAL</v>
          </cell>
          <cell r="E5615" t="str">
            <v>33</v>
          </cell>
          <cell r="F5615" t="str">
            <v>PAQ15a20</v>
          </cell>
          <cell r="G5615" t="str">
            <v>B</v>
          </cell>
          <cell r="H5615">
            <v>28.82</v>
          </cell>
        </row>
        <row r="5616">
          <cell r="A5616" t="str">
            <v>1;33;N;B;PAQ20a25</v>
          </cell>
          <cell r="B5616">
            <v>730069</v>
          </cell>
          <cell r="C5616" t="str">
            <v>N</v>
          </cell>
          <cell r="D5616" t="str">
            <v>NACIONAL</v>
          </cell>
          <cell r="E5616" t="str">
            <v>33</v>
          </cell>
          <cell r="F5616" t="str">
            <v>PAQ20a25</v>
          </cell>
          <cell r="G5616" t="str">
            <v>B</v>
          </cell>
          <cell r="H5616">
            <v>36.51</v>
          </cell>
        </row>
        <row r="5617">
          <cell r="A5617" t="str">
            <v>1;33;N;B;PAQ25a30</v>
          </cell>
          <cell r="B5617">
            <v>730069</v>
          </cell>
          <cell r="C5617" t="str">
            <v>N</v>
          </cell>
          <cell r="D5617" t="str">
            <v>NACIONAL</v>
          </cell>
          <cell r="E5617" t="str">
            <v>33</v>
          </cell>
          <cell r="F5617" t="str">
            <v>PAQ25a30</v>
          </cell>
          <cell r="G5617" t="str">
            <v>B</v>
          </cell>
          <cell r="H5617">
            <v>44.21</v>
          </cell>
        </row>
        <row r="5618">
          <cell r="A5618" t="str">
            <v>1;33;N;B;PAQ30a35</v>
          </cell>
          <cell r="B5618">
            <v>730069</v>
          </cell>
          <cell r="C5618" t="str">
            <v>N</v>
          </cell>
          <cell r="D5618" t="str">
            <v>NACIONAL</v>
          </cell>
          <cell r="E5618" t="str">
            <v>33</v>
          </cell>
          <cell r="F5618" t="str">
            <v>PAQ30a35</v>
          </cell>
          <cell r="G5618" t="str">
            <v>B</v>
          </cell>
          <cell r="H5618">
            <v>51.89</v>
          </cell>
        </row>
        <row r="5619">
          <cell r="A5619" t="str">
            <v>1;33;N;F;</v>
          </cell>
          <cell r="B5619">
            <v>730069</v>
          </cell>
          <cell r="C5619" t="str">
            <v>N</v>
          </cell>
          <cell r="D5619" t="str">
            <v>NACIONAL</v>
          </cell>
          <cell r="E5619" t="str">
            <v>33</v>
          </cell>
          <cell r="F5619" t="str">
            <v/>
          </cell>
          <cell r="G5619" t="str">
            <v>F</v>
          </cell>
          <cell r="H5619">
            <v>7.69</v>
          </cell>
        </row>
        <row r="5620">
          <cell r="A5620" t="str">
            <v>1;33;N;B;PAQ35a40</v>
          </cell>
          <cell r="B5620">
            <v>730069</v>
          </cell>
          <cell r="C5620" t="str">
            <v>N</v>
          </cell>
          <cell r="D5620" t="str">
            <v>NACIONAL</v>
          </cell>
          <cell r="E5620" t="str">
            <v>33</v>
          </cell>
          <cell r="F5620" t="str">
            <v>PAQ35a40</v>
          </cell>
          <cell r="G5620" t="str">
            <v>B</v>
          </cell>
          <cell r="H5620">
            <v>59.58</v>
          </cell>
        </row>
        <row r="5621">
          <cell r="A5621" t="str">
            <v>1;33;N;P;</v>
          </cell>
          <cell r="B5621">
            <v>730069</v>
          </cell>
          <cell r="C5621" t="str">
            <v>N</v>
          </cell>
          <cell r="D5621" t="str">
            <v>NACIONAL</v>
          </cell>
          <cell r="E5621" t="str">
            <v>33</v>
          </cell>
          <cell r="F5621" t="str">
            <v/>
          </cell>
          <cell r="G5621" t="str">
            <v>P</v>
          </cell>
          <cell r="H5621">
            <v>0</v>
          </cell>
        </row>
        <row r="5622">
          <cell r="A5622" t="str">
            <v>1;33;N;E;</v>
          </cell>
          <cell r="B5622">
            <v>730069</v>
          </cell>
          <cell r="C5622" t="str">
            <v>N</v>
          </cell>
          <cell r="D5622" t="str">
            <v>NACIONAL</v>
          </cell>
          <cell r="E5622" t="str">
            <v>33</v>
          </cell>
          <cell r="F5622" t="str">
            <v/>
          </cell>
          <cell r="G5622" t="str">
            <v>E</v>
          </cell>
          <cell r="H5622">
            <v>7.69</v>
          </cell>
        </row>
        <row r="5623">
          <cell r="A5623" t="str">
            <v>1;34;N;B;DOCS</v>
          </cell>
          <cell r="B5623">
            <v>730069</v>
          </cell>
          <cell r="C5623" t="str">
            <v>N</v>
          </cell>
          <cell r="D5623" t="str">
            <v>NACIONAL</v>
          </cell>
          <cell r="E5623" t="str">
            <v>34</v>
          </cell>
          <cell r="F5623" t="str">
            <v>DOCS</v>
          </cell>
          <cell r="G5623" t="str">
            <v>B</v>
          </cell>
          <cell r="H5623">
            <v>6.61</v>
          </cell>
        </row>
        <row r="5624">
          <cell r="A5624" t="str">
            <v>1;34;N;B;LAR</v>
          </cell>
          <cell r="B5624">
            <v>730069</v>
          </cell>
          <cell r="C5624" t="str">
            <v>N</v>
          </cell>
          <cell r="D5624" t="str">
            <v>NACIONAL</v>
          </cell>
          <cell r="E5624" t="str">
            <v>34</v>
          </cell>
          <cell r="F5624" t="str">
            <v>LAR</v>
          </cell>
          <cell r="G5624" t="str">
            <v>B</v>
          </cell>
          <cell r="H5624">
            <v>22.31</v>
          </cell>
        </row>
        <row r="5625">
          <cell r="A5625" t="str">
            <v>1;34;N;B;MED</v>
          </cell>
          <cell r="B5625">
            <v>730069</v>
          </cell>
          <cell r="C5625" t="str">
            <v>N</v>
          </cell>
          <cell r="D5625" t="str">
            <v>NACIONAL</v>
          </cell>
          <cell r="E5625" t="str">
            <v>34</v>
          </cell>
          <cell r="F5625" t="str">
            <v>MED</v>
          </cell>
          <cell r="G5625" t="str">
            <v>B</v>
          </cell>
          <cell r="H5625">
            <v>14.05</v>
          </cell>
        </row>
        <row r="5626">
          <cell r="A5626" t="str">
            <v>1;34;N;B;SMA</v>
          </cell>
          <cell r="B5626">
            <v>730069</v>
          </cell>
          <cell r="C5626" t="str">
            <v>N</v>
          </cell>
          <cell r="D5626" t="str">
            <v>NACIONAL</v>
          </cell>
          <cell r="E5626" t="str">
            <v>34</v>
          </cell>
          <cell r="F5626" t="str">
            <v>SMA</v>
          </cell>
          <cell r="G5626" t="str">
            <v>B</v>
          </cell>
          <cell r="H5626">
            <v>9.92</v>
          </cell>
        </row>
        <row r="5627">
          <cell r="A5627" t="str">
            <v>1;38;N;B;BAG</v>
          </cell>
          <cell r="B5627">
            <v>730069</v>
          </cell>
          <cell r="C5627" t="str">
            <v>N</v>
          </cell>
          <cell r="D5627" t="str">
            <v>NACIONAL</v>
          </cell>
          <cell r="E5627" t="str">
            <v>38</v>
          </cell>
          <cell r="F5627" t="str">
            <v>BAG</v>
          </cell>
          <cell r="G5627" t="str">
            <v>B</v>
          </cell>
          <cell r="H5627">
            <v>7.14</v>
          </cell>
        </row>
        <row r="5628">
          <cell r="A5628" t="str">
            <v>1;38;N;B;PAQ00a02</v>
          </cell>
          <cell r="B5628">
            <v>730069</v>
          </cell>
          <cell r="C5628" t="str">
            <v>N</v>
          </cell>
          <cell r="D5628" t="str">
            <v>NACIONAL</v>
          </cell>
          <cell r="E5628" t="str">
            <v>38</v>
          </cell>
          <cell r="F5628" t="str">
            <v>PAQ00a02</v>
          </cell>
          <cell r="G5628" t="str">
            <v>B</v>
          </cell>
          <cell r="H5628">
            <v>7.14</v>
          </cell>
        </row>
        <row r="5629">
          <cell r="A5629" t="str">
            <v>1;38;N;B;PAQ02a05</v>
          </cell>
          <cell r="B5629">
            <v>730069</v>
          </cell>
          <cell r="C5629" t="str">
            <v>N</v>
          </cell>
          <cell r="D5629" t="str">
            <v>NACIONAL</v>
          </cell>
          <cell r="E5629" t="str">
            <v>38</v>
          </cell>
          <cell r="F5629" t="str">
            <v>PAQ02a05</v>
          </cell>
          <cell r="G5629" t="str">
            <v>B</v>
          </cell>
          <cell r="H5629">
            <v>8.6300000000000008</v>
          </cell>
        </row>
        <row r="5630">
          <cell r="A5630" t="str">
            <v>1;38;N;B;PAQ05a10</v>
          </cell>
          <cell r="B5630">
            <v>730069</v>
          </cell>
          <cell r="C5630" t="str">
            <v>N</v>
          </cell>
          <cell r="D5630" t="str">
            <v>NACIONAL</v>
          </cell>
          <cell r="E5630" t="str">
            <v>38</v>
          </cell>
          <cell r="F5630" t="str">
            <v>PAQ05a10</v>
          </cell>
          <cell r="G5630" t="str">
            <v>B</v>
          </cell>
          <cell r="H5630">
            <v>10.57</v>
          </cell>
        </row>
        <row r="5631">
          <cell r="A5631" t="str">
            <v>1;38;N;B;PAQ10a15</v>
          </cell>
          <cell r="B5631">
            <v>730069</v>
          </cell>
          <cell r="C5631" t="str">
            <v>N</v>
          </cell>
          <cell r="D5631" t="str">
            <v>NACIONAL</v>
          </cell>
          <cell r="E5631" t="str">
            <v>38</v>
          </cell>
          <cell r="F5631" t="str">
            <v>PAQ10a15</v>
          </cell>
          <cell r="G5631" t="str">
            <v>B</v>
          </cell>
          <cell r="H5631">
            <v>11.17</v>
          </cell>
        </row>
        <row r="5632">
          <cell r="A5632" t="str">
            <v>1;38;N;B;PAQ15a20</v>
          </cell>
          <cell r="B5632">
            <v>730069</v>
          </cell>
          <cell r="C5632" t="str">
            <v>N</v>
          </cell>
          <cell r="D5632" t="str">
            <v>NACIONAL</v>
          </cell>
          <cell r="E5632" t="str">
            <v>38</v>
          </cell>
          <cell r="F5632" t="str">
            <v>PAQ15a20</v>
          </cell>
          <cell r="G5632" t="str">
            <v>B</v>
          </cell>
          <cell r="H5632">
            <v>11.63</v>
          </cell>
        </row>
        <row r="5633">
          <cell r="A5633" t="str">
            <v>1;40;N;B;PAQ00a02</v>
          </cell>
          <cell r="B5633">
            <v>730069</v>
          </cell>
          <cell r="C5633" t="str">
            <v>N</v>
          </cell>
          <cell r="D5633" t="str">
            <v>NACIONAL</v>
          </cell>
          <cell r="E5633" t="str">
            <v>40</v>
          </cell>
          <cell r="F5633" t="str">
            <v>PAQ00a02</v>
          </cell>
          <cell r="G5633" t="str">
            <v>B</v>
          </cell>
          <cell r="H5633">
            <v>5.92</v>
          </cell>
        </row>
        <row r="5634">
          <cell r="A5634" t="str">
            <v>1;40;N;B;PAQ02a05</v>
          </cell>
          <cell r="B5634">
            <v>730069</v>
          </cell>
          <cell r="C5634" t="str">
            <v>N</v>
          </cell>
          <cell r="D5634" t="str">
            <v>NACIONAL</v>
          </cell>
          <cell r="E5634" t="str">
            <v>40</v>
          </cell>
          <cell r="F5634" t="str">
            <v>PAQ02a05</v>
          </cell>
          <cell r="G5634" t="str">
            <v>B</v>
          </cell>
          <cell r="H5634">
            <v>7.25</v>
          </cell>
        </row>
        <row r="5635">
          <cell r="A5635" t="str">
            <v>1;40;N;B;PAQ05a10</v>
          </cell>
          <cell r="B5635">
            <v>730069</v>
          </cell>
          <cell r="C5635" t="str">
            <v>N</v>
          </cell>
          <cell r="D5635" t="str">
            <v>NACIONAL</v>
          </cell>
          <cell r="E5635" t="str">
            <v>40</v>
          </cell>
          <cell r="F5635" t="str">
            <v>PAQ05a10</v>
          </cell>
          <cell r="G5635" t="str">
            <v>B</v>
          </cell>
          <cell r="H5635">
            <v>9.14</v>
          </cell>
        </row>
        <row r="5636">
          <cell r="A5636" t="str">
            <v>1;40;N;B;PAQ10a15</v>
          </cell>
          <cell r="B5636">
            <v>730069</v>
          </cell>
          <cell r="C5636" t="str">
            <v>N</v>
          </cell>
          <cell r="D5636" t="str">
            <v>NACIONAL</v>
          </cell>
          <cell r="E5636" t="str">
            <v>40</v>
          </cell>
          <cell r="F5636" t="str">
            <v>PAQ10a15</v>
          </cell>
          <cell r="G5636" t="str">
            <v>B</v>
          </cell>
          <cell r="H5636">
            <v>10.46</v>
          </cell>
        </row>
        <row r="5637">
          <cell r="A5637" t="str">
            <v>1;40;N;B;PAQ15a20</v>
          </cell>
          <cell r="B5637">
            <v>730069</v>
          </cell>
          <cell r="C5637" t="str">
            <v>N</v>
          </cell>
          <cell r="D5637" t="str">
            <v>NACIONAL</v>
          </cell>
          <cell r="E5637" t="str">
            <v>40</v>
          </cell>
          <cell r="F5637" t="str">
            <v>PAQ15a20</v>
          </cell>
          <cell r="G5637" t="str">
            <v>B</v>
          </cell>
          <cell r="H5637">
            <v>11.39</v>
          </cell>
        </row>
        <row r="5638">
          <cell r="A5638" t="str">
            <v>1;41;N;B;PAQ00a02</v>
          </cell>
          <cell r="B5638">
            <v>730069</v>
          </cell>
          <cell r="C5638" t="str">
            <v>N</v>
          </cell>
          <cell r="D5638" t="str">
            <v>NACIONAL</v>
          </cell>
          <cell r="E5638" t="str">
            <v>41</v>
          </cell>
          <cell r="F5638" t="str">
            <v>PAQ00a02</v>
          </cell>
          <cell r="G5638" t="str">
            <v>B</v>
          </cell>
          <cell r="H5638">
            <v>2.61</v>
          </cell>
        </row>
        <row r="5639">
          <cell r="A5639" t="str">
            <v>1;41;N;B;PAQ02a05</v>
          </cell>
          <cell r="B5639">
            <v>730069</v>
          </cell>
          <cell r="C5639" t="str">
            <v>N</v>
          </cell>
          <cell r="D5639" t="str">
            <v>NACIONAL</v>
          </cell>
          <cell r="E5639" t="str">
            <v>41</v>
          </cell>
          <cell r="F5639" t="str">
            <v>PAQ02a05</v>
          </cell>
          <cell r="G5639" t="str">
            <v>B</v>
          </cell>
          <cell r="H5639">
            <v>5.05</v>
          </cell>
        </row>
        <row r="5640">
          <cell r="A5640" t="str">
            <v>1;41;N;B;PAQ05a10</v>
          </cell>
          <cell r="B5640">
            <v>730069</v>
          </cell>
          <cell r="C5640" t="str">
            <v>N</v>
          </cell>
          <cell r="D5640" t="str">
            <v>NACIONAL</v>
          </cell>
          <cell r="E5640" t="str">
            <v>41</v>
          </cell>
          <cell r="F5640" t="str">
            <v>PAQ05a10</v>
          </cell>
          <cell r="G5640" t="str">
            <v>B</v>
          </cell>
          <cell r="H5640">
            <v>6.36</v>
          </cell>
        </row>
        <row r="5641">
          <cell r="A5641" t="str">
            <v>1;41;N;B;PAQ10a15</v>
          </cell>
          <cell r="B5641">
            <v>730069</v>
          </cell>
          <cell r="C5641" t="str">
            <v>N</v>
          </cell>
          <cell r="D5641" t="str">
            <v>NACIONAL</v>
          </cell>
          <cell r="E5641" t="str">
            <v>41</v>
          </cell>
          <cell r="F5641" t="str">
            <v>PAQ10a15</v>
          </cell>
          <cell r="G5641" t="str">
            <v>B</v>
          </cell>
          <cell r="H5641">
            <v>7.58</v>
          </cell>
        </row>
        <row r="5642">
          <cell r="A5642" t="str">
            <v>1;41;N;B;PAQ15a20</v>
          </cell>
          <cell r="B5642">
            <v>730069</v>
          </cell>
          <cell r="C5642" t="str">
            <v>N</v>
          </cell>
          <cell r="D5642" t="str">
            <v>NACIONAL</v>
          </cell>
          <cell r="E5642" t="str">
            <v>41</v>
          </cell>
          <cell r="F5642" t="str">
            <v>PAQ15a20</v>
          </cell>
          <cell r="G5642" t="str">
            <v>B</v>
          </cell>
          <cell r="H5642">
            <v>8.7899999999999991</v>
          </cell>
        </row>
        <row r="5643">
          <cell r="A5643" t="str">
            <v>1;44;N;B;PAQ00a02</v>
          </cell>
          <cell r="B5643">
            <v>730069</v>
          </cell>
          <cell r="C5643" t="str">
            <v>N</v>
          </cell>
          <cell r="D5643" t="str">
            <v>NACIONAL</v>
          </cell>
          <cell r="E5643" t="str">
            <v>44</v>
          </cell>
          <cell r="F5643" t="str">
            <v>PAQ00a02</v>
          </cell>
          <cell r="G5643" t="str">
            <v>B</v>
          </cell>
          <cell r="H5643">
            <v>3.94</v>
          </cell>
        </row>
        <row r="5644">
          <cell r="A5644" t="str">
            <v>1;44;N;B;PAQ02a05</v>
          </cell>
          <cell r="B5644">
            <v>730069</v>
          </cell>
          <cell r="C5644" t="str">
            <v>N</v>
          </cell>
          <cell r="D5644" t="str">
            <v>NACIONAL</v>
          </cell>
          <cell r="E5644" t="str">
            <v>44</v>
          </cell>
          <cell r="F5644" t="str">
            <v>PAQ02a05</v>
          </cell>
          <cell r="G5644" t="str">
            <v>B</v>
          </cell>
          <cell r="H5644">
            <v>5.13</v>
          </cell>
        </row>
        <row r="5645">
          <cell r="A5645" t="str">
            <v>1;44;N;B;PAQ05a10</v>
          </cell>
          <cell r="B5645">
            <v>730069</v>
          </cell>
          <cell r="C5645" t="str">
            <v>N</v>
          </cell>
          <cell r="D5645" t="str">
            <v>NACIONAL</v>
          </cell>
          <cell r="E5645" t="str">
            <v>44</v>
          </cell>
          <cell r="F5645" t="str">
            <v>PAQ05a10</v>
          </cell>
          <cell r="G5645" t="str">
            <v>B</v>
          </cell>
          <cell r="H5645">
            <v>6.26</v>
          </cell>
        </row>
        <row r="5646">
          <cell r="A5646" t="str">
            <v>1;44;N;B;PAQ10a15</v>
          </cell>
          <cell r="B5646">
            <v>730069</v>
          </cell>
          <cell r="C5646" t="str">
            <v>N</v>
          </cell>
          <cell r="D5646" t="str">
            <v>NACIONAL</v>
          </cell>
          <cell r="E5646" t="str">
            <v>44</v>
          </cell>
          <cell r="F5646" t="str">
            <v>PAQ10a15</v>
          </cell>
          <cell r="G5646" t="str">
            <v>B</v>
          </cell>
          <cell r="H5646">
            <v>8.3800000000000008</v>
          </cell>
        </row>
        <row r="5647">
          <cell r="A5647" t="str">
            <v>1;44;N;B;PAQ15a20</v>
          </cell>
          <cell r="B5647">
            <v>730069</v>
          </cell>
          <cell r="C5647" t="str">
            <v>N</v>
          </cell>
          <cell r="D5647" t="str">
            <v>NACIONAL</v>
          </cell>
          <cell r="E5647" t="str">
            <v>44</v>
          </cell>
          <cell r="F5647" t="str">
            <v>PAQ15a20</v>
          </cell>
          <cell r="G5647" t="str">
            <v>B</v>
          </cell>
          <cell r="H5647">
            <v>9.15</v>
          </cell>
        </row>
        <row r="5648">
          <cell r="A5648" t="str">
            <v>1;60;N;B;BAG</v>
          </cell>
          <cell r="B5648">
            <v>730069</v>
          </cell>
          <cell r="C5648" t="str">
            <v>N</v>
          </cell>
          <cell r="D5648" t="str">
            <v>NACIONAL</v>
          </cell>
          <cell r="E5648" t="str">
            <v>60</v>
          </cell>
          <cell r="F5648" t="str">
            <v>BAG</v>
          </cell>
          <cell r="G5648" t="str">
            <v>B</v>
          </cell>
          <cell r="H5648">
            <v>31.71</v>
          </cell>
        </row>
        <row r="5649">
          <cell r="A5649" t="str">
            <v>1;60;N;B;PAQ00a05</v>
          </cell>
          <cell r="B5649">
            <v>730069</v>
          </cell>
          <cell r="C5649" t="str">
            <v>N</v>
          </cell>
          <cell r="D5649" t="str">
            <v>NACIONAL</v>
          </cell>
          <cell r="E5649" t="str">
            <v>60</v>
          </cell>
          <cell r="F5649" t="str">
            <v>PAQ00a05</v>
          </cell>
          <cell r="G5649" t="str">
            <v>B</v>
          </cell>
          <cell r="H5649">
            <v>36.33</v>
          </cell>
        </row>
        <row r="5650">
          <cell r="A5650" t="str">
            <v>1;60;N;B;PAQ05a10</v>
          </cell>
          <cell r="B5650">
            <v>730069</v>
          </cell>
          <cell r="C5650" t="str">
            <v>N</v>
          </cell>
          <cell r="D5650" t="str">
            <v>NACIONAL</v>
          </cell>
          <cell r="E5650" t="str">
            <v>60</v>
          </cell>
          <cell r="F5650" t="str">
            <v>PAQ05a10</v>
          </cell>
          <cell r="G5650" t="str">
            <v>B</v>
          </cell>
          <cell r="H5650">
            <v>53.93</v>
          </cell>
        </row>
        <row r="5651">
          <cell r="A5651" t="str">
            <v>1;60;N;B;PAQ10a15</v>
          </cell>
          <cell r="B5651">
            <v>730069</v>
          </cell>
          <cell r="C5651" t="str">
            <v>N</v>
          </cell>
          <cell r="D5651" t="str">
            <v>NACIONAL</v>
          </cell>
          <cell r="E5651" t="str">
            <v>60</v>
          </cell>
          <cell r="F5651" t="str">
            <v>PAQ10a15</v>
          </cell>
          <cell r="G5651" t="str">
            <v>B</v>
          </cell>
          <cell r="H5651">
            <v>73.55</v>
          </cell>
        </row>
        <row r="5652">
          <cell r="A5652" t="str">
            <v>1;60;N;B;PAQ15a20</v>
          </cell>
          <cell r="B5652">
            <v>730069</v>
          </cell>
          <cell r="C5652" t="str">
            <v>N</v>
          </cell>
          <cell r="D5652" t="str">
            <v>NACIONAL</v>
          </cell>
          <cell r="E5652" t="str">
            <v>60</v>
          </cell>
          <cell r="F5652" t="str">
            <v>PAQ15a20</v>
          </cell>
          <cell r="G5652" t="str">
            <v>B</v>
          </cell>
          <cell r="H5652">
            <v>93.18</v>
          </cell>
        </row>
        <row r="5653">
          <cell r="A5653" t="str">
            <v>1;60;N;B;PAQ20a25</v>
          </cell>
          <cell r="B5653">
            <v>730069</v>
          </cell>
          <cell r="C5653" t="str">
            <v>N</v>
          </cell>
          <cell r="D5653" t="str">
            <v>NACIONAL</v>
          </cell>
          <cell r="E5653" t="str">
            <v>60</v>
          </cell>
          <cell r="F5653" t="str">
            <v>PAQ20a25</v>
          </cell>
          <cell r="G5653" t="str">
            <v>B</v>
          </cell>
          <cell r="H5653">
            <v>112.81</v>
          </cell>
        </row>
        <row r="5654">
          <cell r="A5654" t="str">
            <v>1;60;N;B;PAQ25a30</v>
          </cell>
          <cell r="B5654">
            <v>730069</v>
          </cell>
          <cell r="C5654" t="str">
            <v>N</v>
          </cell>
          <cell r="D5654" t="str">
            <v>NACIONAL</v>
          </cell>
          <cell r="E5654" t="str">
            <v>60</v>
          </cell>
          <cell r="F5654" t="str">
            <v>PAQ25a30</v>
          </cell>
          <cell r="G5654" t="str">
            <v>B</v>
          </cell>
          <cell r="H5654">
            <v>132.44</v>
          </cell>
        </row>
        <row r="5655">
          <cell r="A5655" t="str">
            <v>1;60;N;B;PAQ30a35</v>
          </cell>
          <cell r="B5655">
            <v>730069</v>
          </cell>
          <cell r="C5655" t="str">
            <v>N</v>
          </cell>
          <cell r="D5655" t="str">
            <v>NACIONAL</v>
          </cell>
          <cell r="E5655" t="str">
            <v>60</v>
          </cell>
          <cell r="F5655" t="str">
            <v>PAQ30a35</v>
          </cell>
          <cell r="G5655" t="str">
            <v>B</v>
          </cell>
          <cell r="H5655">
            <v>152.07</v>
          </cell>
        </row>
        <row r="5656">
          <cell r="A5656" t="str">
            <v>1;60;N;F;</v>
          </cell>
          <cell r="B5656">
            <v>730069</v>
          </cell>
          <cell r="C5656" t="str">
            <v>N</v>
          </cell>
          <cell r="D5656" t="str">
            <v>NACIONAL</v>
          </cell>
          <cell r="E5656" t="str">
            <v>60</v>
          </cell>
          <cell r="F5656" t="str">
            <v/>
          </cell>
          <cell r="G5656" t="str">
            <v>F</v>
          </cell>
          <cell r="H5656">
            <v>19.62</v>
          </cell>
        </row>
        <row r="5657">
          <cell r="A5657" t="str">
            <v>1;60;N;B;PAQ35a40</v>
          </cell>
          <cell r="B5657">
            <v>730069</v>
          </cell>
          <cell r="C5657" t="str">
            <v>N</v>
          </cell>
          <cell r="D5657" t="str">
            <v>NACIONAL</v>
          </cell>
          <cell r="E5657" t="str">
            <v>60</v>
          </cell>
          <cell r="F5657" t="str">
            <v>PAQ35a40</v>
          </cell>
          <cell r="G5657" t="str">
            <v>B</v>
          </cell>
          <cell r="H5657">
            <v>171.7</v>
          </cell>
        </row>
        <row r="5658">
          <cell r="A5658" t="str">
            <v>1;60;N;P;</v>
          </cell>
          <cell r="B5658">
            <v>730069</v>
          </cell>
          <cell r="C5658" t="str">
            <v>N</v>
          </cell>
          <cell r="D5658" t="str">
            <v>NACIONAL</v>
          </cell>
          <cell r="E5658" t="str">
            <v>60</v>
          </cell>
          <cell r="F5658" t="str">
            <v/>
          </cell>
          <cell r="G5658" t="str">
            <v>P</v>
          </cell>
          <cell r="H5658">
            <v>25.08</v>
          </cell>
        </row>
        <row r="5659">
          <cell r="A5659" t="str">
            <v>1;60;N;E;</v>
          </cell>
          <cell r="B5659">
            <v>730069</v>
          </cell>
          <cell r="C5659" t="str">
            <v>N</v>
          </cell>
          <cell r="D5659" t="str">
            <v>NACIONAL</v>
          </cell>
          <cell r="E5659" t="str">
            <v>60</v>
          </cell>
          <cell r="F5659" t="str">
            <v/>
          </cell>
          <cell r="G5659" t="str">
            <v>E</v>
          </cell>
          <cell r="H5659">
            <v>25.08</v>
          </cell>
        </row>
        <row r="5660">
          <cell r="A5660" t="str">
            <v>1;61;N;B;BAG</v>
          </cell>
          <cell r="B5660">
            <v>730069</v>
          </cell>
          <cell r="C5660" t="str">
            <v>N</v>
          </cell>
          <cell r="D5660" t="str">
            <v>NACIONAL</v>
          </cell>
          <cell r="E5660" t="str">
            <v>61</v>
          </cell>
          <cell r="F5660" t="str">
            <v>BAG</v>
          </cell>
          <cell r="G5660" t="str">
            <v>B</v>
          </cell>
          <cell r="H5660">
            <v>20.45</v>
          </cell>
        </row>
        <row r="5661">
          <cell r="A5661" t="str">
            <v>1;61;N;B;PAQ00a05</v>
          </cell>
          <cell r="B5661">
            <v>730069</v>
          </cell>
          <cell r="C5661" t="str">
            <v>N</v>
          </cell>
          <cell r="D5661" t="str">
            <v>NACIONAL</v>
          </cell>
          <cell r="E5661" t="str">
            <v>61</v>
          </cell>
          <cell r="F5661" t="str">
            <v>PAQ00a05</v>
          </cell>
          <cell r="G5661" t="str">
            <v>B</v>
          </cell>
          <cell r="H5661">
            <v>25.08</v>
          </cell>
        </row>
        <row r="5662">
          <cell r="A5662" t="str">
            <v>1;61;N;B;PAQ05a10</v>
          </cell>
          <cell r="B5662">
            <v>730069</v>
          </cell>
          <cell r="C5662" t="str">
            <v>N</v>
          </cell>
          <cell r="D5662" t="str">
            <v>NACIONAL</v>
          </cell>
          <cell r="E5662" t="str">
            <v>61</v>
          </cell>
          <cell r="F5662" t="str">
            <v>PAQ05a10</v>
          </cell>
          <cell r="G5662" t="str">
            <v>B</v>
          </cell>
          <cell r="H5662">
            <v>42.67</v>
          </cell>
        </row>
        <row r="5663">
          <cell r="A5663" t="str">
            <v>1;61;N;B;PAQ10a15</v>
          </cell>
          <cell r="B5663">
            <v>730069</v>
          </cell>
          <cell r="C5663" t="str">
            <v>N</v>
          </cell>
          <cell r="D5663" t="str">
            <v>NACIONAL</v>
          </cell>
          <cell r="E5663" t="str">
            <v>61</v>
          </cell>
          <cell r="F5663" t="str">
            <v>PAQ10a15</v>
          </cell>
          <cell r="G5663" t="str">
            <v>B</v>
          </cell>
          <cell r="H5663">
            <v>62.31</v>
          </cell>
        </row>
        <row r="5664">
          <cell r="A5664" t="str">
            <v>1;61;N;B;PAQ15a20</v>
          </cell>
          <cell r="B5664">
            <v>730069</v>
          </cell>
          <cell r="C5664" t="str">
            <v>N</v>
          </cell>
          <cell r="D5664" t="str">
            <v>NACIONAL</v>
          </cell>
          <cell r="E5664" t="str">
            <v>61</v>
          </cell>
          <cell r="F5664" t="str">
            <v>PAQ15a20</v>
          </cell>
          <cell r="G5664" t="str">
            <v>B</v>
          </cell>
          <cell r="H5664">
            <v>81.93</v>
          </cell>
        </row>
        <row r="5665">
          <cell r="A5665" t="str">
            <v>1;61;N;B;PAQ20a25</v>
          </cell>
          <cell r="B5665">
            <v>730069</v>
          </cell>
          <cell r="C5665" t="str">
            <v>N</v>
          </cell>
          <cell r="D5665" t="str">
            <v>NACIONAL</v>
          </cell>
          <cell r="E5665" t="str">
            <v>61</v>
          </cell>
          <cell r="F5665" t="str">
            <v>PAQ20a25</v>
          </cell>
          <cell r="G5665" t="str">
            <v>B</v>
          </cell>
          <cell r="H5665">
            <v>101.57</v>
          </cell>
        </row>
        <row r="5666">
          <cell r="A5666" t="str">
            <v>1;61;N;B;PAQ25a30</v>
          </cell>
          <cell r="B5666">
            <v>730069</v>
          </cell>
          <cell r="C5666" t="str">
            <v>N</v>
          </cell>
          <cell r="D5666" t="str">
            <v>NACIONAL</v>
          </cell>
          <cell r="E5666" t="str">
            <v>61</v>
          </cell>
          <cell r="F5666" t="str">
            <v>PAQ25a30</v>
          </cell>
          <cell r="G5666" t="str">
            <v>B</v>
          </cell>
          <cell r="H5666">
            <v>121.19</v>
          </cell>
        </row>
        <row r="5667">
          <cell r="A5667" t="str">
            <v>1;61;N;B;PAQ30a35</v>
          </cell>
          <cell r="B5667">
            <v>730069</v>
          </cell>
          <cell r="C5667" t="str">
            <v>N</v>
          </cell>
          <cell r="D5667" t="str">
            <v>NACIONAL</v>
          </cell>
          <cell r="E5667" t="str">
            <v>61</v>
          </cell>
          <cell r="F5667" t="str">
            <v>PAQ30a35</v>
          </cell>
          <cell r="G5667" t="str">
            <v>B</v>
          </cell>
          <cell r="H5667">
            <v>140.83000000000001</v>
          </cell>
        </row>
        <row r="5668">
          <cell r="A5668" t="str">
            <v>1;61;N;F;</v>
          </cell>
          <cell r="B5668">
            <v>730069</v>
          </cell>
          <cell r="C5668" t="str">
            <v>N</v>
          </cell>
          <cell r="D5668" t="str">
            <v>NACIONAL</v>
          </cell>
          <cell r="E5668" t="str">
            <v>61</v>
          </cell>
          <cell r="F5668" t="str">
            <v/>
          </cell>
          <cell r="G5668" t="str">
            <v>F</v>
          </cell>
          <cell r="H5668">
            <v>19.62</v>
          </cell>
        </row>
        <row r="5669">
          <cell r="A5669" t="str">
            <v>1;61;N;B;PAQ35a40</v>
          </cell>
          <cell r="B5669">
            <v>730069</v>
          </cell>
          <cell r="C5669" t="str">
            <v>N</v>
          </cell>
          <cell r="D5669" t="str">
            <v>NACIONAL</v>
          </cell>
          <cell r="E5669" t="str">
            <v>61</v>
          </cell>
          <cell r="F5669" t="str">
            <v>PAQ35a40</v>
          </cell>
          <cell r="G5669" t="str">
            <v>B</v>
          </cell>
          <cell r="H5669">
            <v>160.44999999999999</v>
          </cell>
        </row>
        <row r="5670">
          <cell r="A5670" t="str">
            <v>1;61;N;P;</v>
          </cell>
          <cell r="B5670">
            <v>730069</v>
          </cell>
          <cell r="C5670" t="str">
            <v>N</v>
          </cell>
          <cell r="D5670" t="str">
            <v>NACIONAL</v>
          </cell>
          <cell r="E5670" t="str">
            <v>61</v>
          </cell>
          <cell r="F5670" t="str">
            <v/>
          </cell>
          <cell r="G5670" t="str">
            <v>P</v>
          </cell>
          <cell r="H5670">
            <v>25.08</v>
          </cell>
        </row>
        <row r="5671">
          <cell r="A5671" t="str">
            <v>1;61;N;E;</v>
          </cell>
          <cell r="B5671">
            <v>730069</v>
          </cell>
          <cell r="C5671" t="str">
            <v>N</v>
          </cell>
          <cell r="D5671" t="str">
            <v>NACIONAL</v>
          </cell>
          <cell r="E5671" t="str">
            <v>61</v>
          </cell>
          <cell r="F5671" t="str">
            <v/>
          </cell>
          <cell r="G5671" t="str">
            <v>E</v>
          </cell>
          <cell r="H5671">
            <v>25.08</v>
          </cell>
        </row>
        <row r="5672">
          <cell r="A5672" t="str">
            <v>1;62;N;B;BAG</v>
          </cell>
          <cell r="B5672">
            <v>730069</v>
          </cell>
          <cell r="C5672" t="str">
            <v>N</v>
          </cell>
          <cell r="D5672" t="str">
            <v>NACIONAL</v>
          </cell>
          <cell r="E5672" t="str">
            <v>62</v>
          </cell>
          <cell r="F5672" t="str">
            <v>BAG</v>
          </cell>
          <cell r="G5672" t="str">
            <v>B</v>
          </cell>
          <cell r="H5672">
            <v>15.44</v>
          </cell>
        </row>
        <row r="5673">
          <cell r="A5673" t="str">
            <v>1;62;N;B;PAQ00a05</v>
          </cell>
          <cell r="B5673">
            <v>730069</v>
          </cell>
          <cell r="C5673" t="str">
            <v>N</v>
          </cell>
          <cell r="D5673" t="str">
            <v>NACIONAL</v>
          </cell>
          <cell r="E5673" t="str">
            <v>62</v>
          </cell>
          <cell r="F5673" t="str">
            <v>PAQ00a05</v>
          </cell>
          <cell r="G5673" t="str">
            <v>B</v>
          </cell>
          <cell r="H5673">
            <v>18.13</v>
          </cell>
        </row>
        <row r="5674">
          <cell r="A5674" t="str">
            <v>1;62;N;B;PAQ05a10</v>
          </cell>
          <cell r="B5674">
            <v>730069</v>
          </cell>
          <cell r="C5674" t="str">
            <v>N</v>
          </cell>
          <cell r="D5674" t="str">
            <v>NACIONAL</v>
          </cell>
          <cell r="E5674" t="str">
            <v>62</v>
          </cell>
          <cell r="F5674" t="str">
            <v>PAQ05a10</v>
          </cell>
          <cell r="G5674" t="str">
            <v>B</v>
          </cell>
          <cell r="H5674">
            <v>26.36</v>
          </cell>
        </row>
        <row r="5675">
          <cell r="A5675" t="str">
            <v>1;62;N;B;PAQ10a15</v>
          </cell>
          <cell r="B5675">
            <v>730069</v>
          </cell>
          <cell r="C5675" t="str">
            <v>N</v>
          </cell>
          <cell r="D5675" t="str">
            <v>NACIONAL</v>
          </cell>
          <cell r="E5675" t="str">
            <v>62</v>
          </cell>
          <cell r="F5675" t="str">
            <v>PAQ10a15</v>
          </cell>
          <cell r="G5675" t="str">
            <v>B</v>
          </cell>
          <cell r="H5675">
            <v>34.51</v>
          </cell>
        </row>
        <row r="5676">
          <cell r="A5676" t="str">
            <v>1;62;N;B;PAQ15a20</v>
          </cell>
          <cell r="B5676">
            <v>730069</v>
          </cell>
          <cell r="C5676" t="str">
            <v>N</v>
          </cell>
          <cell r="D5676" t="str">
            <v>NACIONAL</v>
          </cell>
          <cell r="E5676" t="str">
            <v>62</v>
          </cell>
          <cell r="F5676" t="str">
            <v>PAQ15a20</v>
          </cell>
          <cell r="G5676" t="str">
            <v>B</v>
          </cell>
          <cell r="H5676">
            <v>42.66</v>
          </cell>
        </row>
        <row r="5677">
          <cell r="A5677" t="str">
            <v>1;62;N;B;PAQ20a25</v>
          </cell>
          <cell r="B5677">
            <v>730069</v>
          </cell>
          <cell r="C5677" t="str">
            <v>N</v>
          </cell>
          <cell r="D5677" t="str">
            <v>NACIONAL</v>
          </cell>
          <cell r="E5677" t="str">
            <v>62</v>
          </cell>
          <cell r="F5677" t="str">
            <v>PAQ20a25</v>
          </cell>
          <cell r="G5677" t="str">
            <v>B</v>
          </cell>
          <cell r="H5677">
            <v>50.82</v>
          </cell>
        </row>
        <row r="5678">
          <cell r="A5678" t="str">
            <v>1;62;N;B;PAQ25a30</v>
          </cell>
          <cell r="B5678">
            <v>730069</v>
          </cell>
          <cell r="C5678" t="str">
            <v>N</v>
          </cell>
          <cell r="D5678" t="str">
            <v>NACIONAL</v>
          </cell>
          <cell r="E5678" t="str">
            <v>62</v>
          </cell>
          <cell r="F5678" t="str">
            <v>PAQ25a30</v>
          </cell>
          <cell r="G5678" t="str">
            <v>B</v>
          </cell>
          <cell r="H5678">
            <v>58.98</v>
          </cell>
        </row>
        <row r="5679">
          <cell r="A5679" t="str">
            <v>1;62;N;B;PAQ30a35</v>
          </cell>
          <cell r="B5679">
            <v>730069</v>
          </cell>
          <cell r="C5679" t="str">
            <v>N</v>
          </cell>
          <cell r="D5679" t="str">
            <v>NACIONAL</v>
          </cell>
          <cell r="E5679" t="str">
            <v>62</v>
          </cell>
          <cell r="F5679" t="str">
            <v>PAQ30a35</v>
          </cell>
          <cell r="G5679" t="str">
            <v>B</v>
          </cell>
          <cell r="H5679">
            <v>67.13</v>
          </cell>
        </row>
        <row r="5680">
          <cell r="A5680" t="str">
            <v>1;62;N;B;PAQ35a40</v>
          </cell>
          <cell r="B5680">
            <v>730069</v>
          </cell>
          <cell r="C5680" t="str">
            <v>N</v>
          </cell>
          <cell r="D5680" t="str">
            <v>NACIONAL</v>
          </cell>
          <cell r="E5680" t="str">
            <v>62</v>
          </cell>
          <cell r="F5680" t="str">
            <v>PAQ35a40</v>
          </cell>
          <cell r="G5680" t="str">
            <v>B</v>
          </cell>
          <cell r="H5680">
            <v>75.290000000000006</v>
          </cell>
        </row>
        <row r="5681">
          <cell r="A5681" t="str">
            <v>1;62;N;F;</v>
          </cell>
          <cell r="B5681">
            <v>730069</v>
          </cell>
          <cell r="C5681" t="str">
            <v>N</v>
          </cell>
          <cell r="D5681" t="str">
            <v>NACIONAL</v>
          </cell>
          <cell r="E5681" t="str">
            <v>62</v>
          </cell>
          <cell r="F5681" t="str">
            <v/>
          </cell>
          <cell r="G5681" t="str">
            <v>F</v>
          </cell>
          <cell r="H5681">
            <v>8.16</v>
          </cell>
        </row>
        <row r="5682">
          <cell r="A5682" t="str">
            <v>1;62;N;P;</v>
          </cell>
          <cell r="B5682">
            <v>730069</v>
          </cell>
          <cell r="C5682" t="str">
            <v>N</v>
          </cell>
          <cell r="D5682" t="str">
            <v>NACIONAL</v>
          </cell>
          <cell r="E5682" t="str">
            <v>62</v>
          </cell>
          <cell r="F5682" t="str">
            <v/>
          </cell>
          <cell r="G5682" t="str">
            <v>P</v>
          </cell>
          <cell r="H5682">
            <v>18.13</v>
          </cell>
        </row>
        <row r="5683">
          <cell r="A5683" t="str">
            <v>1;62;N;E;</v>
          </cell>
          <cell r="B5683">
            <v>730069</v>
          </cell>
          <cell r="C5683" t="str">
            <v>N</v>
          </cell>
          <cell r="D5683" t="str">
            <v>NACIONAL</v>
          </cell>
          <cell r="E5683" t="str">
            <v>62</v>
          </cell>
          <cell r="F5683" t="str">
            <v/>
          </cell>
          <cell r="G5683" t="str">
            <v>E</v>
          </cell>
          <cell r="H5683">
            <v>18.13</v>
          </cell>
        </row>
        <row r="5684">
          <cell r="A5684" t="str">
            <v>1;63;N;B;BAG</v>
          </cell>
          <cell r="B5684">
            <v>730069</v>
          </cell>
          <cell r="C5684" t="str">
            <v>N</v>
          </cell>
          <cell r="D5684" t="str">
            <v>NACIONAL</v>
          </cell>
          <cell r="E5684" t="str">
            <v>63</v>
          </cell>
          <cell r="F5684" t="str">
            <v>BAG</v>
          </cell>
          <cell r="G5684" t="str">
            <v>B</v>
          </cell>
          <cell r="H5684">
            <v>22.72</v>
          </cell>
        </row>
        <row r="5685">
          <cell r="A5685" t="str">
            <v>1;63;N;B;PAQ00a05</v>
          </cell>
          <cell r="B5685">
            <v>730069</v>
          </cell>
          <cell r="C5685" t="str">
            <v>N</v>
          </cell>
          <cell r="D5685" t="str">
            <v>NACIONAL</v>
          </cell>
          <cell r="E5685" t="str">
            <v>63</v>
          </cell>
          <cell r="F5685" t="str">
            <v>PAQ00a05</v>
          </cell>
          <cell r="G5685" t="str">
            <v>B</v>
          </cell>
          <cell r="H5685">
            <v>25.42</v>
          </cell>
        </row>
        <row r="5686">
          <cell r="A5686" t="str">
            <v>1;63;N;B;PAQ05a10</v>
          </cell>
          <cell r="B5686">
            <v>730069</v>
          </cell>
          <cell r="C5686" t="str">
            <v>N</v>
          </cell>
          <cell r="D5686" t="str">
            <v>NACIONAL</v>
          </cell>
          <cell r="E5686" t="str">
            <v>63</v>
          </cell>
          <cell r="F5686" t="str">
            <v>PAQ05a10</v>
          </cell>
          <cell r="G5686" t="str">
            <v>B</v>
          </cell>
          <cell r="H5686">
            <v>33.630000000000003</v>
          </cell>
        </row>
        <row r="5687">
          <cell r="A5687" t="str">
            <v>1;63;N;B;PAQ10a15</v>
          </cell>
          <cell r="B5687">
            <v>730069</v>
          </cell>
          <cell r="C5687" t="str">
            <v>N</v>
          </cell>
          <cell r="D5687" t="str">
            <v>NACIONAL</v>
          </cell>
          <cell r="E5687" t="str">
            <v>63</v>
          </cell>
          <cell r="F5687" t="str">
            <v>PAQ10a15</v>
          </cell>
          <cell r="G5687" t="str">
            <v>B</v>
          </cell>
          <cell r="H5687">
            <v>41.79</v>
          </cell>
        </row>
        <row r="5688">
          <cell r="A5688" t="str">
            <v>1;63;N;B;PAQ15a20</v>
          </cell>
          <cell r="B5688">
            <v>730069</v>
          </cell>
          <cell r="C5688" t="str">
            <v>N</v>
          </cell>
          <cell r="D5688" t="str">
            <v>NACIONAL</v>
          </cell>
          <cell r="E5688" t="str">
            <v>63</v>
          </cell>
          <cell r="F5688" t="str">
            <v>PAQ15a20</v>
          </cell>
          <cell r="G5688" t="str">
            <v>B</v>
          </cell>
          <cell r="H5688">
            <v>49.95</v>
          </cell>
        </row>
        <row r="5689">
          <cell r="A5689" t="str">
            <v>1;63;N;B;PAQ20a25</v>
          </cell>
          <cell r="B5689">
            <v>730069</v>
          </cell>
          <cell r="C5689" t="str">
            <v>N</v>
          </cell>
          <cell r="D5689" t="str">
            <v>NACIONAL</v>
          </cell>
          <cell r="E5689" t="str">
            <v>63</v>
          </cell>
          <cell r="F5689" t="str">
            <v>PAQ20a25</v>
          </cell>
          <cell r="G5689" t="str">
            <v>B</v>
          </cell>
          <cell r="H5689">
            <v>58.1</v>
          </cell>
        </row>
        <row r="5690">
          <cell r="A5690" t="str">
            <v>1;63;N;B;PAQ25a30</v>
          </cell>
          <cell r="B5690">
            <v>730069</v>
          </cell>
          <cell r="C5690" t="str">
            <v>N</v>
          </cell>
          <cell r="D5690" t="str">
            <v>NACIONAL</v>
          </cell>
          <cell r="E5690" t="str">
            <v>63</v>
          </cell>
          <cell r="F5690" t="str">
            <v>PAQ25a30</v>
          </cell>
          <cell r="G5690" t="str">
            <v>B</v>
          </cell>
          <cell r="H5690">
            <v>66.260000000000005</v>
          </cell>
        </row>
        <row r="5691">
          <cell r="A5691" t="str">
            <v>1;63;N;B;PAQ30a35</v>
          </cell>
          <cell r="B5691">
            <v>730069</v>
          </cell>
          <cell r="C5691" t="str">
            <v>N</v>
          </cell>
          <cell r="D5691" t="str">
            <v>NACIONAL</v>
          </cell>
          <cell r="E5691" t="str">
            <v>63</v>
          </cell>
          <cell r="F5691" t="str">
            <v>PAQ30a35</v>
          </cell>
          <cell r="G5691" t="str">
            <v>B</v>
          </cell>
          <cell r="H5691">
            <v>74.400000000000006</v>
          </cell>
        </row>
        <row r="5692">
          <cell r="A5692" t="str">
            <v>1;63;N;F;</v>
          </cell>
          <cell r="B5692">
            <v>730069</v>
          </cell>
          <cell r="C5692" t="str">
            <v>N</v>
          </cell>
          <cell r="D5692" t="str">
            <v>NACIONAL</v>
          </cell>
          <cell r="E5692" t="str">
            <v>63</v>
          </cell>
          <cell r="F5692" t="str">
            <v/>
          </cell>
          <cell r="G5692" t="str">
            <v>F</v>
          </cell>
          <cell r="H5692">
            <v>8.16</v>
          </cell>
        </row>
        <row r="5693">
          <cell r="A5693" t="str">
            <v>1;63;N;B;PAQ35a40</v>
          </cell>
          <cell r="B5693">
            <v>730069</v>
          </cell>
          <cell r="C5693" t="str">
            <v>N</v>
          </cell>
          <cell r="D5693" t="str">
            <v>NACIONAL</v>
          </cell>
          <cell r="E5693" t="str">
            <v>63</v>
          </cell>
          <cell r="F5693" t="str">
            <v>PAQ35a40</v>
          </cell>
          <cell r="G5693" t="str">
            <v>B</v>
          </cell>
          <cell r="H5693">
            <v>82.56</v>
          </cell>
        </row>
        <row r="5694">
          <cell r="A5694" t="str">
            <v>1;63;N;E;</v>
          </cell>
          <cell r="B5694">
            <v>730069</v>
          </cell>
          <cell r="C5694" t="str">
            <v>N</v>
          </cell>
          <cell r="D5694" t="str">
            <v>NACIONAL</v>
          </cell>
          <cell r="E5694" t="str">
            <v>63</v>
          </cell>
          <cell r="F5694" t="str">
            <v/>
          </cell>
          <cell r="G5694" t="str">
            <v>E</v>
          </cell>
          <cell r="H5694">
            <v>18.13</v>
          </cell>
        </row>
        <row r="5695">
          <cell r="A5695" t="str">
            <v>1;63;N;P;</v>
          </cell>
          <cell r="B5695">
            <v>730069</v>
          </cell>
          <cell r="C5695" t="str">
            <v>N</v>
          </cell>
          <cell r="D5695" t="str">
            <v>NACIONAL</v>
          </cell>
          <cell r="E5695" t="str">
            <v>63</v>
          </cell>
          <cell r="F5695" t="str">
            <v/>
          </cell>
          <cell r="G5695" t="str">
            <v>P</v>
          </cell>
          <cell r="H5695">
            <v>18.13</v>
          </cell>
        </row>
        <row r="5696">
          <cell r="A5696" t="str">
            <v>1;65;N;B;BAG</v>
          </cell>
          <cell r="B5696">
            <v>730069</v>
          </cell>
          <cell r="C5696" t="str">
            <v>N</v>
          </cell>
          <cell r="D5696" t="str">
            <v>NACIONAL</v>
          </cell>
          <cell r="E5696" t="str">
            <v>65</v>
          </cell>
          <cell r="F5696" t="str">
            <v>BAG</v>
          </cell>
          <cell r="G5696" t="str">
            <v>B</v>
          </cell>
          <cell r="H5696">
            <v>15.44</v>
          </cell>
        </row>
        <row r="5697">
          <cell r="A5697" t="str">
            <v>1;65;N;B;PAQ00a05</v>
          </cell>
          <cell r="B5697">
            <v>730069</v>
          </cell>
          <cell r="C5697" t="str">
            <v>N</v>
          </cell>
          <cell r="D5697" t="str">
            <v>NACIONAL</v>
          </cell>
          <cell r="E5697" t="str">
            <v>65</v>
          </cell>
          <cell r="F5697" t="str">
            <v>PAQ00a05</v>
          </cell>
          <cell r="G5697" t="str">
            <v>B</v>
          </cell>
          <cell r="H5697">
            <v>18.13</v>
          </cell>
        </row>
        <row r="5698">
          <cell r="A5698" t="str">
            <v>1;65;N;B;PAQ05a10</v>
          </cell>
          <cell r="B5698">
            <v>730069</v>
          </cell>
          <cell r="C5698" t="str">
            <v>N</v>
          </cell>
          <cell r="D5698" t="str">
            <v>NACIONAL</v>
          </cell>
          <cell r="E5698" t="str">
            <v>65</v>
          </cell>
          <cell r="F5698" t="str">
            <v>PAQ05a10</v>
          </cell>
          <cell r="G5698" t="str">
            <v>B</v>
          </cell>
          <cell r="H5698">
            <v>26.36</v>
          </cell>
        </row>
        <row r="5699">
          <cell r="A5699" t="str">
            <v>1;65;N;B;PAQ10a15</v>
          </cell>
          <cell r="B5699">
            <v>730069</v>
          </cell>
          <cell r="C5699" t="str">
            <v>N</v>
          </cell>
          <cell r="D5699" t="str">
            <v>NACIONAL</v>
          </cell>
          <cell r="E5699" t="str">
            <v>65</v>
          </cell>
          <cell r="F5699" t="str">
            <v>PAQ10a15</v>
          </cell>
          <cell r="G5699" t="str">
            <v>B</v>
          </cell>
          <cell r="H5699">
            <v>34.51</v>
          </cell>
        </row>
        <row r="5700">
          <cell r="A5700" t="str">
            <v>1;65;N;B;PAQ15a20</v>
          </cell>
          <cell r="B5700">
            <v>730069</v>
          </cell>
          <cell r="C5700" t="str">
            <v>N</v>
          </cell>
          <cell r="D5700" t="str">
            <v>NACIONAL</v>
          </cell>
          <cell r="E5700" t="str">
            <v>65</v>
          </cell>
          <cell r="F5700" t="str">
            <v>PAQ15a20</v>
          </cell>
          <cell r="G5700" t="str">
            <v>B</v>
          </cell>
          <cell r="H5700">
            <v>42.66</v>
          </cell>
        </row>
        <row r="5701">
          <cell r="A5701" t="str">
            <v>1;65;N;B;PAQ20a25</v>
          </cell>
          <cell r="B5701">
            <v>730069</v>
          </cell>
          <cell r="C5701" t="str">
            <v>N</v>
          </cell>
          <cell r="D5701" t="str">
            <v>NACIONAL</v>
          </cell>
          <cell r="E5701" t="str">
            <v>65</v>
          </cell>
          <cell r="F5701" t="str">
            <v>PAQ20a25</v>
          </cell>
          <cell r="G5701" t="str">
            <v>B</v>
          </cell>
          <cell r="H5701">
            <v>50.82</v>
          </cell>
        </row>
        <row r="5702">
          <cell r="A5702" t="str">
            <v>1;65;N;B;PAQ25a30</v>
          </cell>
          <cell r="B5702">
            <v>730069</v>
          </cell>
          <cell r="C5702" t="str">
            <v>N</v>
          </cell>
          <cell r="D5702" t="str">
            <v>NACIONAL</v>
          </cell>
          <cell r="E5702" t="str">
            <v>65</v>
          </cell>
          <cell r="F5702" t="str">
            <v>PAQ25a30</v>
          </cell>
          <cell r="G5702" t="str">
            <v>B</v>
          </cell>
          <cell r="H5702">
            <v>58.98</v>
          </cell>
        </row>
        <row r="5703">
          <cell r="A5703" t="str">
            <v>1;65;N;B;PAQ30a35</v>
          </cell>
          <cell r="B5703">
            <v>730069</v>
          </cell>
          <cell r="C5703" t="str">
            <v>N</v>
          </cell>
          <cell r="D5703" t="str">
            <v>NACIONAL</v>
          </cell>
          <cell r="E5703" t="str">
            <v>65</v>
          </cell>
          <cell r="F5703" t="str">
            <v>PAQ30a35</v>
          </cell>
          <cell r="G5703" t="str">
            <v>B</v>
          </cell>
          <cell r="H5703">
            <v>67.13</v>
          </cell>
        </row>
        <row r="5704">
          <cell r="A5704" t="str">
            <v>1;65;N;F;</v>
          </cell>
          <cell r="B5704">
            <v>730069</v>
          </cell>
          <cell r="C5704" t="str">
            <v>N</v>
          </cell>
          <cell r="D5704" t="str">
            <v>NACIONAL</v>
          </cell>
          <cell r="E5704" t="str">
            <v>65</v>
          </cell>
          <cell r="F5704" t="str">
            <v/>
          </cell>
          <cell r="G5704" t="str">
            <v>F</v>
          </cell>
          <cell r="H5704">
            <v>8.16</v>
          </cell>
        </row>
        <row r="5705">
          <cell r="A5705" t="str">
            <v>1;65;N;B;PAQ35a40</v>
          </cell>
          <cell r="B5705">
            <v>730069</v>
          </cell>
          <cell r="C5705" t="str">
            <v>N</v>
          </cell>
          <cell r="D5705" t="str">
            <v>NACIONAL</v>
          </cell>
          <cell r="E5705" t="str">
            <v>65</v>
          </cell>
          <cell r="F5705" t="str">
            <v>PAQ35a40</v>
          </cell>
          <cell r="G5705" t="str">
            <v>B</v>
          </cell>
          <cell r="H5705">
            <v>75.290000000000006</v>
          </cell>
        </row>
        <row r="5706">
          <cell r="A5706" t="str">
            <v>1;65;N;E;</v>
          </cell>
          <cell r="B5706">
            <v>730069</v>
          </cell>
          <cell r="C5706" t="str">
            <v>N</v>
          </cell>
          <cell r="D5706" t="str">
            <v>NACIONAL</v>
          </cell>
          <cell r="E5706" t="str">
            <v>65</v>
          </cell>
          <cell r="F5706" t="str">
            <v/>
          </cell>
          <cell r="G5706" t="str">
            <v>E</v>
          </cell>
          <cell r="H5706">
            <v>18.13</v>
          </cell>
        </row>
        <row r="5707">
          <cell r="A5707" t="str">
            <v>1;65;N;P;</v>
          </cell>
          <cell r="B5707">
            <v>730069</v>
          </cell>
          <cell r="C5707" t="str">
            <v>N</v>
          </cell>
          <cell r="D5707" t="str">
            <v>NACIONAL</v>
          </cell>
          <cell r="E5707" t="str">
            <v>65</v>
          </cell>
          <cell r="F5707" t="str">
            <v/>
          </cell>
          <cell r="G5707" t="str">
            <v>P</v>
          </cell>
          <cell r="H5707">
            <v>18.13</v>
          </cell>
        </row>
        <row r="5708">
          <cell r="A5708" t="str">
            <v>1;70;N;B;48L 15-25</v>
          </cell>
          <cell r="B5708">
            <v>730069</v>
          </cell>
          <cell r="C5708" t="str">
            <v>N</v>
          </cell>
          <cell r="D5708" t="str">
            <v>NACIONAL</v>
          </cell>
          <cell r="E5708" t="str">
            <v>70</v>
          </cell>
          <cell r="F5708" t="str">
            <v>48L 15-25</v>
          </cell>
          <cell r="G5708" t="str">
            <v>B</v>
          </cell>
          <cell r="H5708">
            <v>79.78</v>
          </cell>
        </row>
        <row r="5709">
          <cell r="A5709" t="str">
            <v>1;70;N;B;48LAR</v>
          </cell>
          <cell r="B5709">
            <v>730069</v>
          </cell>
          <cell r="C5709" t="str">
            <v>N</v>
          </cell>
          <cell r="D5709" t="str">
            <v>NACIONAL</v>
          </cell>
          <cell r="E5709" t="str">
            <v>70</v>
          </cell>
          <cell r="F5709" t="str">
            <v>48LAR</v>
          </cell>
          <cell r="G5709" t="str">
            <v>B</v>
          </cell>
          <cell r="H5709">
            <v>78.290000000000006</v>
          </cell>
        </row>
        <row r="5710">
          <cell r="A5710" t="str">
            <v>1;70;N;B;48M 15-25</v>
          </cell>
          <cell r="B5710">
            <v>730069</v>
          </cell>
          <cell r="C5710" t="str">
            <v>N</v>
          </cell>
          <cell r="D5710" t="str">
            <v>NACIONAL</v>
          </cell>
          <cell r="E5710" t="str">
            <v>70</v>
          </cell>
          <cell r="F5710" t="str">
            <v>48M 15-25</v>
          </cell>
          <cell r="G5710" t="str">
            <v>B</v>
          </cell>
          <cell r="H5710">
            <v>62.26</v>
          </cell>
        </row>
        <row r="5711">
          <cell r="A5711" t="str">
            <v>1;70;N;B;48MED</v>
          </cell>
          <cell r="B5711">
            <v>730069</v>
          </cell>
          <cell r="C5711" t="str">
            <v>N</v>
          </cell>
          <cell r="D5711" t="str">
            <v>NACIONAL</v>
          </cell>
          <cell r="E5711" t="str">
            <v>70</v>
          </cell>
          <cell r="F5711" t="str">
            <v>48MED</v>
          </cell>
          <cell r="G5711" t="str">
            <v>B</v>
          </cell>
          <cell r="H5711">
            <v>67.38</v>
          </cell>
        </row>
        <row r="5712">
          <cell r="A5712" t="str">
            <v>1;70;N;B;48S 15-25</v>
          </cell>
          <cell r="B5712">
            <v>730069</v>
          </cell>
          <cell r="C5712" t="str">
            <v>N</v>
          </cell>
          <cell r="D5712" t="str">
            <v>NACIONAL</v>
          </cell>
          <cell r="E5712" t="str">
            <v>70</v>
          </cell>
          <cell r="F5712" t="str">
            <v>48S 15-25</v>
          </cell>
          <cell r="G5712" t="str">
            <v>B</v>
          </cell>
          <cell r="H5712">
            <v>58.31</v>
          </cell>
        </row>
        <row r="5713">
          <cell r="A5713" t="str">
            <v>1;70;N;B;48SMA</v>
          </cell>
          <cell r="B5713">
            <v>730069</v>
          </cell>
          <cell r="C5713" t="str">
            <v>N</v>
          </cell>
          <cell r="D5713" t="str">
            <v>NACIONAL</v>
          </cell>
          <cell r="E5713" t="str">
            <v>70</v>
          </cell>
          <cell r="F5713" t="str">
            <v>48SMA</v>
          </cell>
          <cell r="G5713" t="str">
            <v>B</v>
          </cell>
          <cell r="H5713">
            <v>65.16</v>
          </cell>
        </row>
        <row r="5714">
          <cell r="A5714" t="str">
            <v>1;70;N;B;96M 15-25</v>
          </cell>
          <cell r="B5714">
            <v>730069</v>
          </cell>
          <cell r="C5714" t="str">
            <v>N</v>
          </cell>
          <cell r="D5714" t="str">
            <v>NACIONAL</v>
          </cell>
          <cell r="E5714" t="str">
            <v>70</v>
          </cell>
          <cell r="F5714" t="str">
            <v>96M 15-25</v>
          </cell>
          <cell r="G5714" t="str">
            <v>B</v>
          </cell>
          <cell r="H5714">
            <v>92.1</v>
          </cell>
        </row>
        <row r="5715">
          <cell r="A5715" t="str">
            <v>1;70;N;B;96MED</v>
          </cell>
          <cell r="B5715">
            <v>730069</v>
          </cell>
          <cell r="C5715" t="str">
            <v>N</v>
          </cell>
          <cell r="D5715" t="str">
            <v>NACIONAL</v>
          </cell>
          <cell r="E5715" t="str">
            <v>70</v>
          </cell>
          <cell r="F5715" t="str">
            <v>96MED</v>
          </cell>
          <cell r="G5715" t="str">
            <v>B</v>
          </cell>
          <cell r="H5715">
            <v>91.29</v>
          </cell>
        </row>
        <row r="5716">
          <cell r="A5716" t="str">
            <v>1;70;N;B;96S 15-25</v>
          </cell>
          <cell r="B5716">
            <v>730069</v>
          </cell>
          <cell r="C5716" t="str">
            <v>N</v>
          </cell>
          <cell r="D5716" t="str">
            <v>NACIONAL</v>
          </cell>
          <cell r="E5716" t="str">
            <v>70</v>
          </cell>
          <cell r="F5716" t="str">
            <v>96S 15-25</v>
          </cell>
          <cell r="G5716" t="str">
            <v>B</v>
          </cell>
          <cell r="H5716">
            <v>71.67</v>
          </cell>
        </row>
        <row r="5717">
          <cell r="A5717" t="str">
            <v>1;70;N;B;96SMA</v>
          </cell>
          <cell r="B5717">
            <v>730069</v>
          </cell>
          <cell r="C5717" t="str">
            <v>N</v>
          </cell>
          <cell r="D5717" t="str">
            <v>NACIONAL</v>
          </cell>
          <cell r="E5717" t="str">
            <v>70</v>
          </cell>
          <cell r="F5717" t="str">
            <v>96SMA</v>
          </cell>
          <cell r="G5717" t="str">
            <v>B</v>
          </cell>
          <cell r="H5717">
            <v>77.25</v>
          </cell>
        </row>
        <row r="5718">
          <cell r="A5718" t="str">
            <v>1;72;N;B;48L 15-25</v>
          </cell>
          <cell r="B5718">
            <v>730069</v>
          </cell>
          <cell r="C5718" t="str">
            <v>N</v>
          </cell>
          <cell r="D5718" t="str">
            <v>NACIONAL</v>
          </cell>
          <cell r="E5718" t="str">
            <v>72</v>
          </cell>
          <cell r="F5718" t="str">
            <v>48L 15-25</v>
          </cell>
          <cell r="G5718" t="str">
            <v>B</v>
          </cell>
          <cell r="H5718">
            <v>52.39</v>
          </cell>
        </row>
        <row r="5719">
          <cell r="A5719" t="str">
            <v>1;72;N;B;48LAR</v>
          </cell>
          <cell r="B5719">
            <v>730069</v>
          </cell>
          <cell r="C5719" t="str">
            <v>N</v>
          </cell>
          <cell r="D5719" t="str">
            <v>NACIONAL</v>
          </cell>
          <cell r="E5719" t="str">
            <v>72</v>
          </cell>
          <cell r="F5719" t="str">
            <v>48LAR</v>
          </cell>
          <cell r="G5719" t="str">
            <v>B</v>
          </cell>
          <cell r="H5719">
            <v>47.1</v>
          </cell>
        </row>
        <row r="5720">
          <cell r="A5720" t="str">
            <v>1;72;N;B;48M 15-25</v>
          </cell>
          <cell r="B5720">
            <v>730069</v>
          </cell>
          <cell r="C5720" t="str">
            <v>N</v>
          </cell>
          <cell r="D5720" t="str">
            <v>NACIONAL</v>
          </cell>
          <cell r="E5720" t="str">
            <v>72</v>
          </cell>
          <cell r="F5720" t="str">
            <v>48M 15-25</v>
          </cell>
          <cell r="G5720" t="str">
            <v>B</v>
          </cell>
          <cell r="H5720">
            <v>39.81</v>
          </cell>
        </row>
        <row r="5721">
          <cell r="A5721" t="str">
            <v>1;72;N;B;48MED</v>
          </cell>
          <cell r="B5721">
            <v>730069</v>
          </cell>
          <cell r="C5721" t="str">
            <v>N</v>
          </cell>
          <cell r="D5721" t="str">
            <v>NACIONAL</v>
          </cell>
          <cell r="E5721" t="str">
            <v>72</v>
          </cell>
          <cell r="F5721" t="str">
            <v>48MED</v>
          </cell>
          <cell r="G5721" t="str">
            <v>B</v>
          </cell>
          <cell r="H5721">
            <v>40.880000000000003</v>
          </cell>
        </row>
        <row r="5722">
          <cell r="A5722" t="str">
            <v>1;72;N;B;48S 15-25</v>
          </cell>
          <cell r="B5722">
            <v>730069</v>
          </cell>
          <cell r="C5722" t="str">
            <v>N</v>
          </cell>
          <cell r="D5722" t="str">
            <v>NACIONAL</v>
          </cell>
          <cell r="E5722" t="str">
            <v>72</v>
          </cell>
          <cell r="F5722" t="str">
            <v>48S 15-25</v>
          </cell>
          <cell r="G5722" t="str">
            <v>B</v>
          </cell>
          <cell r="H5722">
            <v>35.909999999999997</v>
          </cell>
        </row>
        <row r="5723">
          <cell r="A5723" t="str">
            <v>1;72;N;B;48SMA</v>
          </cell>
          <cell r="B5723">
            <v>730069</v>
          </cell>
          <cell r="C5723" t="str">
            <v>N</v>
          </cell>
          <cell r="D5723" t="str">
            <v>NACIONAL</v>
          </cell>
          <cell r="E5723" t="str">
            <v>72</v>
          </cell>
          <cell r="F5723" t="str">
            <v>48SMA</v>
          </cell>
          <cell r="G5723" t="str">
            <v>B</v>
          </cell>
          <cell r="H5723">
            <v>38.67</v>
          </cell>
        </row>
        <row r="5724">
          <cell r="A5724" t="str">
            <v>1;72;N;B;96M 15-25</v>
          </cell>
          <cell r="B5724">
            <v>730069</v>
          </cell>
          <cell r="C5724" t="str">
            <v>N</v>
          </cell>
          <cell r="D5724" t="str">
            <v>NACIONAL</v>
          </cell>
          <cell r="E5724" t="str">
            <v>72</v>
          </cell>
          <cell r="F5724" t="str">
            <v>96M 15-25</v>
          </cell>
          <cell r="G5724" t="str">
            <v>B</v>
          </cell>
          <cell r="H5724">
            <v>59.32</v>
          </cell>
        </row>
        <row r="5725">
          <cell r="A5725" t="str">
            <v>1;72;N;B;96MED</v>
          </cell>
          <cell r="B5725">
            <v>730069</v>
          </cell>
          <cell r="C5725" t="str">
            <v>N</v>
          </cell>
          <cell r="D5725" t="str">
            <v>NACIONAL</v>
          </cell>
          <cell r="E5725" t="str">
            <v>72</v>
          </cell>
          <cell r="F5725" t="str">
            <v>96MED</v>
          </cell>
          <cell r="G5725" t="str">
            <v>B</v>
          </cell>
          <cell r="H5725">
            <v>57.65</v>
          </cell>
        </row>
        <row r="5726">
          <cell r="A5726" t="str">
            <v>1;72;N;B;96S 15-25</v>
          </cell>
          <cell r="B5726">
            <v>730069</v>
          </cell>
          <cell r="C5726" t="str">
            <v>N</v>
          </cell>
          <cell r="D5726" t="str">
            <v>NACIONAL</v>
          </cell>
          <cell r="E5726" t="str">
            <v>72</v>
          </cell>
          <cell r="F5726" t="str">
            <v>96S 15-25</v>
          </cell>
          <cell r="G5726" t="str">
            <v>B</v>
          </cell>
          <cell r="H5726">
            <v>44.34</v>
          </cell>
        </row>
        <row r="5727">
          <cell r="A5727" t="str">
            <v>1;72;N;B;96SMA</v>
          </cell>
          <cell r="B5727">
            <v>730069</v>
          </cell>
          <cell r="C5727" t="str">
            <v>N</v>
          </cell>
          <cell r="D5727" t="str">
            <v>NACIONAL</v>
          </cell>
          <cell r="E5727" t="str">
            <v>72</v>
          </cell>
          <cell r="F5727" t="str">
            <v>96SMA</v>
          </cell>
          <cell r="G5727" t="str">
            <v>B</v>
          </cell>
          <cell r="H5727">
            <v>46.06</v>
          </cell>
        </row>
        <row r="5728">
          <cell r="A5728" t="str">
            <v>1;73;N;B;48L 15-25</v>
          </cell>
          <cell r="B5728">
            <v>730069</v>
          </cell>
          <cell r="C5728" t="str">
            <v>N</v>
          </cell>
          <cell r="D5728" t="str">
            <v>NACIONAL</v>
          </cell>
          <cell r="E5728" t="str">
            <v>73</v>
          </cell>
          <cell r="F5728" t="str">
            <v>48L 15-25</v>
          </cell>
          <cell r="G5728" t="str">
            <v>B</v>
          </cell>
          <cell r="H5728">
            <v>57.66</v>
          </cell>
        </row>
        <row r="5729">
          <cell r="A5729" t="str">
            <v>1;73;N;B;48LAR</v>
          </cell>
          <cell r="B5729">
            <v>730069</v>
          </cell>
          <cell r="C5729" t="str">
            <v>N</v>
          </cell>
          <cell r="D5729" t="str">
            <v>NACIONAL</v>
          </cell>
          <cell r="E5729" t="str">
            <v>73</v>
          </cell>
          <cell r="F5729" t="str">
            <v>48LAR</v>
          </cell>
          <cell r="G5729" t="str">
            <v>B</v>
          </cell>
          <cell r="H5729">
            <v>54.86</v>
          </cell>
        </row>
        <row r="5730">
          <cell r="A5730" t="str">
            <v>1;73;N;B;48M 15-25</v>
          </cell>
          <cell r="B5730">
            <v>730069</v>
          </cell>
          <cell r="C5730" t="str">
            <v>N</v>
          </cell>
          <cell r="D5730" t="str">
            <v>NACIONAL</v>
          </cell>
          <cell r="E5730" t="str">
            <v>73</v>
          </cell>
          <cell r="F5730" t="str">
            <v>48M 15-25</v>
          </cell>
          <cell r="G5730" t="str">
            <v>B</v>
          </cell>
          <cell r="H5730">
            <v>46.67</v>
          </cell>
        </row>
        <row r="5731">
          <cell r="A5731" t="str">
            <v>1;73;N;B;48MED</v>
          </cell>
          <cell r="B5731">
            <v>730069</v>
          </cell>
          <cell r="C5731" t="str">
            <v>N</v>
          </cell>
          <cell r="D5731" t="str">
            <v>NACIONAL</v>
          </cell>
          <cell r="E5731" t="str">
            <v>73</v>
          </cell>
          <cell r="F5731" t="str">
            <v>48MED</v>
          </cell>
          <cell r="G5731" t="str">
            <v>B</v>
          </cell>
          <cell r="H5731">
            <v>48.69</v>
          </cell>
        </row>
        <row r="5732">
          <cell r="A5732" t="str">
            <v>1;73;N;B;48S 15-25</v>
          </cell>
          <cell r="B5732">
            <v>730069</v>
          </cell>
          <cell r="C5732" t="str">
            <v>N</v>
          </cell>
          <cell r="D5732" t="str">
            <v>NACIONAL</v>
          </cell>
          <cell r="E5732" t="str">
            <v>73</v>
          </cell>
          <cell r="F5732" t="str">
            <v>48S 15-25</v>
          </cell>
          <cell r="G5732" t="str">
            <v>B</v>
          </cell>
          <cell r="H5732">
            <v>42.73</v>
          </cell>
        </row>
        <row r="5733">
          <cell r="A5733" t="str">
            <v>1;73;N;B;48SMA</v>
          </cell>
          <cell r="B5733">
            <v>730069</v>
          </cell>
          <cell r="C5733" t="str">
            <v>N</v>
          </cell>
          <cell r="D5733" t="str">
            <v>NACIONAL</v>
          </cell>
          <cell r="E5733" t="str">
            <v>73</v>
          </cell>
          <cell r="F5733" t="str">
            <v>48SMA</v>
          </cell>
          <cell r="G5733" t="str">
            <v>B</v>
          </cell>
          <cell r="H5733">
            <v>46.47</v>
          </cell>
        </row>
        <row r="5734">
          <cell r="A5734" t="str">
            <v>1;73;N;B;96M 15-25</v>
          </cell>
          <cell r="B5734">
            <v>730069</v>
          </cell>
          <cell r="C5734" t="str">
            <v>N</v>
          </cell>
          <cell r="D5734" t="str">
            <v>NACIONAL</v>
          </cell>
          <cell r="E5734" t="str">
            <v>73</v>
          </cell>
          <cell r="F5734" t="str">
            <v>96M 15-25</v>
          </cell>
          <cell r="G5734" t="str">
            <v>B</v>
          </cell>
          <cell r="H5734">
            <v>65.67</v>
          </cell>
        </row>
        <row r="5735">
          <cell r="A5735" t="str">
            <v>1;73;N;B;96MED</v>
          </cell>
          <cell r="B5735">
            <v>730069</v>
          </cell>
          <cell r="C5735" t="str">
            <v>N</v>
          </cell>
          <cell r="D5735" t="str">
            <v>NACIONAL</v>
          </cell>
          <cell r="E5735" t="str">
            <v>73</v>
          </cell>
          <cell r="F5735" t="str">
            <v>96MED</v>
          </cell>
          <cell r="G5735" t="str">
            <v>B</v>
          </cell>
          <cell r="H5735">
            <v>65.430000000000007</v>
          </cell>
        </row>
        <row r="5736">
          <cell r="A5736" t="str">
            <v>1;73;N;B;96S 15-25</v>
          </cell>
          <cell r="B5736">
            <v>730069</v>
          </cell>
          <cell r="C5736" t="str">
            <v>N</v>
          </cell>
          <cell r="D5736" t="str">
            <v>NACIONAL</v>
          </cell>
          <cell r="E5736" t="str">
            <v>73</v>
          </cell>
          <cell r="F5736" t="str">
            <v>96S 15-25</v>
          </cell>
          <cell r="G5736" t="str">
            <v>B</v>
          </cell>
          <cell r="H5736">
            <v>51.16</v>
          </cell>
        </row>
        <row r="5737">
          <cell r="A5737" t="str">
            <v>1;73;N;B;96SMA</v>
          </cell>
          <cell r="B5737">
            <v>730069</v>
          </cell>
          <cell r="C5737" t="str">
            <v>N</v>
          </cell>
          <cell r="D5737" t="str">
            <v>NACIONAL</v>
          </cell>
          <cell r="E5737" t="str">
            <v>73</v>
          </cell>
          <cell r="F5737" t="str">
            <v>96SMA</v>
          </cell>
          <cell r="G5737" t="str">
            <v>B</v>
          </cell>
          <cell r="H5737">
            <v>53.82</v>
          </cell>
        </row>
        <row r="5738">
          <cell r="A5738" t="str">
            <v>1;78;N;B;48L 15-25</v>
          </cell>
          <cell r="B5738">
            <v>730069</v>
          </cell>
          <cell r="C5738" t="str">
            <v>N</v>
          </cell>
          <cell r="D5738" t="str">
            <v>NACIONAL</v>
          </cell>
          <cell r="E5738" t="str">
            <v>78</v>
          </cell>
          <cell r="F5738" t="str">
            <v>48L 15-25</v>
          </cell>
          <cell r="G5738" t="str">
            <v>B</v>
          </cell>
          <cell r="H5738">
            <v>5</v>
          </cell>
        </row>
        <row r="5739">
          <cell r="A5739" t="str">
            <v>1;78;N;B;48LAR</v>
          </cell>
          <cell r="B5739">
            <v>730069</v>
          </cell>
          <cell r="C5739" t="str">
            <v>N</v>
          </cell>
          <cell r="D5739" t="str">
            <v>NACIONAL</v>
          </cell>
          <cell r="E5739" t="str">
            <v>78</v>
          </cell>
          <cell r="F5739" t="str">
            <v>48LAR</v>
          </cell>
          <cell r="G5739" t="str">
            <v>B</v>
          </cell>
          <cell r="H5739">
            <v>5</v>
          </cell>
        </row>
        <row r="5740">
          <cell r="A5740" t="str">
            <v>1;78;N;B;48M 15-25</v>
          </cell>
          <cell r="B5740">
            <v>730069</v>
          </cell>
          <cell r="C5740" t="str">
            <v>N</v>
          </cell>
          <cell r="D5740" t="str">
            <v>NACIONAL</v>
          </cell>
          <cell r="E5740" t="str">
            <v>78</v>
          </cell>
          <cell r="F5740" t="str">
            <v>48M 15-25</v>
          </cell>
          <cell r="G5740" t="str">
            <v>B</v>
          </cell>
          <cell r="H5740">
            <v>5</v>
          </cell>
        </row>
        <row r="5741">
          <cell r="A5741" t="str">
            <v>1;78;N;B;48MED</v>
          </cell>
          <cell r="B5741">
            <v>730069</v>
          </cell>
          <cell r="C5741" t="str">
            <v>N</v>
          </cell>
          <cell r="D5741" t="str">
            <v>NACIONAL</v>
          </cell>
          <cell r="E5741" t="str">
            <v>78</v>
          </cell>
          <cell r="F5741" t="str">
            <v>48MED</v>
          </cell>
          <cell r="G5741" t="str">
            <v>B</v>
          </cell>
          <cell r="H5741">
            <v>5</v>
          </cell>
        </row>
        <row r="5742">
          <cell r="A5742" t="str">
            <v>1;78;N;B;48S 15-25</v>
          </cell>
          <cell r="B5742">
            <v>730069</v>
          </cell>
          <cell r="C5742" t="str">
            <v>N</v>
          </cell>
          <cell r="D5742" t="str">
            <v>NACIONAL</v>
          </cell>
          <cell r="E5742" t="str">
            <v>78</v>
          </cell>
          <cell r="F5742" t="str">
            <v>48S 15-25</v>
          </cell>
          <cell r="G5742" t="str">
            <v>B</v>
          </cell>
          <cell r="H5742">
            <v>5</v>
          </cell>
        </row>
        <row r="5743">
          <cell r="A5743" t="str">
            <v>1;78;N;B;48SMA</v>
          </cell>
          <cell r="B5743">
            <v>730069</v>
          </cell>
          <cell r="C5743" t="str">
            <v>N</v>
          </cell>
          <cell r="D5743" t="str">
            <v>NACIONAL</v>
          </cell>
          <cell r="E5743" t="str">
            <v>78</v>
          </cell>
          <cell r="F5743" t="str">
            <v>48SMA</v>
          </cell>
          <cell r="G5743" t="str">
            <v>B</v>
          </cell>
          <cell r="H5743">
            <v>5</v>
          </cell>
        </row>
        <row r="5744">
          <cell r="A5744" t="str">
            <v>1;78;N;B;96M 15-25</v>
          </cell>
          <cell r="B5744">
            <v>730069</v>
          </cell>
          <cell r="C5744" t="str">
            <v>N</v>
          </cell>
          <cell r="D5744" t="str">
            <v>NACIONAL</v>
          </cell>
          <cell r="E5744" t="str">
            <v>78</v>
          </cell>
          <cell r="F5744" t="str">
            <v>96M 15-25</v>
          </cell>
          <cell r="G5744" t="str">
            <v>B</v>
          </cell>
          <cell r="H5744">
            <v>5</v>
          </cell>
        </row>
        <row r="5745">
          <cell r="A5745" t="str">
            <v>1;78;N;B;96MED</v>
          </cell>
          <cell r="B5745">
            <v>730069</v>
          </cell>
          <cell r="C5745" t="str">
            <v>N</v>
          </cell>
          <cell r="D5745" t="str">
            <v>NACIONAL</v>
          </cell>
          <cell r="E5745" t="str">
            <v>78</v>
          </cell>
          <cell r="F5745" t="str">
            <v>96MED</v>
          </cell>
          <cell r="G5745" t="str">
            <v>B</v>
          </cell>
          <cell r="H5745">
            <v>5</v>
          </cell>
        </row>
        <row r="5746">
          <cell r="A5746" t="str">
            <v>1;78;N;B;96S 15-25</v>
          </cell>
          <cell r="B5746">
            <v>730069</v>
          </cell>
          <cell r="C5746" t="str">
            <v>N</v>
          </cell>
          <cell r="D5746" t="str">
            <v>NACIONAL</v>
          </cell>
          <cell r="E5746" t="str">
            <v>78</v>
          </cell>
          <cell r="F5746" t="str">
            <v>96S 15-25</v>
          </cell>
          <cell r="G5746" t="str">
            <v>B</v>
          </cell>
          <cell r="H5746">
            <v>5</v>
          </cell>
        </row>
        <row r="5747">
          <cell r="A5747" t="str">
            <v>1;78;N;B;96SMA</v>
          </cell>
          <cell r="B5747">
            <v>730069</v>
          </cell>
          <cell r="C5747" t="str">
            <v>N</v>
          </cell>
          <cell r="D5747" t="str">
            <v>NACIONAL</v>
          </cell>
          <cell r="E5747" t="str">
            <v>78</v>
          </cell>
          <cell r="F5747" t="str">
            <v>96SMA</v>
          </cell>
          <cell r="G5747" t="str">
            <v>B</v>
          </cell>
          <cell r="H5747">
            <v>5</v>
          </cell>
        </row>
        <row r="5748">
          <cell r="A5748" t="str">
            <v>1;79;N;B;48L 15-25</v>
          </cell>
          <cell r="B5748">
            <v>730069</v>
          </cell>
          <cell r="C5748" t="str">
            <v>N</v>
          </cell>
          <cell r="D5748" t="str">
            <v>NACIONAL</v>
          </cell>
          <cell r="E5748" t="str">
            <v>79</v>
          </cell>
          <cell r="F5748" t="str">
            <v>48L 15-25</v>
          </cell>
          <cell r="G5748" t="str">
            <v>B</v>
          </cell>
          <cell r="H5748">
            <v>0</v>
          </cell>
        </row>
        <row r="5749">
          <cell r="A5749" t="str">
            <v>1;79;N;B;48LAR</v>
          </cell>
          <cell r="B5749">
            <v>730069</v>
          </cell>
          <cell r="C5749" t="str">
            <v>N</v>
          </cell>
          <cell r="D5749" t="str">
            <v>NACIONAL</v>
          </cell>
          <cell r="E5749" t="str">
            <v>79</v>
          </cell>
          <cell r="F5749" t="str">
            <v>48LAR</v>
          </cell>
          <cell r="G5749" t="str">
            <v>B</v>
          </cell>
          <cell r="H5749">
            <v>0</v>
          </cell>
        </row>
        <row r="5750">
          <cell r="A5750" t="str">
            <v>1;79;N;B;48M 15-25</v>
          </cell>
          <cell r="B5750">
            <v>730069</v>
          </cell>
          <cell r="C5750" t="str">
            <v>N</v>
          </cell>
          <cell r="D5750" t="str">
            <v>NACIONAL</v>
          </cell>
          <cell r="E5750" t="str">
            <v>79</v>
          </cell>
          <cell r="F5750" t="str">
            <v>48M 15-25</v>
          </cell>
          <cell r="G5750" t="str">
            <v>B</v>
          </cell>
          <cell r="H5750">
            <v>0</v>
          </cell>
        </row>
        <row r="5751">
          <cell r="A5751" t="str">
            <v>1;79;N;B;48MED</v>
          </cell>
          <cell r="B5751">
            <v>730069</v>
          </cell>
          <cell r="C5751" t="str">
            <v>N</v>
          </cell>
          <cell r="D5751" t="str">
            <v>NACIONAL</v>
          </cell>
          <cell r="E5751" t="str">
            <v>79</v>
          </cell>
          <cell r="F5751" t="str">
            <v>48MED</v>
          </cell>
          <cell r="G5751" t="str">
            <v>B</v>
          </cell>
          <cell r="H5751">
            <v>0</v>
          </cell>
        </row>
        <row r="5752">
          <cell r="A5752" t="str">
            <v>1;79;N;B;48S 15-25</v>
          </cell>
          <cell r="B5752">
            <v>730069</v>
          </cell>
          <cell r="C5752" t="str">
            <v>N</v>
          </cell>
          <cell r="D5752" t="str">
            <v>NACIONAL</v>
          </cell>
          <cell r="E5752" t="str">
            <v>79</v>
          </cell>
          <cell r="F5752" t="str">
            <v>48S 15-25</v>
          </cell>
          <cell r="G5752" t="str">
            <v>B</v>
          </cell>
          <cell r="H5752">
            <v>0</v>
          </cell>
        </row>
        <row r="5753">
          <cell r="A5753" t="str">
            <v>1;79;N;B;48SMA</v>
          </cell>
          <cell r="B5753">
            <v>730069</v>
          </cell>
          <cell r="C5753" t="str">
            <v>N</v>
          </cell>
          <cell r="D5753" t="str">
            <v>NACIONAL</v>
          </cell>
          <cell r="E5753" t="str">
            <v>79</v>
          </cell>
          <cell r="F5753" t="str">
            <v>48SMA</v>
          </cell>
          <cell r="G5753" t="str">
            <v>B</v>
          </cell>
          <cell r="H5753">
            <v>0</v>
          </cell>
        </row>
        <row r="5754">
          <cell r="A5754" t="str">
            <v>1;79;N;B;96M 15-25</v>
          </cell>
          <cell r="B5754">
            <v>730069</v>
          </cell>
          <cell r="C5754" t="str">
            <v>N</v>
          </cell>
          <cell r="D5754" t="str">
            <v>NACIONAL</v>
          </cell>
          <cell r="E5754" t="str">
            <v>79</v>
          </cell>
          <cell r="F5754" t="str">
            <v>96M 15-25</v>
          </cell>
          <cell r="G5754" t="str">
            <v>B</v>
          </cell>
          <cell r="H5754">
            <v>0</v>
          </cell>
        </row>
        <row r="5755">
          <cell r="A5755" t="str">
            <v>1;79;N;B;96MED</v>
          </cell>
          <cell r="B5755">
            <v>730069</v>
          </cell>
          <cell r="C5755" t="str">
            <v>N</v>
          </cell>
          <cell r="D5755" t="str">
            <v>NACIONAL</v>
          </cell>
          <cell r="E5755" t="str">
            <v>79</v>
          </cell>
          <cell r="F5755" t="str">
            <v>96MED</v>
          </cell>
          <cell r="G5755" t="str">
            <v>B</v>
          </cell>
          <cell r="H5755">
            <v>0</v>
          </cell>
        </row>
        <row r="5756">
          <cell r="A5756" t="str">
            <v>1;79;N;B;96S 15-25</v>
          </cell>
          <cell r="B5756">
            <v>730069</v>
          </cell>
          <cell r="C5756" t="str">
            <v>N</v>
          </cell>
          <cell r="D5756" t="str">
            <v>NACIONAL</v>
          </cell>
          <cell r="E5756" t="str">
            <v>79</v>
          </cell>
          <cell r="F5756" t="str">
            <v>96S 15-25</v>
          </cell>
          <cell r="G5756" t="str">
            <v>B</v>
          </cell>
          <cell r="H5756">
            <v>0</v>
          </cell>
        </row>
        <row r="5757">
          <cell r="A5757" t="str">
            <v>1;79;N;B;96SMA</v>
          </cell>
          <cell r="B5757">
            <v>730069</v>
          </cell>
          <cell r="C5757" t="str">
            <v>N</v>
          </cell>
          <cell r="D5757" t="str">
            <v>NACIONAL</v>
          </cell>
          <cell r="E5757" t="str">
            <v>79</v>
          </cell>
          <cell r="F5757" t="str">
            <v>96SMA</v>
          </cell>
          <cell r="G5757" t="str">
            <v>B</v>
          </cell>
          <cell r="H5757">
            <v>0</v>
          </cell>
        </row>
        <row r="5758">
          <cell r="A5758" t="str">
            <v>1;90;N;B;PAQ00a20</v>
          </cell>
          <cell r="B5758">
            <v>730069</v>
          </cell>
          <cell r="C5758" t="str">
            <v>N</v>
          </cell>
          <cell r="D5758" t="str">
            <v>NACIONAL</v>
          </cell>
          <cell r="E5758" t="str">
            <v>90</v>
          </cell>
          <cell r="F5758" t="str">
            <v>PAQ00a20</v>
          </cell>
          <cell r="G5758" t="str">
            <v>B</v>
          </cell>
          <cell r="H5758">
            <v>4.4400000000000004</v>
          </cell>
        </row>
        <row r="5759">
          <cell r="A5759" t="str">
            <v>1;91;N;B;PAQ00a20</v>
          </cell>
          <cell r="B5759">
            <v>730069</v>
          </cell>
          <cell r="C5759" t="str">
            <v>N</v>
          </cell>
          <cell r="D5759" t="str">
            <v>NACIONAL</v>
          </cell>
          <cell r="E5759" t="str">
            <v>91</v>
          </cell>
          <cell r="F5759" t="str">
            <v>PAQ00a20</v>
          </cell>
          <cell r="G5759" t="str">
            <v>B</v>
          </cell>
          <cell r="H5759">
            <v>4.4400000000000004</v>
          </cell>
        </row>
        <row r="5760">
          <cell r="A5760" t="str">
            <v>1;95;N;B;PAQ00a20</v>
          </cell>
          <cell r="B5760">
            <v>730069</v>
          </cell>
          <cell r="C5760" t="str">
            <v>N</v>
          </cell>
          <cell r="D5760" t="str">
            <v>NACIONAL</v>
          </cell>
          <cell r="E5760" t="str">
            <v>95</v>
          </cell>
          <cell r="F5760" t="str">
            <v>PAQ00a20</v>
          </cell>
          <cell r="G5760" t="str">
            <v>B</v>
          </cell>
          <cell r="H5760">
            <v>4.4400000000000004</v>
          </cell>
        </row>
        <row r="5761">
          <cell r="A5761" t="str">
            <v>1;96;N;B;PAQ00a20</v>
          </cell>
          <cell r="B5761">
            <v>730069</v>
          </cell>
          <cell r="C5761" t="str">
            <v>N</v>
          </cell>
          <cell r="D5761" t="str">
            <v>NACIONAL</v>
          </cell>
          <cell r="E5761" t="str">
            <v>96</v>
          </cell>
          <cell r="F5761" t="str">
            <v>PAQ00a20</v>
          </cell>
          <cell r="G5761" t="str">
            <v>B</v>
          </cell>
          <cell r="H5761">
            <v>2.2000000000000002</v>
          </cell>
        </row>
        <row r="5762">
          <cell r="A5762" t="str">
            <v>1;E;NP;B;BAG</v>
          </cell>
          <cell r="B5762">
            <v>730069</v>
          </cell>
          <cell r="C5762" t="str">
            <v>NP</v>
          </cell>
          <cell r="D5762" t="str">
            <v>NAC PORTUGAL</v>
          </cell>
          <cell r="E5762" t="str">
            <v>E</v>
          </cell>
          <cell r="F5762" t="str">
            <v>BAG</v>
          </cell>
          <cell r="G5762" t="str">
            <v>B</v>
          </cell>
          <cell r="H5762">
            <v>0</v>
          </cell>
        </row>
        <row r="5763">
          <cell r="A5763" t="str">
            <v>1;E;NP;B;PAQ00a05</v>
          </cell>
          <cell r="B5763">
            <v>730069</v>
          </cell>
          <cell r="C5763" t="str">
            <v>NP</v>
          </cell>
          <cell r="D5763" t="str">
            <v>NAC PORTUGAL</v>
          </cell>
          <cell r="E5763" t="str">
            <v>E</v>
          </cell>
          <cell r="F5763" t="str">
            <v>PAQ00a05</v>
          </cell>
          <cell r="G5763" t="str">
            <v>B</v>
          </cell>
          <cell r="H5763">
            <v>0</v>
          </cell>
        </row>
        <row r="5764">
          <cell r="A5764" t="str">
            <v>1;E;NP;B;PAQ05a10</v>
          </cell>
          <cell r="B5764">
            <v>730069</v>
          </cell>
          <cell r="C5764" t="str">
            <v>NP</v>
          </cell>
          <cell r="D5764" t="str">
            <v>NAC PORTUGAL</v>
          </cell>
          <cell r="E5764" t="str">
            <v>E</v>
          </cell>
          <cell r="F5764" t="str">
            <v>PAQ05a10</v>
          </cell>
          <cell r="G5764" t="str">
            <v>B</v>
          </cell>
          <cell r="H5764">
            <v>0</v>
          </cell>
        </row>
        <row r="5765">
          <cell r="A5765" t="str">
            <v>1;E;NP;B;PAQ10a15</v>
          </cell>
          <cell r="B5765">
            <v>730069</v>
          </cell>
          <cell r="C5765" t="str">
            <v>NP</v>
          </cell>
          <cell r="D5765" t="str">
            <v>NAC PORTUGAL</v>
          </cell>
          <cell r="E5765" t="str">
            <v>E</v>
          </cell>
          <cell r="F5765" t="str">
            <v>PAQ10a15</v>
          </cell>
          <cell r="G5765" t="str">
            <v>B</v>
          </cell>
          <cell r="H5765">
            <v>0</v>
          </cell>
        </row>
        <row r="5766">
          <cell r="A5766" t="str">
            <v>1;E;NP;B;PAQ15a20</v>
          </cell>
          <cell r="B5766">
            <v>730069</v>
          </cell>
          <cell r="C5766" t="str">
            <v>NP</v>
          </cell>
          <cell r="D5766" t="str">
            <v>NAC PORTUGAL</v>
          </cell>
          <cell r="E5766" t="str">
            <v>E</v>
          </cell>
          <cell r="F5766" t="str">
            <v>PAQ15a20</v>
          </cell>
          <cell r="G5766" t="str">
            <v>B</v>
          </cell>
          <cell r="H5766">
            <v>0</v>
          </cell>
        </row>
        <row r="5767">
          <cell r="A5767" t="str">
            <v>1;E;NP;B;PAQ20a25</v>
          </cell>
          <cell r="B5767">
            <v>730069</v>
          </cell>
          <cell r="C5767" t="str">
            <v>NP</v>
          </cell>
          <cell r="D5767" t="str">
            <v>NAC PORTUGAL</v>
          </cell>
          <cell r="E5767" t="str">
            <v>E</v>
          </cell>
          <cell r="F5767" t="str">
            <v>PAQ20a25</v>
          </cell>
          <cell r="G5767" t="str">
            <v>B</v>
          </cell>
          <cell r="H5767">
            <v>0</v>
          </cell>
        </row>
        <row r="5768">
          <cell r="A5768" t="str">
            <v>1;E;NP;B;PAQ25a30</v>
          </cell>
          <cell r="B5768">
            <v>730069</v>
          </cell>
          <cell r="C5768" t="str">
            <v>NP</v>
          </cell>
          <cell r="D5768" t="str">
            <v>NAC PORTUGAL</v>
          </cell>
          <cell r="E5768" t="str">
            <v>E</v>
          </cell>
          <cell r="F5768" t="str">
            <v>PAQ25a30</v>
          </cell>
          <cell r="G5768" t="str">
            <v>B</v>
          </cell>
          <cell r="H5768">
            <v>0</v>
          </cell>
        </row>
        <row r="5769">
          <cell r="A5769" t="str">
            <v>1;E;NP;B;PAQ30a35</v>
          </cell>
          <cell r="B5769">
            <v>730069</v>
          </cell>
          <cell r="C5769" t="str">
            <v>NP</v>
          </cell>
          <cell r="D5769" t="str">
            <v>NAC PORTUGAL</v>
          </cell>
          <cell r="E5769" t="str">
            <v>E</v>
          </cell>
          <cell r="F5769" t="str">
            <v>PAQ30a35</v>
          </cell>
          <cell r="G5769" t="str">
            <v>B</v>
          </cell>
          <cell r="H5769">
            <v>0</v>
          </cell>
        </row>
        <row r="5770">
          <cell r="A5770" t="str">
            <v>1;E;NP;B;PAQ35a40</v>
          </cell>
          <cell r="B5770">
            <v>730069</v>
          </cell>
          <cell r="C5770" t="str">
            <v>NP</v>
          </cell>
          <cell r="D5770" t="str">
            <v>NAC PORTUGAL</v>
          </cell>
          <cell r="E5770" t="str">
            <v>E</v>
          </cell>
          <cell r="F5770" t="str">
            <v>PAQ35a40</v>
          </cell>
          <cell r="G5770" t="str">
            <v>B</v>
          </cell>
          <cell r="H5770">
            <v>0</v>
          </cell>
        </row>
        <row r="5771">
          <cell r="A5771" t="str">
            <v>1;E;NP;F;</v>
          </cell>
          <cell r="B5771">
            <v>730069</v>
          </cell>
          <cell r="C5771" t="str">
            <v>NP</v>
          </cell>
          <cell r="D5771" t="str">
            <v>NAC PORTUGAL</v>
          </cell>
          <cell r="E5771" t="str">
            <v>E</v>
          </cell>
          <cell r="F5771" t="str">
            <v/>
          </cell>
          <cell r="G5771" t="str">
            <v>F</v>
          </cell>
          <cell r="H5771">
            <v>0</v>
          </cell>
        </row>
        <row r="5772">
          <cell r="A5772" t="str">
            <v>1;E;NP;E;</v>
          </cell>
          <cell r="B5772">
            <v>730069</v>
          </cell>
          <cell r="C5772" t="str">
            <v>NP</v>
          </cell>
          <cell r="D5772" t="str">
            <v>NAC PORTUGAL</v>
          </cell>
          <cell r="E5772" t="str">
            <v>E</v>
          </cell>
          <cell r="F5772" t="str">
            <v/>
          </cell>
          <cell r="G5772" t="str">
            <v>E</v>
          </cell>
          <cell r="H5772">
            <v>0</v>
          </cell>
        </row>
        <row r="5773">
          <cell r="A5773" t="str">
            <v>1;E;NP;P;</v>
          </cell>
          <cell r="B5773">
            <v>730069</v>
          </cell>
          <cell r="C5773" t="str">
            <v>NP</v>
          </cell>
          <cell r="D5773" t="str">
            <v>NAC PORTUGAL</v>
          </cell>
          <cell r="E5773" t="str">
            <v>E</v>
          </cell>
          <cell r="F5773" t="str">
            <v/>
          </cell>
          <cell r="G5773" t="str">
            <v>P</v>
          </cell>
          <cell r="H5773">
            <v>0</v>
          </cell>
        </row>
        <row r="5774">
          <cell r="A5774" t="str">
            <v>1;F;NP;B;BAG</v>
          </cell>
          <cell r="B5774">
            <v>730069</v>
          </cell>
          <cell r="C5774" t="str">
            <v>NP</v>
          </cell>
          <cell r="D5774" t="str">
            <v>NAC PORTUGAL</v>
          </cell>
          <cell r="E5774" t="str">
            <v>F</v>
          </cell>
          <cell r="F5774" t="str">
            <v>BAG</v>
          </cell>
          <cell r="G5774" t="str">
            <v>B</v>
          </cell>
          <cell r="H5774">
            <v>0</v>
          </cell>
        </row>
        <row r="5775">
          <cell r="A5775" t="str">
            <v>1;F;NP;B;PAQ00a05</v>
          </cell>
          <cell r="B5775">
            <v>730069</v>
          </cell>
          <cell r="C5775" t="str">
            <v>NP</v>
          </cell>
          <cell r="D5775" t="str">
            <v>NAC PORTUGAL</v>
          </cell>
          <cell r="E5775" t="str">
            <v>F</v>
          </cell>
          <cell r="F5775" t="str">
            <v>PAQ00a05</v>
          </cell>
          <cell r="G5775" t="str">
            <v>B</v>
          </cell>
          <cell r="H5775">
            <v>0</v>
          </cell>
        </row>
        <row r="5776">
          <cell r="A5776" t="str">
            <v>1;F;NP;B;PAQ05a10</v>
          </cell>
          <cell r="B5776">
            <v>730069</v>
          </cell>
          <cell r="C5776" t="str">
            <v>NP</v>
          </cell>
          <cell r="D5776" t="str">
            <v>NAC PORTUGAL</v>
          </cell>
          <cell r="E5776" t="str">
            <v>F</v>
          </cell>
          <cell r="F5776" t="str">
            <v>PAQ05a10</v>
          </cell>
          <cell r="G5776" t="str">
            <v>B</v>
          </cell>
          <cell r="H5776">
            <v>0</v>
          </cell>
        </row>
        <row r="5777">
          <cell r="A5777" t="str">
            <v>1;F;NP;B;PAQ10a15</v>
          </cell>
          <cell r="B5777">
            <v>730069</v>
          </cell>
          <cell r="C5777" t="str">
            <v>NP</v>
          </cell>
          <cell r="D5777" t="str">
            <v>NAC PORTUGAL</v>
          </cell>
          <cell r="E5777" t="str">
            <v>F</v>
          </cell>
          <cell r="F5777" t="str">
            <v>PAQ10a15</v>
          </cell>
          <cell r="G5777" t="str">
            <v>B</v>
          </cell>
          <cell r="H5777">
            <v>0</v>
          </cell>
        </row>
        <row r="5778">
          <cell r="A5778" t="str">
            <v>1;F;NP;B;PAQ15a20</v>
          </cell>
          <cell r="B5778">
            <v>730069</v>
          </cell>
          <cell r="C5778" t="str">
            <v>NP</v>
          </cell>
          <cell r="D5778" t="str">
            <v>NAC PORTUGAL</v>
          </cell>
          <cell r="E5778" t="str">
            <v>F</v>
          </cell>
          <cell r="F5778" t="str">
            <v>PAQ15a20</v>
          </cell>
          <cell r="G5778" t="str">
            <v>B</v>
          </cell>
          <cell r="H5778">
            <v>0</v>
          </cell>
        </row>
        <row r="5779">
          <cell r="A5779" t="str">
            <v>1;F;NP;B;PAQ20a25</v>
          </cell>
          <cell r="B5779">
            <v>730069</v>
          </cell>
          <cell r="C5779" t="str">
            <v>NP</v>
          </cell>
          <cell r="D5779" t="str">
            <v>NAC PORTUGAL</v>
          </cell>
          <cell r="E5779" t="str">
            <v>F</v>
          </cell>
          <cell r="F5779" t="str">
            <v>PAQ20a25</v>
          </cell>
          <cell r="G5779" t="str">
            <v>B</v>
          </cell>
          <cell r="H5779">
            <v>0</v>
          </cell>
        </row>
        <row r="5780">
          <cell r="A5780" t="str">
            <v>1;F;NP;B;PAQ25a30</v>
          </cell>
          <cell r="B5780">
            <v>730069</v>
          </cell>
          <cell r="C5780" t="str">
            <v>NP</v>
          </cell>
          <cell r="D5780" t="str">
            <v>NAC PORTUGAL</v>
          </cell>
          <cell r="E5780" t="str">
            <v>F</v>
          </cell>
          <cell r="F5780" t="str">
            <v>PAQ25a30</v>
          </cell>
          <cell r="G5780" t="str">
            <v>B</v>
          </cell>
          <cell r="H5780">
            <v>0</v>
          </cell>
        </row>
        <row r="5781">
          <cell r="A5781" t="str">
            <v>1;F;NP;B;PAQ30a35</v>
          </cell>
          <cell r="B5781">
            <v>730069</v>
          </cell>
          <cell r="C5781" t="str">
            <v>NP</v>
          </cell>
          <cell r="D5781" t="str">
            <v>NAC PORTUGAL</v>
          </cell>
          <cell r="E5781" t="str">
            <v>F</v>
          </cell>
          <cell r="F5781" t="str">
            <v>PAQ30a35</v>
          </cell>
          <cell r="G5781" t="str">
            <v>B</v>
          </cell>
          <cell r="H5781">
            <v>0</v>
          </cell>
        </row>
        <row r="5782">
          <cell r="A5782" t="str">
            <v>1;F;NP;B;PAQ35a40</v>
          </cell>
          <cell r="B5782">
            <v>730069</v>
          </cell>
          <cell r="C5782" t="str">
            <v>NP</v>
          </cell>
          <cell r="D5782" t="str">
            <v>NAC PORTUGAL</v>
          </cell>
          <cell r="E5782" t="str">
            <v>F</v>
          </cell>
          <cell r="F5782" t="str">
            <v>PAQ35a40</v>
          </cell>
          <cell r="G5782" t="str">
            <v>B</v>
          </cell>
          <cell r="H5782">
            <v>0</v>
          </cell>
        </row>
        <row r="5783">
          <cell r="A5783" t="str">
            <v>1;F;NP;F;</v>
          </cell>
          <cell r="B5783">
            <v>730069</v>
          </cell>
          <cell r="C5783" t="str">
            <v>NP</v>
          </cell>
          <cell r="D5783" t="str">
            <v>NAC PORTUGAL</v>
          </cell>
          <cell r="E5783" t="str">
            <v>F</v>
          </cell>
          <cell r="F5783" t="str">
            <v/>
          </cell>
          <cell r="G5783" t="str">
            <v>F</v>
          </cell>
          <cell r="H5783">
            <v>0</v>
          </cell>
        </row>
        <row r="5784">
          <cell r="A5784" t="str">
            <v>1;F;NP;E;</v>
          </cell>
          <cell r="B5784">
            <v>730069</v>
          </cell>
          <cell r="C5784" t="str">
            <v>NP</v>
          </cell>
          <cell r="D5784" t="str">
            <v>NAC PORTUGAL</v>
          </cell>
          <cell r="E5784" t="str">
            <v>F</v>
          </cell>
          <cell r="F5784" t="str">
            <v/>
          </cell>
          <cell r="G5784" t="str">
            <v>E</v>
          </cell>
          <cell r="H5784">
            <v>0</v>
          </cell>
        </row>
        <row r="5785">
          <cell r="A5785" t="str">
            <v>1;F;NP;P;</v>
          </cell>
          <cell r="B5785">
            <v>730069</v>
          </cell>
          <cell r="C5785" t="str">
            <v>NP</v>
          </cell>
          <cell r="D5785" t="str">
            <v>NAC PORTUGAL</v>
          </cell>
          <cell r="E5785" t="str">
            <v>F</v>
          </cell>
          <cell r="F5785" t="str">
            <v/>
          </cell>
          <cell r="G5785" t="str">
            <v>P</v>
          </cell>
          <cell r="H5785">
            <v>0</v>
          </cell>
        </row>
        <row r="5786">
          <cell r="A5786" t="str">
            <v>1;G;NP;B;BAG</v>
          </cell>
          <cell r="B5786">
            <v>730069</v>
          </cell>
          <cell r="C5786" t="str">
            <v>NP</v>
          </cell>
          <cell r="D5786" t="str">
            <v>NAC PORTUGAL</v>
          </cell>
          <cell r="E5786" t="str">
            <v>G</v>
          </cell>
          <cell r="F5786" t="str">
            <v>BAG</v>
          </cell>
          <cell r="G5786" t="str">
            <v>B</v>
          </cell>
          <cell r="H5786">
            <v>0</v>
          </cell>
        </row>
        <row r="5787">
          <cell r="A5787" t="str">
            <v>1;G;NP;B;PAQ00a05</v>
          </cell>
          <cell r="B5787">
            <v>730069</v>
          </cell>
          <cell r="C5787" t="str">
            <v>NP</v>
          </cell>
          <cell r="D5787" t="str">
            <v>NAC PORTUGAL</v>
          </cell>
          <cell r="E5787" t="str">
            <v>G</v>
          </cell>
          <cell r="F5787" t="str">
            <v>PAQ00a05</v>
          </cell>
          <cell r="G5787" t="str">
            <v>B</v>
          </cell>
          <cell r="H5787">
            <v>0</v>
          </cell>
        </row>
        <row r="5788">
          <cell r="A5788" t="str">
            <v>1;G;NP;B;PAQ05a10</v>
          </cell>
          <cell r="B5788">
            <v>730069</v>
          </cell>
          <cell r="C5788" t="str">
            <v>NP</v>
          </cell>
          <cell r="D5788" t="str">
            <v>NAC PORTUGAL</v>
          </cell>
          <cell r="E5788" t="str">
            <v>G</v>
          </cell>
          <cell r="F5788" t="str">
            <v>PAQ05a10</v>
          </cell>
          <cell r="G5788" t="str">
            <v>B</v>
          </cell>
          <cell r="H5788">
            <v>0</v>
          </cell>
        </row>
        <row r="5789">
          <cell r="A5789" t="str">
            <v>1;G;NP;B;PAQ10a15</v>
          </cell>
          <cell r="B5789">
            <v>730069</v>
          </cell>
          <cell r="C5789" t="str">
            <v>NP</v>
          </cell>
          <cell r="D5789" t="str">
            <v>NAC PORTUGAL</v>
          </cell>
          <cell r="E5789" t="str">
            <v>G</v>
          </cell>
          <cell r="F5789" t="str">
            <v>PAQ10a15</v>
          </cell>
          <cell r="G5789" t="str">
            <v>B</v>
          </cell>
          <cell r="H5789">
            <v>0</v>
          </cell>
        </row>
        <row r="5790">
          <cell r="A5790" t="str">
            <v>1;G;NP;B;PAQ15a20</v>
          </cell>
          <cell r="B5790">
            <v>730069</v>
          </cell>
          <cell r="C5790" t="str">
            <v>NP</v>
          </cell>
          <cell r="D5790" t="str">
            <v>NAC PORTUGAL</v>
          </cell>
          <cell r="E5790" t="str">
            <v>G</v>
          </cell>
          <cell r="F5790" t="str">
            <v>PAQ15a20</v>
          </cell>
          <cell r="G5790" t="str">
            <v>B</v>
          </cell>
          <cell r="H5790">
            <v>0</v>
          </cell>
        </row>
        <row r="5791">
          <cell r="A5791" t="str">
            <v>1;G;NP;B;PAQ20a25</v>
          </cell>
          <cell r="B5791">
            <v>730069</v>
          </cell>
          <cell r="C5791" t="str">
            <v>NP</v>
          </cell>
          <cell r="D5791" t="str">
            <v>NAC PORTUGAL</v>
          </cell>
          <cell r="E5791" t="str">
            <v>G</v>
          </cell>
          <cell r="F5791" t="str">
            <v>PAQ20a25</v>
          </cell>
          <cell r="G5791" t="str">
            <v>B</v>
          </cell>
          <cell r="H5791">
            <v>0</v>
          </cell>
        </row>
        <row r="5792">
          <cell r="A5792" t="str">
            <v>1;G;NP;B;PAQ25a30</v>
          </cell>
          <cell r="B5792">
            <v>730069</v>
          </cell>
          <cell r="C5792" t="str">
            <v>NP</v>
          </cell>
          <cell r="D5792" t="str">
            <v>NAC PORTUGAL</v>
          </cell>
          <cell r="E5792" t="str">
            <v>G</v>
          </cell>
          <cell r="F5792" t="str">
            <v>PAQ25a30</v>
          </cell>
          <cell r="G5792" t="str">
            <v>B</v>
          </cell>
          <cell r="H5792">
            <v>0</v>
          </cell>
        </row>
        <row r="5793">
          <cell r="A5793" t="str">
            <v>1;G;NP;B;PAQ30a35</v>
          </cell>
          <cell r="B5793">
            <v>730069</v>
          </cell>
          <cell r="C5793" t="str">
            <v>NP</v>
          </cell>
          <cell r="D5793" t="str">
            <v>NAC PORTUGAL</v>
          </cell>
          <cell r="E5793" t="str">
            <v>G</v>
          </cell>
          <cell r="F5793" t="str">
            <v>PAQ30a35</v>
          </cell>
          <cell r="G5793" t="str">
            <v>B</v>
          </cell>
          <cell r="H5793">
            <v>0</v>
          </cell>
        </row>
        <row r="5794">
          <cell r="A5794" t="str">
            <v>1;G;NP;B;PAQ35a40</v>
          </cell>
          <cell r="B5794">
            <v>730069</v>
          </cell>
          <cell r="C5794" t="str">
            <v>NP</v>
          </cell>
          <cell r="D5794" t="str">
            <v>NAC PORTUGAL</v>
          </cell>
          <cell r="E5794" t="str">
            <v>G</v>
          </cell>
          <cell r="F5794" t="str">
            <v>PAQ35a40</v>
          </cell>
          <cell r="G5794" t="str">
            <v>B</v>
          </cell>
          <cell r="H5794">
            <v>0</v>
          </cell>
        </row>
        <row r="5795">
          <cell r="A5795" t="str">
            <v>1;G;NP;F;</v>
          </cell>
          <cell r="B5795">
            <v>730069</v>
          </cell>
          <cell r="C5795" t="str">
            <v>NP</v>
          </cell>
          <cell r="D5795" t="str">
            <v>NAC PORTUGAL</v>
          </cell>
          <cell r="E5795" t="str">
            <v>G</v>
          </cell>
          <cell r="F5795" t="str">
            <v/>
          </cell>
          <cell r="G5795" t="str">
            <v>F</v>
          </cell>
          <cell r="H5795">
            <v>0</v>
          </cell>
        </row>
        <row r="5796">
          <cell r="A5796" t="str">
            <v>1;G;NP;E;</v>
          </cell>
          <cell r="B5796">
            <v>730069</v>
          </cell>
          <cell r="C5796" t="str">
            <v>NP</v>
          </cell>
          <cell r="D5796" t="str">
            <v>NAC PORTUGAL</v>
          </cell>
          <cell r="E5796" t="str">
            <v>G</v>
          </cell>
          <cell r="F5796" t="str">
            <v/>
          </cell>
          <cell r="G5796" t="str">
            <v>E</v>
          </cell>
          <cell r="H5796">
            <v>0</v>
          </cell>
        </row>
        <row r="5797">
          <cell r="A5797" t="str">
            <v>1;G;NP;P;</v>
          </cell>
          <cell r="B5797">
            <v>730069</v>
          </cell>
          <cell r="C5797" t="str">
            <v>NP</v>
          </cell>
          <cell r="D5797" t="str">
            <v>NAC PORTUGAL</v>
          </cell>
          <cell r="E5797" t="str">
            <v>G</v>
          </cell>
          <cell r="F5797" t="str">
            <v/>
          </cell>
          <cell r="G5797" t="str">
            <v>P</v>
          </cell>
          <cell r="H5797">
            <v>0</v>
          </cell>
        </row>
        <row r="5798">
          <cell r="A5798" t="str">
            <v>1;01;NP;B;BAG</v>
          </cell>
          <cell r="B5798">
            <v>730069</v>
          </cell>
          <cell r="C5798" t="str">
            <v>NP</v>
          </cell>
          <cell r="D5798" t="str">
            <v>NAC PORTUGAL</v>
          </cell>
          <cell r="E5798" t="str">
            <v>01</v>
          </cell>
          <cell r="F5798" t="str">
            <v>BAG</v>
          </cell>
          <cell r="G5798" t="str">
            <v>B</v>
          </cell>
          <cell r="H5798">
            <v>12.39</v>
          </cell>
        </row>
        <row r="5799">
          <cell r="A5799" t="str">
            <v>1;01;NP;B;DOCS</v>
          </cell>
          <cell r="B5799">
            <v>730069</v>
          </cell>
          <cell r="C5799" t="str">
            <v>NP</v>
          </cell>
          <cell r="D5799" t="str">
            <v>NAC PORTUGAL</v>
          </cell>
          <cell r="E5799" t="str">
            <v>01</v>
          </cell>
          <cell r="F5799" t="str">
            <v>DOCS</v>
          </cell>
          <cell r="G5799" t="str">
            <v>B</v>
          </cell>
          <cell r="H5799">
            <v>12.39</v>
          </cell>
        </row>
        <row r="5800">
          <cell r="A5800" t="str">
            <v>1;01;NP;B;PAQ00a02</v>
          </cell>
          <cell r="B5800">
            <v>730069</v>
          </cell>
          <cell r="C5800" t="str">
            <v>NP</v>
          </cell>
          <cell r="D5800" t="str">
            <v>NAC PORTUGAL</v>
          </cell>
          <cell r="E5800" t="str">
            <v>01</v>
          </cell>
          <cell r="F5800" t="str">
            <v>PAQ00a02</v>
          </cell>
          <cell r="G5800" t="str">
            <v>B</v>
          </cell>
          <cell r="H5800">
            <v>14.51</v>
          </cell>
        </row>
        <row r="5801">
          <cell r="A5801" t="str">
            <v>1;01;NP;B;PAQ02a05</v>
          </cell>
          <cell r="B5801">
            <v>730069</v>
          </cell>
          <cell r="C5801" t="str">
            <v>NP</v>
          </cell>
          <cell r="D5801" t="str">
            <v>NAC PORTUGAL</v>
          </cell>
          <cell r="E5801" t="str">
            <v>01</v>
          </cell>
          <cell r="F5801" t="str">
            <v>PAQ02a05</v>
          </cell>
          <cell r="G5801" t="str">
            <v>B</v>
          </cell>
          <cell r="H5801">
            <v>14.51</v>
          </cell>
        </row>
        <row r="5802">
          <cell r="A5802" t="str">
            <v>1;01;NP;B;PAQ05a10</v>
          </cell>
          <cell r="B5802">
            <v>730069</v>
          </cell>
          <cell r="C5802" t="str">
            <v>NP</v>
          </cell>
          <cell r="D5802" t="str">
            <v>NAC PORTUGAL</v>
          </cell>
          <cell r="E5802" t="str">
            <v>01</v>
          </cell>
          <cell r="F5802" t="str">
            <v>PAQ05a10</v>
          </cell>
          <cell r="G5802" t="str">
            <v>B</v>
          </cell>
          <cell r="H5802">
            <v>25.17</v>
          </cell>
        </row>
        <row r="5803">
          <cell r="A5803" t="str">
            <v>1;01;NP;B;PAQ10a15</v>
          </cell>
          <cell r="B5803">
            <v>730069</v>
          </cell>
          <cell r="C5803" t="str">
            <v>NP</v>
          </cell>
          <cell r="D5803" t="str">
            <v>NAC PORTUGAL</v>
          </cell>
          <cell r="E5803" t="str">
            <v>01</v>
          </cell>
          <cell r="F5803" t="str">
            <v>PAQ10a15</v>
          </cell>
          <cell r="G5803" t="str">
            <v>B</v>
          </cell>
          <cell r="H5803">
            <v>34.200000000000003</v>
          </cell>
        </row>
        <row r="5804">
          <cell r="A5804" t="str">
            <v>1;01;NP;B;PAQ15a20</v>
          </cell>
          <cell r="B5804">
            <v>730069</v>
          </cell>
          <cell r="C5804" t="str">
            <v>NP</v>
          </cell>
          <cell r="D5804" t="str">
            <v>NAC PORTUGAL</v>
          </cell>
          <cell r="E5804" t="str">
            <v>01</v>
          </cell>
          <cell r="F5804" t="str">
            <v>PAQ15a20</v>
          </cell>
          <cell r="G5804" t="str">
            <v>B</v>
          </cell>
          <cell r="H5804">
            <v>43.23</v>
          </cell>
        </row>
        <row r="5805">
          <cell r="A5805" t="str">
            <v>1;01;NP;B;PAQ20a25</v>
          </cell>
          <cell r="B5805">
            <v>730069</v>
          </cell>
          <cell r="C5805" t="str">
            <v>NP</v>
          </cell>
          <cell r="D5805" t="str">
            <v>NAC PORTUGAL</v>
          </cell>
          <cell r="E5805" t="str">
            <v>01</v>
          </cell>
          <cell r="F5805" t="str">
            <v>PAQ20a25</v>
          </cell>
          <cell r="G5805" t="str">
            <v>B</v>
          </cell>
          <cell r="H5805">
            <v>52.26</v>
          </cell>
        </row>
        <row r="5806">
          <cell r="A5806" t="str">
            <v>1;01;NP;B;PAQ25a30</v>
          </cell>
          <cell r="B5806">
            <v>730069</v>
          </cell>
          <cell r="C5806" t="str">
            <v>NP</v>
          </cell>
          <cell r="D5806" t="str">
            <v>NAC PORTUGAL</v>
          </cell>
          <cell r="E5806" t="str">
            <v>01</v>
          </cell>
          <cell r="F5806" t="str">
            <v>PAQ25a30</v>
          </cell>
          <cell r="G5806" t="str">
            <v>B</v>
          </cell>
          <cell r="H5806">
            <v>61.29</v>
          </cell>
        </row>
        <row r="5807">
          <cell r="A5807" t="str">
            <v>1;01;NP;B;PAQ30a35</v>
          </cell>
          <cell r="B5807">
            <v>730069</v>
          </cell>
          <cell r="C5807" t="str">
            <v>NP</v>
          </cell>
          <cell r="D5807" t="str">
            <v>NAC PORTUGAL</v>
          </cell>
          <cell r="E5807" t="str">
            <v>01</v>
          </cell>
          <cell r="F5807" t="str">
            <v>PAQ30a35</v>
          </cell>
          <cell r="G5807" t="str">
            <v>B</v>
          </cell>
          <cell r="H5807">
            <v>70.319999999999993</v>
          </cell>
        </row>
        <row r="5808">
          <cell r="A5808" t="str">
            <v>1;01;NP;B;PAQ35a40</v>
          </cell>
          <cell r="B5808">
            <v>730069</v>
          </cell>
          <cell r="C5808" t="str">
            <v>NP</v>
          </cell>
          <cell r="D5808" t="str">
            <v>NAC PORTUGAL</v>
          </cell>
          <cell r="E5808" t="str">
            <v>01</v>
          </cell>
          <cell r="F5808" t="str">
            <v>PAQ35a40</v>
          </cell>
          <cell r="G5808" t="str">
            <v>B</v>
          </cell>
          <cell r="H5808">
            <v>79.349999999999994</v>
          </cell>
        </row>
        <row r="5809">
          <cell r="A5809" t="str">
            <v>1;01;NP;F;</v>
          </cell>
          <cell r="B5809">
            <v>730069</v>
          </cell>
          <cell r="C5809" t="str">
            <v>NP</v>
          </cell>
          <cell r="D5809" t="str">
            <v>NAC PORTUGAL</v>
          </cell>
          <cell r="E5809" t="str">
            <v>01</v>
          </cell>
          <cell r="F5809" t="str">
            <v/>
          </cell>
          <cell r="G5809" t="str">
            <v>F</v>
          </cell>
          <cell r="H5809">
            <v>9.0299999999999994</v>
          </cell>
        </row>
        <row r="5810">
          <cell r="A5810" t="str">
            <v>1;01;NP;E;</v>
          </cell>
          <cell r="B5810">
            <v>730069</v>
          </cell>
          <cell r="C5810" t="str">
            <v>NP</v>
          </cell>
          <cell r="D5810" t="str">
            <v>NAC PORTUGAL</v>
          </cell>
          <cell r="E5810" t="str">
            <v>01</v>
          </cell>
          <cell r="F5810" t="str">
            <v/>
          </cell>
          <cell r="G5810" t="str">
            <v>E</v>
          </cell>
          <cell r="H5810">
            <v>14.51</v>
          </cell>
        </row>
        <row r="5811">
          <cell r="A5811" t="str">
            <v>1;01;NP;P;</v>
          </cell>
          <cell r="B5811">
            <v>730069</v>
          </cell>
          <cell r="C5811" t="str">
            <v>NP</v>
          </cell>
          <cell r="D5811" t="str">
            <v>NAC PORTUGAL</v>
          </cell>
          <cell r="E5811" t="str">
            <v>01</v>
          </cell>
          <cell r="F5811" t="str">
            <v/>
          </cell>
          <cell r="G5811" t="str">
            <v>P</v>
          </cell>
          <cell r="H5811">
            <v>14.51</v>
          </cell>
        </row>
        <row r="5812">
          <cell r="A5812" t="str">
            <v>1;02;NP;B;BAG</v>
          </cell>
          <cell r="B5812">
            <v>730069</v>
          </cell>
          <cell r="C5812" t="str">
            <v>NP</v>
          </cell>
          <cell r="D5812" t="str">
            <v>NAC PORTUGAL</v>
          </cell>
          <cell r="E5812" t="str">
            <v>02</v>
          </cell>
          <cell r="F5812" t="str">
            <v>BAG</v>
          </cell>
          <cell r="G5812" t="str">
            <v>B</v>
          </cell>
          <cell r="H5812">
            <v>10.4</v>
          </cell>
        </row>
        <row r="5813">
          <cell r="A5813" t="str">
            <v>1;02;NP;B;DOCS</v>
          </cell>
          <cell r="B5813">
            <v>730069</v>
          </cell>
          <cell r="C5813" t="str">
            <v>NP</v>
          </cell>
          <cell r="D5813" t="str">
            <v>NAC PORTUGAL</v>
          </cell>
          <cell r="E5813" t="str">
            <v>02</v>
          </cell>
          <cell r="F5813" t="str">
            <v>DOCS</v>
          </cell>
          <cell r="G5813" t="str">
            <v>B</v>
          </cell>
          <cell r="H5813">
            <v>10.4</v>
          </cell>
        </row>
        <row r="5814">
          <cell r="A5814" t="str">
            <v>1;02;NP;B;PAQ00a02</v>
          </cell>
          <cell r="B5814">
            <v>730069</v>
          </cell>
          <cell r="C5814" t="str">
            <v>NP</v>
          </cell>
          <cell r="D5814" t="str">
            <v>NAC PORTUGAL</v>
          </cell>
          <cell r="E5814" t="str">
            <v>02</v>
          </cell>
          <cell r="F5814" t="str">
            <v>PAQ00a02</v>
          </cell>
          <cell r="G5814" t="str">
            <v>B</v>
          </cell>
          <cell r="H5814">
            <v>11.61</v>
          </cell>
        </row>
        <row r="5815">
          <cell r="A5815" t="str">
            <v>1;02;NP;B;PAQ02a05</v>
          </cell>
          <cell r="B5815">
            <v>730069</v>
          </cell>
          <cell r="C5815" t="str">
            <v>NP</v>
          </cell>
          <cell r="D5815" t="str">
            <v>NAC PORTUGAL</v>
          </cell>
          <cell r="E5815" t="str">
            <v>02</v>
          </cell>
          <cell r="F5815" t="str">
            <v>PAQ02a05</v>
          </cell>
          <cell r="G5815" t="str">
            <v>B</v>
          </cell>
          <cell r="H5815">
            <v>11.61</v>
          </cell>
        </row>
        <row r="5816">
          <cell r="A5816" t="str">
            <v>1;02;NP;B;PAQ05a10</v>
          </cell>
          <cell r="B5816">
            <v>730069</v>
          </cell>
          <cell r="C5816" t="str">
            <v>NP</v>
          </cell>
          <cell r="D5816" t="str">
            <v>NAC PORTUGAL</v>
          </cell>
          <cell r="E5816" t="str">
            <v>02</v>
          </cell>
          <cell r="F5816" t="str">
            <v>PAQ05a10</v>
          </cell>
          <cell r="G5816" t="str">
            <v>B</v>
          </cell>
          <cell r="H5816">
            <v>19.350000000000001</v>
          </cell>
        </row>
        <row r="5817">
          <cell r="A5817" t="str">
            <v>1;02;NP;B;PAQ10a15</v>
          </cell>
          <cell r="B5817">
            <v>730069</v>
          </cell>
          <cell r="C5817" t="str">
            <v>NP</v>
          </cell>
          <cell r="D5817" t="str">
            <v>NAC PORTUGAL</v>
          </cell>
          <cell r="E5817" t="str">
            <v>02</v>
          </cell>
          <cell r="F5817" t="str">
            <v>PAQ10a15</v>
          </cell>
          <cell r="G5817" t="str">
            <v>B</v>
          </cell>
          <cell r="H5817">
            <v>26.31</v>
          </cell>
        </row>
        <row r="5818">
          <cell r="A5818" t="str">
            <v>1;02;NP;B;PAQ15a20</v>
          </cell>
          <cell r="B5818">
            <v>730069</v>
          </cell>
          <cell r="C5818" t="str">
            <v>NP</v>
          </cell>
          <cell r="D5818" t="str">
            <v>NAC PORTUGAL</v>
          </cell>
          <cell r="E5818" t="str">
            <v>02</v>
          </cell>
          <cell r="F5818" t="str">
            <v>PAQ15a20</v>
          </cell>
          <cell r="G5818" t="str">
            <v>B</v>
          </cell>
          <cell r="H5818">
            <v>33.270000000000003</v>
          </cell>
        </row>
        <row r="5819">
          <cell r="A5819" t="str">
            <v>1;02;NP;B;PAQ20a25</v>
          </cell>
          <cell r="B5819">
            <v>730069</v>
          </cell>
          <cell r="C5819" t="str">
            <v>NP</v>
          </cell>
          <cell r="D5819" t="str">
            <v>NAC PORTUGAL</v>
          </cell>
          <cell r="E5819" t="str">
            <v>02</v>
          </cell>
          <cell r="F5819" t="str">
            <v>PAQ20a25</v>
          </cell>
          <cell r="G5819" t="str">
            <v>B</v>
          </cell>
          <cell r="H5819">
            <v>40.25</v>
          </cell>
        </row>
        <row r="5820">
          <cell r="A5820" t="str">
            <v>1;02;NP;B;PAQ25a30</v>
          </cell>
          <cell r="B5820">
            <v>730069</v>
          </cell>
          <cell r="C5820" t="str">
            <v>NP</v>
          </cell>
          <cell r="D5820" t="str">
            <v>NAC PORTUGAL</v>
          </cell>
          <cell r="E5820" t="str">
            <v>02</v>
          </cell>
          <cell r="F5820" t="str">
            <v>PAQ25a30</v>
          </cell>
          <cell r="G5820" t="str">
            <v>B</v>
          </cell>
          <cell r="H5820">
            <v>47.21</v>
          </cell>
        </row>
        <row r="5821">
          <cell r="A5821" t="str">
            <v>1;02;NP;B;PAQ30a35</v>
          </cell>
          <cell r="B5821">
            <v>730069</v>
          </cell>
          <cell r="C5821" t="str">
            <v>NP</v>
          </cell>
          <cell r="D5821" t="str">
            <v>NAC PORTUGAL</v>
          </cell>
          <cell r="E5821" t="str">
            <v>02</v>
          </cell>
          <cell r="F5821" t="str">
            <v>PAQ30a35</v>
          </cell>
          <cell r="G5821" t="str">
            <v>B</v>
          </cell>
          <cell r="H5821">
            <v>54.17</v>
          </cell>
        </row>
        <row r="5822">
          <cell r="A5822" t="str">
            <v>1;02;NP;B;PAQ35a40</v>
          </cell>
          <cell r="B5822">
            <v>730069</v>
          </cell>
          <cell r="C5822" t="str">
            <v>NP</v>
          </cell>
          <cell r="D5822" t="str">
            <v>NAC PORTUGAL</v>
          </cell>
          <cell r="E5822" t="str">
            <v>02</v>
          </cell>
          <cell r="F5822" t="str">
            <v>PAQ35a40</v>
          </cell>
          <cell r="G5822" t="str">
            <v>B</v>
          </cell>
          <cell r="H5822">
            <v>61.14</v>
          </cell>
        </row>
        <row r="5823">
          <cell r="A5823" t="str">
            <v>1;02;NP;F;</v>
          </cell>
          <cell r="B5823">
            <v>730069</v>
          </cell>
          <cell r="C5823" t="str">
            <v>NP</v>
          </cell>
          <cell r="D5823" t="str">
            <v>NAC PORTUGAL</v>
          </cell>
          <cell r="E5823" t="str">
            <v>02</v>
          </cell>
          <cell r="F5823" t="str">
            <v/>
          </cell>
          <cell r="G5823" t="str">
            <v>F</v>
          </cell>
          <cell r="H5823">
            <v>6.96</v>
          </cell>
        </row>
        <row r="5824">
          <cell r="A5824" t="str">
            <v>1;02;NP;E;</v>
          </cell>
          <cell r="B5824">
            <v>730069</v>
          </cell>
          <cell r="C5824" t="str">
            <v>NP</v>
          </cell>
          <cell r="D5824" t="str">
            <v>NAC PORTUGAL</v>
          </cell>
          <cell r="E5824" t="str">
            <v>02</v>
          </cell>
          <cell r="F5824" t="str">
            <v/>
          </cell>
          <cell r="G5824" t="str">
            <v>E</v>
          </cell>
          <cell r="H5824">
            <v>11.61</v>
          </cell>
        </row>
        <row r="5825">
          <cell r="A5825" t="str">
            <v>1;02;NP;P;</v>
          </cell>
          <cell r="B5825">
            <v>730069</v>
          </cell>
          <cell r="C5825" t="str">
            <v>NP</v>
          </cell>
          <cell r="D5825" t="str">
            <v>NAC PORTUGAL</v>
          </cell>
          <cell r="E5825" t="str">
            <v>02</v>
          </cell>
          <cell r="F5825" t="str">
            <v/>
          </cell>
          <cell r="G5825" t="str">
            <v>P</v>
          </cell>
          <cell r="H5825">
            <v>11.61</v>
          </cell>
        </row>
        <row r="5826">
          <cell r="A5826" t="str">
            <v>1;04;NP;B;BAG</v>
          </cell>
          <cell r="B5826">
            <v>730069</v>
          </cell>
          <cell r="C5826" t="str">
            <v>NP</v>
          </cell>
          <cell r="D5826" t="str">
            <v>NAC PORTUGAL</v>
          </cell>
          <cell r="E5826" t="str">
            <v>04</v>
          </cell>
          <cell r="F5826" t="str">
            <v>BAG</v>
          </cell>
          <cell r="G5826" t="str">
            <v>B</v>
          </cell>
          <cell r="H5826">
            <v>5.66</v>
          </cell>
        </row>
        <row r="5827">
          <cell r="A5827" t="str">
            <v>1;05;NP;B;BAG</v>
          </cell>
          <cell r="B5827">
            <v>730069</v>
          </cell>
          <cell r="C5827" t="str">
            <v>NP</v>
          </cell>
          <cell r="D5827" t="str">
            <v>NAC PORTUGAL</v>
          </cell>
          <cell r="E5827" t="str">
            <v>05</v>
          </cell>
          <cell r="F5827" t="str">
            <v>BAG</v>
          </cell>
          <cell r="G5827" t="str">
            <v>B</v>
          </cell>
          <cell r="H5827">
            <v>5.66</v>
          </cell>
        </row>
        <row r="5828">
          <cell r="A5828" t="str">
            <v>1;06;NP;B;BAG</v>
          </cell>
          <cell r="B5828">
            <v>730069</v>
          </cell>
          <cell r="C5828" t="str">
            <v>NP</v>
          </cell>
          <cell r="D5828" t="str">
            <v>NAC PORTUGAL</v>
          </cell>
          <cell r="E5828" t="str">
            <v>06</v>
          </cell>
          <cell r="F5828" t="str">
            <v>BAG</v>
          </cell>
          <cell r="G5828" t="str">
            <v>B</v>
          </cell>
          <cell r="H5828">
            <v>0</v>
          </cell>
        </row>
        <row r="5829">
          <cell r="A5829" t="str">
            <v>1;06;NP;B;DOCS</v>
          </cell>
          <cell r="B5829">
            <v>730069</v>
          </cell>
          <cell r="C5829" t="str">
            <v>NP</v>
          </cell>
          <cell r="D5829" t="str">
            <v>NAC PORTUGAL</v>
          </cell>
          <cell r="E5829" t="str">
            <v>06</v>
          </cell>
          <cell r="F5829" t="str">
            <v>DOCS</v>
          </cell>
          <cell r="G5829" t="str">
            <v>B</v>
          </cell>
          <cell r="H5829">
            <v>0</v>
          </cell>
        </row>
        <row r="5830">
          <cell r="A5830" t="str">
            <v>1;06;NP;B;PAQ00a05</v>
          </cell>
          <cell r="B5830">
            <v>730069</v>
          </cell>
          <cell r="C5830" t="str">
            <v>NP</v>
          </cell>
          <cell r="D5830" t="str">
            <v>NAC PORTUGAL</v>
          </cell>
          <cell r="E5830" t="str">
            <v>06</v>
          </cell>
          <cell r="F5830" t="str">
            <v>PAQ00a05</v>
          </cell>
          <cell r="G5830" t="str">
            <v>B</v>
          </cell>
          <cell r="H5830">
            <v>0</v>
          </cell>
        </row>
        <row r="5831">
          <cell r="A5831" t="str">
            <v>1;06;NP;B;PAQ05a10</v>
          </cell>
          <cell r="B5831">
            <v>730069</v>
          </cell>
          <cell r="C5831" t="str">
            <v>NP</v>
          </cell>
          <cell r="D5831" t="str">
            <v>NAC PORTUGAL</v>
          </cell>
          <cell r="E5831" t="str">
            <v>06</v>
          </cell>
          <cell r="F5831" t="str">
            <v>PAQ05a10</v>
          </cell>
          <cell r="G5831" t="str">
            <v>B</v>
          </cell>
          <cell r="H5831">
            <v>0</v>
          </cell>
        </row>
        <row r="5832">
          <cell r="A5832" t="str">
            <v>1;06;NP;B;PAQ10a15</v>
          </cell>
          <cell r="B5832">
            <v>730069</v>
          </cell>
          <cell r="C5832" t="str">
            <v>NP</v>
          </cell>
          <cell r="D5832" t="str">
            <v>NAC PORTUGAL</v>
          </cell>
          <cell r="E5832" t="str">
            <v>06</v>
          </cell>
          <cell r="F5832" t="str">
            <v>PAQ10a15</v>
          </cell>
          <cell r="G5832" t="str">
            <v>B</v>
          </cell>
          <cell r="H5832">
            <v>0</v>
          </cell>
        </row>
        <row r="5833">
          <cell r="A5833" t="str">
            <v>1;06;NP;B;PAQ15a20</v>
          </cell>
          <cell r="B5833">
            <v>730069</v>
          </cell>
          <cell r="C5833" t="str">
            <v>NP</v>
          </cell>
          <cell r="D5833" t="str">
            <v>NAC PORTUGAL</v>
          </cell>
          <cell r="E5833" t="str">
            <v>06</v>
          </cell>
          <cell r="F5833" t="str">
            <v>PAQ15a20</v>
          </cell>
          <cell r="G5833" t="str">
            <v>B</v>
          </cell>
          <cell r="H5833">
            <v>0</v>
          </cell>
        </row>
        <row r="5834">
          <cell r="A5834" t="str">
            <v>1;06;NP;B;PAQ20a25</v>
          </cell>
          <cell r="B5834">
            <v>730069</v>
          </cell>
          <cell r="C5834" t="str">
            <v>NP</v>
          </cell>
          <cell r="D5834" t="str">
            <v>NAC PORTUGAL</v>
          </cell>
          <cell r="E5834" t="str">
            <v>06</v>
          </cell>
          <cell r="F5834" t="str">
            <v>PAQ20a25</v>
          </cell>
          <cell r="G5834" t="str">
            <v>B</v>
          </cell>
          <cell r="H5834">
            <v>0</v>
          </cell>
        </row>
        <row r="5835">
          <cell r="A5835" t="str">
            <v>1;06;NP;B;PAQ25a30</v>
          </cell>
          <cell r="B5835">
            <v>730069</v>
          </cell>
          <cell r="C5835" t="str">
            <v>NP</v>
          </cell>
          <cell r="D5835" t="str">
            <v>NAC PORTUGAL</v>
          </cell>
          <cell r="E5835" t="str">
            <v>06</v>
          </cell>
          <cell r="F5835" t="str">
            <v>PAQ25a30</v>
          </cell>
          <cell r="G5835" t="str">
            <v>B</v>
          </cell>
          <cell r="H5835">
            <v>0</v>
          </cell>
        </row>
        <row r="5836">
          <cell r="A5836" t="str">
            <v>1;06;NP;B;PAQ30a35</v>
          </cell>
          <cell r="B5836">
            <v>730069</v>
          </cell>
          <cell r="C5836" t="str">
            <v>NP</v>
          </cell>
          <cell r="D5836" t="str">
            <v>NAC PORTUGAL</v>
          </cell>
          <cell r="E5836" t="str">
            <v>06</v>
          </cell>
          <cell r="F5836" t="str">
            <v>PAQ30a35</v>
          </cell>
          <cell r="G5836" t="str">
            <v>B</v>
          </cell>
          <cell r="H5836">
            <v>0</v>
          </cell>
        </row>
        <row r="5837">
          <cell r="A5837" t="str">
            <v>1;06;NP;B;PAQ35a40</v>
          </cell>
          <cell r="B5837">
            <v>730069</v>
          </cell>
          <cell r="C5837" t="str">
            <v>NP</v>
          </cell>
          <cell r="D5837" t="str">
            <v>NAC PORTUGAL</v>
          </cell>
          <cell r="E5837" t="str">
            <v>06</v>
          </cell>
          <cell r="F5837" t="str">
            <v>PAQ35a40</v>
          </cell>
          <cell r="G5837" t="str">
            <v>B</v>
          </cell>
          <cell r="H5837">
            <v>0</v>
          </cell>
        </row>
        <row r="5838">
          <cell r="A5838" t="str">
            <v>1;06;NP;F;</v>
          </cell>
          <cell r="B5838">
            <v>730069</v>
          </cell>
          <cell r="C5838" t="str">
            <v>NP</v>
          </cell>
          <cell r="D5838" t="str">
            <v>NAC PORTUGAL</v>
          </cell>
          <cell r="E5838" t="str">
            <v>06</v>
          </cell>
          <cell r="F5838" t="str">
            <v/>
          </cell>
          <cell r="G5838" t="str">
            <v>F</v>
          </cell>
          <cell r="H5838">
            <v>0</v>
          </cell>
        </row>
        <row r="5839">
          <cell r="A5839" t="str">
            <v>1;06;NP;E;</v>
          </cell>
          <cell r="B5839">
            <v>730069</v>
          </cell>
          <cell r="C5839" t="str">
            <v>NP</v>
          </cell>
          <cell r="D5839" t="str">
            <v>NAC PORTUGAL</v>
          </cell>
          <cell r="E5839" t="str">
            <v>06</v>
          </cell>
          <cell r="F5839" t="str">
            <v/>
          </cell>
          <cell r="G5839" t="str">
            <v>E</v>
          </cell>
          <cell r="H5839">
            <v>11.61</v>
          </cell>
        </row>
        <row r="5840">
          <cell r="A5840" t="str">
            <v>1;06;NP;P;</v>
          </cell>
          <cell r="B5840">
            <v>730069</v>
          </cell>
          <cell r="C5840" t="str">
            <v>NP</v>
          </cell>
          <cell r="D5840" t="str">
            <v>NAC PORTUGAL</v>
          </cell>
          <cell r="E5840" t="str">
            <v>06</v>
          </cell>
          <cell r="F5840" t="str">
            <v/>
          </cell>
          <cell r="G5840" t="str">
            <v>P</v>
          </cell>
          <cell r="H5840">
            <v>11.61</v>
          </cell>
        </row>
        <row r="5841">
          <cell r="A5841" t="str">
            <v>1;07;NP;B;BAG</v>
          </cell>
          <cell r="B5841">
            <v>730069</v>
          </cell>
          <cell r="C5841" t="str">
            <v>NP</v>
          </cell>
          <cell r="D5841" t="str">
            <v>NAC PORTUGAL</v>
          </cell>
          <cell r="E5841" t="str">
            <v>07</v>
          </cell>
          <cell r="F5841" t="str">
            <v>BAG</v>
          </cell>
          <cell r="G5841" t="str">
            <v>B</v>
          </cell>
          <cell r="H5841">
            <v>0</v>
          </cell>
        </row>
        <row r="5842">
          <cell r="A5842" t="str">
            <v>1;07;NP;B;DOCS</v>
          </cell>
          <cell r="B5842">
            <v>730069</v>
          </cell>
          <cell r="C5842" t="str">
            <v>NP</v>
          </cell>
          <cell r="D5842" t="str">
            <v>NAC PORTUGAL</v>
          </cell>
          <cell r="E5842" t="str">
            <v>07</v>
          </cell>
          <cell r="F5842" t="str">
            <v>DOCS</v>
          </cell>
          <cell r="G5842" t="str">
            <v>B</v>
          </cell>
          <cell r="H5842">
            <v>0</v>
          </cell>
        </row>
        <row r="5843">
          <cell r="A5843" t="str">
            <v>1;07;NP;B;PAQ00a05</v>
          </cell>
          <cell r="B5843">
            <v>730069</v>
          </cell>
          <cell r="C5843" t="str">
            <v>NP</v>
          </cell>
          <cell r="D5843" t="str">
            <v>NAC PORTUGAL</v>
          </cell>
          <cell r="E5843" t="str">
            <v>07</v>
          </cell>
          <cell r="F5843" t="str">
            <v>PAQ00a05</v>
          </cell>
          <cell r="G5843" t="str">
            <v>B</v>
          </cell>
          <cell r="H5843">
            <v>0</v>
          </cell>
        </row>
        <row r="5844">
          <cell r="A5844" t="str">
            <v>1;07;NP;B;PAQ05a10</v>
          </cell>
          <cell r="B5844">
            <v>730069</v>
          </cell>
          <cell r="C5844" t="str">
            <v>NP</v>
          </cell>
          <cell r="D5844" t="str">
            <v>NAC PORTUGAL</v>
          </cell>
          <cell r="E5844" t="str">
            <v>07</v>
          </cell>
          <cell r="F5844" t="str">
            <v>PAQ05a10</v>
          </cell>
          <cell r="G5844" t="str">
            <v>B</v>
          </cell>
          <cell r="H5844">
            <v>0</v>
          </cell>
        </row>
        <row r="5845">
          <cell r="A5845" t="str">
            <v>1;07;NP;B;PAQ10a15</v>
          </cell>
          <cell r="B5845">
            <v>730069</v>
          </cell>
          <cell r="C5845" t="str">
            <v>NP</v>
          </cell>
          <cell r="D5845" t="str">
            <v>NAC PORTUGAL</v>
          </cell>
          <cell r="E5845" t="str">
            <v>07</v>
          </cell>
          <cell r="F5845" t="str">
            <v>PAQ10a15</v>
          </cell>
          <cell r="G5845" t="str">
            <v>B</v>
          </cell>
          <cell r="H5845">
            <v>0</v>
          </cell>
        </row>
        <row r="5846">
          <cell r="A5846" t="str">
            <v>1;07;NP;B;PAQ15a20</v>
          </cell>
          <cell r="B5846">
            <v>730069</v>
          </cell>
          <cell r="C5846" t="str">
            <v>NP</v>
          </cell>
          <cell r="D5846" t="str">
            <v>NAC PORTUGAL</v>
          </cell>
          <cell r="E5846" t="str">
            <v>07</v>
          </cell>
          <cell r="F5846" t="str">
            <v>PAQ15a20</v>
          </cell>
          <cell r="G5846" t="str">
            <v>B</v>
          </cell>
          <cell r="H5846">
            <v>0</v>
          </cell>
        </row>
        <row r="5847">
          <cell r="A5847" t="str">
            <v>1;07;NP;B;PAQ20a25</v>
          </cell>
          <cell r="B5847">
            <v>730069</v>
          </cell>
          <cell r="C5847" t="str">
            <v>NP</v>
          </cell>
          <cell r="D5847" t="str">
            <v>NAC PORTUGAL</v>
          </cell>
          <cell r="E5847" t="str">
            <v>07</v>
          </cell>
          <cell r="F5847" t="str">
            <v>PAQ20a25</v>
          </cell>
          <cell r="G5847" t="str">
            <v>B</v>
          </cell>
          <cell r="H5847">
            <v>0</v>
          </cell>
        </row>
        <row r="5848">
          <cell r="A5848" t="str">
            <v>1;07;NP;B;PAQ25a30</v>
          </cell>
          <cell r="B5848">
            <v>730069</v>
          </cell>
          <cell r="C5848" t="str">
            <v>NP</v>
          </cell>
          <cell r="D5848" t="str">
            <v>NAC PORTUGAL</v>
          </cell>
          <cell r="E5848" t="str">
            <v>07</v>
          </cell>
          <cell r="F5848" t="str">
            <v>PAQ25a30</v>
          </cell>
          <cell r="G5848" t="str">
            <v>B</v>
          </cell>
          <cell r="H5848">
            <v>0</v>
          </cell>
        </row>
        <row r="5849">
          <cell r="A5849" t="str">
            <v>1;07;NP;B;PAQ30a35</v>
          </cell>
          <cell r="B5849">
            <v>730069</v>
          </cell>
          <cell r="C5849" t="str">
            <v>NP</v>
          </cell>
          <cell r="D5849" t="str">
            <v>NAC PORTUGAL</v>
          </cell>
          <cell r="E5849" t="str">
            <v>07</v>
          </cell>
          <cell r="F5849" t="str">
            <v>PAQ30a35</v>
          </cell>
          <cell r="G5849" t="str">
            <v>B</v>
          </cell>
          <cell r="H5849">
            <v>0</v>
          </cell>
        </row>
        <row r="5850">
          <cell r="A5850" t="str">
            <v>1;07;NP;F;</v>
          </cell>
          <cell r="B5850">
            <v>730069</v>
          </cell>
          <cell r="C5850" t="str">
            <v>NP</v>
          </cell>
          <cell r="D5850" t="str">
            <v>NAC PORTUGAL</v>
          </cell>
          <cell r="E5850" t="str">
            <v>07</v>
          </cell>
          <cell r="F5850" t="str">
            <v/>
          </cell>
          <cell r="G5850" t="str">
            <v>F</v>
          </cell>
          <cell r="H5850">
            <v>0</v>
          </cell>
        </row>
        <row r="5851">
          <cell r="A5851" t="str">
            <v>1;07;NP;B;PAQ35a40</v>
          </cell>
          <cell r="B5851">
            <v>730069</v>
          </cell>
          <cell r="C5851" t="str">
            <v>NP</v>
          </cell>
          <cell r="D5851" t="str">
            <v>NAC PORTUGAL</v>
          </cell>
          <cell r="E5851" t="str">
            <v>07</v>
          </cell>
          <cell r="F5851" t="str">
            <v>PAQ35a40</v>
          </cell>
          <cell r="G5851" t="str">
            <v>B</v>
          </cell>
          <cell r="H5851">
            <v>0</v>
          </cell>
        </row>
        <row r="5852">
          <cell r="A5852" t="str">
            <v>1;07;NP;E;</v>
          </cell>
          <cell r="B5852">
            <v>730069</v>
          </cell>
          <cell r="C5852" t="str">
            <v>NP</v>
          </cell>
          <cell r="D5852" t="str">
            <v>NAC PORTUGAL</v>
          </cell>
          <cell r="E5852" t="str">
            <v>07</v>
          </cell>
          <cell r="F5852" t="str">
            <v/>
          </cell>
          <cell r="G5852" t="str">
            <v>E</v>
          </cell>
          <cell r="H5852">
            <v>11.61</v>
          </cell>
        </row>
        <row r="5853">
          <cell r="A5853" t="str">
            <v>1;07;NP;P;</v>
          </cell>
          <cell r="B5853">
            <v>730069</v>
          </cell>
          <cell r="C5853" t="str">
            <v>NP</v>
          </cell>
          <cell r="D5853" t="str">
            <v>NAC PORTUGAL</v>
          </cell>
          <cell r="E5853" t="str">
            <v>07</v>
          </cell>
          <cell r="F5853" t="str">
            <v/>
          </cell>
          <cell r="G5853" t="str">
            <v>P</v>
          </cell>
          <cell r="H5853">
            <v>11.61</v>
          </cell>
        </row>
        <row r="5854">
          <cell r="A5854" t="str">
            <v>1;08;NP;B;BAG</v>
          </cell>
          <cell r="B5854">
            <v>730069</v>
          </cell>
          <cell r="C5854" t="str">
            <v>NP</v>
          </cell>
          <cell r="D5854" t="str">
            <v>NAC PORTUGAL</v>
          </cell>
          <cell r="E5854" t="str">
            <v>08</v>
          </cell>
          <cell r="F5854" t="str">
            <v>BAG</v>
          </cell>
          <cell r="G5854" t="str">
            <v>B</v>
          </cell>
          <cell r="H5854">
            <v>8.98</v>
          </cell>
        </row>
        <row r="5855">
          <cell r="A5855" t="str">
            <v>1;08;NP;B;DOCS</v>
          </cell>
          <cell r="B5855">
            <v>730069</v>
          </cell>
          <cell r="C5855" t="str">
            <v>NP</v>
          </cell>
          <cell r="D5855" t="str">
            <v>NAC PORTUGAL</v>
          </cell>
          <cell r="E5855" t="str">
            <v>08</v>
          </cell>
          <cell r="F5855" t="str">
            <v>DOCS</v>
          </cell>
          <cell r="G5855" t="str">
            <v>B</v>
          </cell>
          <cell r="H5855">
            <v>8.98</v>
          </cell>
        </row>
        <row r="5856">
          <cell r="A5856" t="str">
            <v>1;08;NP;B;PAQ00a02</v>
          </cell>
          <cell r="B5856">
            <v>730069</v>
          </cell>
          <cell r="C5856" t="str">
            <v>NP</v>
          </cell>
          <cell r="D5856" t="str">
            <v>NAC PORTUGAL</v>
          </cell>
          <cell r="E5856" t="str">
            <v>08</v>
          </cell>
          <cell r="F5856" t="str">
            <v>PAQ00a02</v>
          </cell>
          <cell r="G5856" t="str">
            <v>B</v>
          </cell>
          <cell r="H5856">
            <v>8.98</v>
          </cell>
        </row>
        <row r="5857">
          <cell r="A5857" t="str">
            <v>1;08;NP;B;PAQ02a05</v>
          </cell>
          <cell r="B5857">
            <v>730069</v>
          </cell>
          <cell r="C5857" t="str">
            <v>NP</v>
          </cell>
          <cell r="D5857" t="str">
            <v>NAC PORTUGAL</v>
          </cell>
          <cell r="E5857" t="str">
            <v>08</v>
          </cell>
          <cell r="F5857" t="str">
            <v>PAQ02a05</v>
          </cell>
          <cell r="G5857" t="str">
            <v>B</v>
          </cell>
          <cell r="H5857">
            <v>10</v>
          </cell>
        </row>
        <row r="5858">
          <cell r="A5858" t="str">
            <v>1;08;NP;B;PAQ05a10</v>
          </cell>
          <cell r="B5858">
            <v>730069</v>
          </cell>
          <cell r="C5858" t="str">
            <v>NP</v>
          </cell>
          <cell r="D5858" t="str">
            <v>NAC PORTUGAL</v>
          </cell>
          <cell r="E5858" t="str">
            <v>08</v>
          </cell>
          <cell r="F5858" t="str">
            <v>PAQ05a10</v>
          </cell>
          <cell r="G5858" t="str">
            <v>B</v>
          </cell>
          <cell r="H5858">
            <v>11.15</v>
          </cell>
        </row>
        <row r="5859">
          <cell r="A5859" t="str">
            <v>1;08;NP;B;PAQ10a15</v>
          </cell>
          <cell r="B5859">
            <v>730069</v>
          </cell>
          <cell r="C5859" t="str">
            <v>NP</v>
          </cell>
          <cell r="D5859" t="str">
            <v>NAC PORTUGAL</v>
          </cell>
          <cell r="E5859" t="str">
            <v>08</v>
          </cell>
          <cell r="F5859" t="str">
            <v>PAQ10a15</v>
          </cell>
          <cell r="G5859" t="str">
            <v>B</v>
          </cell>
          <cell r="H5859">
            <v>16.43</v>
          </cell>
        </row>
        <row r="5860">
          <cell r="A5860" t="str">
            <v>1;08;NP;B;PAQ15a20</v>
          </cell>
          <cell r="B5860">
            <v>730069</v>
          </cell>
          <cell r="C5860" t="str">
            <v>NP</v>
          </cell>
          <cell r="D5860" t="str">
            <v>NAC PORTUGAL</v>
          </cell>
          <cell r="E5860" t="str">
            <v>08</v>
          </cell>
          <cell r="F5860" t="str">
            <v>PAQ15a20</v>
          </cell>
          <cell r="G5860" t="str">
            <v>B</v>
          </cell>
          <cell r="H5860">
            <v>21.71</v>
          </cell>
        </row>
        <row r="5861">
          <cell r="A5861" t="str">
            <v>1;08;NP;B;PAQ20a25</v>
          </cell>
          <cell r="B5861">
            <v>730069</v>
          </cell>
          <cell r="C5861" t="str">
            <v>NP</v>
          </cell>
          <cell r="D5861" t="str">
            <v>NAC PORTUGAL</v>
          </cell>
          <cell r="E5861" t="str">
            <v>08</v>
          </cell>
          <cell r="F5861" t="str">
            <v>PAQ20a25</v>
          </cell>
          <cell r="G5861" t="str">
            <v>B</v>
          </cell>
          <cell r="H5861">
            <v>27</v>
          </cell>
        </row>
        <row r="5862">
          <cell r="A5862" t="str">
            <v>1;08;NP;B;PAQ25a30</v>
          </cell>
          <cell r="B5862">
            <v>730069</v>
          </cell>
          <cell r="C5862" t="str">
            <v>NP</v>
          </cell>
          <cell r="D5862" t="str">
            <v>NAC PORTUGAL</v>
          </cell>
          <cell r="E5862" t="str">
            <v>08</v>
          </cell>
          <cell r="F5862" t="str">
            <v>PAQ25a30</v>
          </cell>
          <cell r="G5862" t="str">
            <v>B</v>
          </cell>
          <cell r="H5862">
            <v>32.28</v>
          </cell>
        </row>
        <row r="5863">
          <cell r="A5863" t="str">
            <v>1;08;NP;B;PAQ30a35</v>
          </cell>
          <cell r="B5863">
            <v>730069</v>
          </cell>
          <cell r="C5863" t="str">
            <v>NP</v>
          </cell>
          <cell r="D5863" t="str">
            <v>NAC PORTUGAL</v>
          </cell>
          <cell r="E5863" t="str">
            <v>08</v>
          </cell>
          <cell r="F5863" t="str">
            <v>PAQ30a35</v>
          </cell>
          <cell r="G5863" t="str">
            <v>B</v>
          </cell>
          <cell r="H5863">
            <v>37.549999999999997</v>
          </cell>
        </row>
        <row r="5864">
          <cell r="A5864" t="str">
            <v>1;08;NP;B;PAQ35a40</v>
          </cell>
          <cell r="B5864">
            <v>730069</v>
          </cell>
          <cell r="C5864" t="str">
            <v>NP</v>
          </cell>
          <cell r="D5864" t="str">
            <v>NAC PORTUGAL</v>
          </cell>
          <cell r="E5864" t="str">
            <v>08</v>
          </cell>
          <cell r="F5864" t="str">
            <v>PAQ35a40</v>
          </cell>
          <cell r="G5864" t="str">
            <v>B</v>
          </cell>
          <cell r="H5864">
            <v>42.84</v>
          </cell>
        </row>
        <row r="5865">
          <cell r="A5865" t="str">
            <v>1;08;NP;F;</v>
          </cell>
          <cell r="B5865">
            <v>730069</v>
          </cell>
          <cell r="C5865" t="str">
            <v>NP</v>
          </cell>
          <cell r="D5865" t="str">
            <v>NAC PORTUGAL</v>
          </cell>
          <cell r="E5865" t="str">
            <v>08</v>
          </cell>
          <cell r="F5865" t="str">
            <v/>
          </cell>
          <cell r="G5865" t="str">
            <v>F</v>
          </cell>
          <cell r="H5865">
            <v>6.04</v>
          </cell>
        </row>
        <row r="5866">
          <cell r="A5866" t="str">
            <v>1;08;NP;E;</v>
          </cell>
          <cell r="B5866">
            <v>730069</v>
          </cell>
          <cell r="C5866" t="str">
            <v>NP</v>
          </cell>
          <cell r="D5866" t="str">
            <v>NAC PORTUGAL</v>
          </cell>
          <cell r="E5866" t="str">
            <v>08</v>
          </cell>
          <cell r="F5866" t="str">
            <v/>
          </cell>
          <cell r="G5866" t="str">
            <v>E</v>
          </cell>
          <cell r="H5866">
            <v>6.04</v>
          </cell>
        </row>
        <row r="5867">
          <cell r="A5867" t="str">
            <v>1;08;NP;P;</v>
          </cell>
          <cell r="B5867">
            <v>730069</v>
          </cell>
          <cell r="C5867" t="str">
            <v>NP</v>
          </cell>
          <cell r="D5867" t="str">
            <v>NAC PORTUGAL</v>
          </cell>
          <cell r="E5867" t="str">
            <v>08</v>
          </cell>
          <cell r="F5867" t="str">
            <v/>
          </cell>
          <cell r="G5867" t="str">
            <v>P</v>
          </cell>
          <cell r="H5867">
            <v>6.04</v>
          </cell>
        </row>
        <row r="5868">
          <cell r="A5868" t="str">
            <v>1;10;NP;B;BAG</v>
          </cell>
          <cell r="B5868">
            <v>730069</v>
          </cell>
          <cell r="C5868" t="str">
            <v>NP</v>
          </cell>
          <cell r="D5868" t="str">
            <v>NAC PORTUGAL</v>
          </cell>
          <cell r="E5868" t="str">
            <v>10</v>
          </cell>
          <cell r="F5868" t="str">
            <v>BAG</v>
          </cell>
          <cell r="G5868" t="str">
            <v>B</v>
          </cell>
          <cell r="H5868">
            <v>1.67</v>
          </cell>
        </row>
        <row r="5869">
          <cell r="A5869" t="str">
            <v>1;10;NP;B;DOCS</v>
          </cell>
          <cell r="B5869">
            <v>730069</v>
          </cell>
          <cell r="C5869" t="str">
            <v>NP</v>
          </cell>
          <cell r="D5869" t="str">
            <v>NAC PORTUGAL</v>
          </cell>
          <cell r="E5869" t="str">
            <v>10</v>
          </cell>
          <cell r="F5869" t="str">
            <v>DOCS</v>
          </cell>
          <cell r="G5869" t="str">
            <v>B</v>
          </cell>
          <cell r="H5869">
            <v>1.67</v>
          </cell>
        </row>
        <row r="5870">
          <cell r="A5870" t="str">
            <v>1;11;NP;B;BAG</v>
          </cell>
          <cell r="B5870">
            <v>730069</v>
          </cell>
          <cell r="C5870" t="str">
            <v>NP</v>
          </cell>
          <cell r="D5870" t="str">
            <v>NAC PORTUGAL</v>
          </cell>
          <cell r="E5870" t="str">
            <v>11</v>
          </cell>
          <cell r="F5870" t="str">
            <v>BAG</v>
          </cell>
          <cell r="G5870" t="str">
            <v>B</v>
          </cell>
          <cell r="H5870">
            <v>21.38</v>
          </cell>
        </row>
        <row r="5871">
          <cell r="A5871" t="str">
            <v>1;11;NP;B;PAQ00a02</v>
          </cell>
          <cell r="B5871">
            <v>730069</v>
          </cell>
          <cell r="C5871" t="str">
            <v>NP</v>
          </cell>
          <cell r="D5871" t="str">
            <v>NAC PORTUGAL</v>
          </cell>
          <cell r="E5871" t="str">
            <v>11</v>
          </cell>
          <cell r="F5871" t="str">
            <v>PAQ00a02</v>
          </cell>
          <cell r="G5871" t="str">
            <v>B</v>
          </cell>
          <cell r="H5871">
            <v>24.78</v>
          </cell>
        </row>
        <row r="5872">
          <cell r="A5872" t="str">
            <v>1;11;NP;B;PAQ02a05</v>
          </cell>
          <cell r="B5872">
            <v>730069</v>
          </cell>
          <cell r="C5872" t="str">
            <v>NP</v>
          </cell>
          <cell r="D5872" t="str">
            <v>NAC PORTUGAL</v>
          </cell>
          <cell r="E5872" t="str">
            <v>11</v>
          </cell>
          <cell r="F5872" t="str">
            <v>PAQ02a05</v>
          </cell>
          <cell r="G5872" t="str">
            <v>B</v>
          </cell>
          <cell r="H5872">
            <v>24.78</v>
          </cell>
        </row>
        <row r="5873">
          <cell r="A5873" t="str">
            <v>1;11;NP;B;PAQ05a10</v>
          </cell>
          <cell r="B5873">
            <v>730069</v>
          </cell>
          <cell r="C5873" t="str">
            <v>NP</v>
          </cell>
          <cell r="D5873" t="str">
            <v>NAC PORTUGAL</v>
          </cell>
          <cell r="E5873" t="str">
            <v>11</v>
          </cell>
          <cell r="F5873" t="str">
            <v>PAQ05a10</v>
          </cell>
          <cell r="G5873" t="str">
            <v>B</v>
          </cell>
          <cell r="H5873">
            <v>38.89</v>
          </cell>
        </row>
        <row r="5874">
          <cell r="A5874" t="str">
            <v>1;11;NP;B;PAQ10a15</v>
          </cell>
          <cell r="B5874">
            <v>730069</v>
          </cell>
          <cell r="C5874" t="str">
            <v>NP</v>
          </cell>
          <cell r="D5874" t="str">
            <v>NAC PORTUGAL</v>
          </cell>
          <cell r="E5874" t="str">
            <v>11</v>
          </cell>
          <cell r="F5874" t="str">
            <v>PAQ10a15</v>
          </cell>
          <cell r="G5874" t="str">
            <v>B</v>
          </cell>
          <cell r="H5874">
            <v>53.25</v>
          </cell>
        </row>
        <row r="5875">
          <cell r="A5875" t="str">
            <v>1;11;NP;B;PAQ15a20</v>
          </cell>
          <cell r="B5875">
            <v>730069</v>
          </cell>
          <cell r="C5875" t="str">
            <v>NP</v>
          </cell>
          <cell r="D5875" t="str">
            <v>NAC PORTUGAL</v>
          </cell>
          <cell r="E5875" t="str">
            <v>11</v>
          </cell>
          <cell r="F5875" t="str">
            <v>PAQ15a20</v>
          </cell>
          <cell r="G5875" t="str">
            <v>B</v>
          </cell>
          <cell r="H5875">
            <v>67.599999999999994</v>
          </cell>
        </row>
        <row r="5876">
          <cell r="A5876" t="str">
            <v>1;11;NP;B;PAQ20a25</v>
          </cell>
          <cell r="B5876">
            <v>730069</v>
          </cell>
          <cell r="C5876" t="str">
            <v>NP</v>
          </cell>
          <cell r="D5876" t="str">
            <v>NAC PORTUGAL</v>
          </cell>
          <cell r="E5876" t="str">
            <v>11</v>
          </cell>
          <cell r="F5876" t="str">
            <v>PAQ20a25</v>
          </cell>
          <cell r="G5876" t="str">
            <v>B</v>
          </cell>
          <cell r="H5876">
            <v>81.94</v>
          </cell>
        </row>
        <row r="5877">
          <cell r="A5877" t="str">
            <v>1;11;NP;B;PAQ25a30</v>
          </cell>
          <cell r="B5877">
            <v>730069</v>
          </cell>
          <cell r="C5877" t="str">
            <v>NP</v>
          </cell>
          <cell r="D5877" t="str">
            <v>NAC PORTUGAL</v>
          </cell>
          <cell r="E5877" t="str">
            <v>11</v>
          </cell>
          <cell r="F5877" t="str">
            <v>PAQ25a30</v>
          </cell>
          <cell r="G5877" t="str">
            <v>B</v>
          </cell>
          <cell r="H5877">
            <v>96.3</v>
          </cell>
        </row>
        <row r="5878">
          <cell r="A5878" t="str">
            <v>1;11;NP;B;PAQ30a35</v>
          </cell>
          <cell r="B5878">
            <v>730069</v>
          </cell>
          <cell r="C5878" t="str">
            <v>NP</v>
          </cell>
          <cell r="D5878" t="str">
            <v>NAC PORTUGAL</v>
          </cell>
          <cell r="E5878" t="str">
            <v>11</v>
          </cell>
          <cell r="F5878" t="str">
            <v>PAQ30a35</v>
          </cell>
          <cell r="G5878" t="str">
            <v>B</v>
          </cell>
          <cell r="H5878">
            <v>110.65</v>
          </cell>
        </row>
        <row r="5879">
          <cell r="A5879" t="str">
            <v>1;11;NP;B;PAQ35a40</v>
          </cell>
          <cell r="B5879">
            <v>730069</v>
          </cell>
          <cell r="C5879" t="str">
            <v>NP</v>
          </cell>
          <cell r="D5879" t="str">
            <v>NAC PORTUGAL</v>
          </cell>
          <cell r="E5879" t="str">
            <v>11</v>
          </cell>
          <cell r="F5879" t="str">
            <v>PAQ35a40</v>
          </cell>
          <cell r="G5879" t="str">
            <v>B</v>
          </cell>
          <cell r="H5879">
            <v>125</v>
          </cell>
        </row>
        <row r="5880">
          <cell r="A5880" t="str">
            <v>1;11;NP;F;</v>
          </cell>
          <cell r="B5880">
            <v>730069</v>
          </cell>
          <cell r="C5880" t="str">
            <v>NP</v>
          </cell>
          <cell r="D5880" t="str">
            <v>NAC PORTUGAL</v>
          </cell>
          <cell r="E5880" t="str">
            <v>11</v>
          </cell>
          <cell r="F5880" t="str">
            <v/>
          </cell>
          <cell r="G5880" t="str">
            <v>F</v>
          </cell>
          <cell r="H5880">
            <v>14.35</v>
          </cell>
        </row>
        <row r="5881">
          <cell r="A5881" t="str">
            <v>1;11;NP;P;</v>
          </cell>
          <cell r="B5881">
            <v>730069</v>
          </cell>
          <cell r="C5881" t="str">
            <v>NP</v>
          </cell>
          <cell r="D5881" t="str">
            <v>NAC PORTUGAL</v>
          </cell>
          <cell r="E5881" t="str">
            <v>11</v>
          </cell>
          <cell r="F5881" t="str">
            <v/>
          </cell>
          <cell r="G5881" t="str">
            <v>P</v>
          </cell>
          <cell r="H5881">
            <v>14.51</v>
          </cell>
        </row>
        <row r="5882">
          <cell r="A5882" t="str">
            <v>1;11;NP;E;</v>
          </cell>
          <cell r="B5882">
            <v>730069</v>
          </cell>
          <cell r="C5882" t="str">
            <v>NP</v>
          </cell>
          <cell r="D5882" t="str">
            <v>NAC PORTUGAL</v>
          </cell>
          <cell r="E5882" t="str">
            <v>11</v>
          </cell>
          <cell r="F5882" t="str">
            <v/>
          </cell>
          <cell r="G5882" t="str">
            <v>E</v>
          </cell>
          <cell r="H5882">
            <v>14.51</v>
          </cell>
        </row>
        <row r="5883">
          <cell r="A5883" t="str">
            <v>1;12;NP;B;BAG</v>
          </cell>
          <cell r="B5883">
            <v>730069</v>
          </cell>
          <cell r="C5883" t="str">
            <v>NP</v>
          </cell>
          <cell r="D5883" t="str">
            <v>NAC PORTUGAL</v>
          </cell>
          <cell r="E5883" t="str">
            <v>12</v>
          </cell>
          <cell r="F5883" t="str">
            <v>BAG</v>
          </cell>
          <cell r="G5883" t="str">
            <v>B</v>
          </cell>
          <cell r="H5883">
            <v>3.58</v>
          </cell>
        </row>
        <row r="5884">
          <cell r="A5884" t="str">
            <v>1;12;NP;B;DOCS</v>
          </cell>
          <cell r="B5884">
            <v>730069</v>
          </cell>
          <cell r="C5884" t="str">
            <v>NP</v>
          </cell>
          <cell r="D5884" t="str">
            <v>NAC PORTUGAL</v>
          </cell>
          <cell r="E5884" t="str">
            <v>12</v>
          </cell>
          <cell r="F5884" t="str">
            <v>DOCS</v>
          </cell>
          <cell r="G5884" t="str">
            <v>B</v>
          </cell>
          <cell r="H5884">
            <v>3.58</v>
          </cell>
        </row>
        <row r="5885">
          <cell r="A5885" t="str">
            <v>1;14;NP;B;BAG</v>
          </cell>
          <cell r="B5885">
            <v>730069</v>
          </cell>
          <cell r="C5885" t="str">
            <v>NP</v>
          </cell>
          <cell r="D5885" t="str">
            <v>NAC PORTUGAL</v>
          </cell>
          <cell r="E5885" t="str">
            <v>14</v>
          </cell>
          <cell r="F5885" t="str">
            <v>BAG</v>
          </cell>
          <cell r="G5885" t="str">
            <v>B</v>
          </cell>
          <cell r="H5885">
            <v>1.75</v>
          </cell>
        </row>
        <row r="5886">
          <cell r="A5886" t="str">
            <v>1;15;NP;B;BAG</v>
          </cell>
          <cell r="B5886">
            <v>730069</v>
          </cell>
          <cell r="C5886" t="str">
            <v>NP</v>
          </cell>
          <cell r="D5886" t="str">
            <v>NAC PORTUGAL</v>
          </cell>
          <cell r="E5886" t="str">
            <v>15</v>
          </cell>
          <cell r="F5886" t="str">
            <v>BAG</v>
          </cell>
          <cell r="G5886" t="str">
            <v>B</v>
          </cell>
          <cell r="H5886">
            <v>1.75</v>
          </cell>
        </row>
        <row r="5887">
          <cell r="A5887" t="str">
            <v>1;17;NP;B;PAQ00a02</v>
          </cell>
          <cell r="B5887">
            <v>730069</v>
          </cell>
          <cell r="C5887" t="str">
            <v>NP</v>
          </cell>
          <cell r="D5887" t="str">
            <v>NAC PORTUGAL</v>
          </cell>
          <cell r="E5887" t="str">
            <v>17</v>
          </cell>
          <cell r="F5887" t="str">
            <v>PAQ00a02</v>
          </cell>
          <cell r="G5887" t="str">
            <v>B</v>
          </cell>
          <cell r="H5887">
            <v>2.63</v>
          </cell>
        </row>
        <row r="5888">
          <cell r="A5888" t="str">
            <v>1;17;NP;B;PAQ02a05</v>
          </cell>
          <cell r="B5888">
            <v>730069</v>
          </cell>
          <cell r="C5888" t="str">
            <v>NP</v>
          </cell>
          <cell r="D5888" t="str">
            <v>NAC PORTUGAL</v>
          </cell>
          <cell r="E5888" t="str">
            <v>17</v>
          </cell>
          <cell r="F5888" t="str">
            <v>PAQ02a05</v>
          </cell>
          <cell r="G5888" t="str">
            <v>B</v>
          </cell>
          <cell r="H5888">
            <v>5.0599999999999996</v>
          </cell>
        </row>
        <row r="5889">
          <cell r="A5889" t="str">
            <v>1;17;NP;B;PAQ05a10</v>
          </cell>
          <cell r="B5889">
            <v>730069</v>
          </cell>
          <cell r="C5889" t="str">
            <v>NP</v>
          </cell>
          <cell r="D5889" t="str">
            <v>NAC PORTUGAL</v>
          </cell>
          <cell r="E5889" t="str">
            <v>17</v>
          </cell>
          <cell r="F5889" t="str">
            <v>PAQ05a10</v>
          </cell>
          <cell r="G5889" t="str">
            <v>B</v>
          </cell>
          <cell r="H5889">
            <v>7.5</v>
          </cell>
        </row>
        <row r="5890">
          <cell r="A5890" t="str">
            <v>1;17;NP;B;PAQ10a15</v>
          </cell>
          <cell r="B5890">
            <v>730069</v>
          </cell>
          <cell r="C5890" t="str">
            <v>NP</v>
          </cell>
          <cell r="D5890" t="str">
            <v>NAC PORTUGAL</v>
          </cell>
          <cell r="E5890" t="str">
            <v>17</v>
          </cell>
          <cell r="F5890" t="str">
            <v>PAQ10a15</v>
          </cell>
          <cell r="G5890" t="str">
            <v>B</v>
          </cell>
          <cell r="H5890">
            <v>8.7200000000000006</v>
          </cell>
        </row>
        <row r="5891">
          <cell r="A5891" t="str">
            <v>1;17;NP;B;PAQ15a20</v>
          </cell>
          <cell r="B5891">
            <v>730069</v>
          </cell>
          <cell r="C5891" t="str">
            <v>NP</v>
          </cell>
          <cell r="D5891" t="str">
            <v>NAC PORTUGAL</v>
          </cell>
          <cell r="E5891" t="str">
            <v>17</v>
          </cell>
          <cell r="F5891" t="str">
            <v>PAQ15a20</v>
          </cell>
          <cell r="G5891" t="str">
            <v>B</v>
          </cell>
          <cell r="H5891">
            <v>9.94</v>
          </cell>
        </row>
        <row r="5892">
          <cell r="A5892" t="str">
            <v>1;17;NP;B;PAQ20a25</v>
          </cell>
          <cell r="B5892">
            <v>730069</v>
          </cell>
          <cell r="C5892" t="str">
            <v>NP</v>
          </cell>
          <cell r="D5892" t="str">
            <v>NAC PORTUGAL</v>
          </cell>
          <cell r="E5892" t="str">
            <v>17</v>
          </cell>
          <cell r="F5892" t="str">
            <v>PAQ20a25</v>
          </cell>
          <cell r="G5892" t="str">
            <v>B</v>
          </cell>
          <cell r="H5892">
            <v>15.44</v>
          </cell>
        </row>
        <row r="5893">
          <cell r="A5893" t="str">
            <v>1;17;NP;B;PAQ25a30</v>
          </cell>
          <cell r="B5893">
            <v>730069</v>
          </cell>
          <cell r="C5893" t="str">
            <v>NP</v>
          </cell>
          <cell r="D5893" t="str">
            <v>NAC PORTUGAL</v>
          </cell>
          <cell r="E5893" t="str">
            <v>17</v>
          </cell>
          <cell r="F5893" t="str">
            <v>PAQ25a30</v>
          </cell>
          <cell r="G5893" t="str">
            <v>B</v>
          </cell>
          <cell r="H5893">
            <v>20.93</v>
          </cell>
        </row>
        <row r="5894">
          <cell r="A5894" t="str">
            <v>1;17;NP;B;PAQ30a35</v>
          </cell>
          <cell r="B5894">
            <v>730069</v>
          </cell>
          <cell r="C5894" t="str">
            <v>NP</v>
          </cell>
          <cell r="D5894" t="str">
            <v>NAC PORTUGAL</v>
          </cell>
          <cell r="E5894" t="str">
            <v>17</v>
          </cell>
          <cell r="F5894" t="str">
            <v>PAQ30a35</v>
          </cell>
          <cell r="G5894" t="str">
            <v>B</v>
          </cell>
          <cell r="H5894">
            <v>26.42</v>
          </cell>
        </row>
        <row r="5895">
          <cell r="A5895" t="str">
            <v>1;17;NP;F;</v>
          </cell>
          <cell r="B5895">
            <v>730069</v>
          </cell>
          <cell r="C5895" t="str">
            <v>NP</v>
          </cell>
          <cell r="D5895" t="str">
            <v>NAC PORTUGAL</v>
          </cell>
          <cell r="E5895" t="str">
            <v>17</v>
          </cell>
          <cell r="F5895" t="str">
            <v/>
          </cell>
          <cell r="G5895" t="str">
            <v>F</v>
          </cell>
          <cell r="H5895">
            <v>5.49</v>
          </cell>
        </row>
        <row r="5896">
          <cell r="A5896" t="str">
            <v>1;17;NP;B;PAQ35a40</v>
          </cell>
          <cell r="B5896">
            <v>730069</v>
          </cell>
          <cell r="C5896" t="str">
            <v>NP</v>
          </cell>
          <cell r="D5896" t="str">
            <v>NAC PORTUGAL</v>
          </cell>
          <cell r="E5896" t="str">
            <v>17</v>
          </cell>
          <cell r="F5896" t="str">
            <v>PAQ35a40</v>
          </cell>
          <cell r="G5896" t="str">
            <v>B</v>
          </cell>
          <cell r="H5896">
            <v>31.92</v>
          </cell>
        </row>
        <row r="5897">
          <cell r="A5897" t="str">
            <v>1;17;NP;P;</v>
          </cell>
          <cell r="B5897">
            <v>730069</v>
          </cell>
          <cell r="C5897" t="str">
            <v>NP</v>
          </cell>
          <cell r="D5897" t="str">
            <v>NAC PORTUGAL</v>
          </cell>
          <cell r="E5897" t="str">
            <v>17</v>
          </cell>
          <cell r="F5897" t="str">
            <v/>
          </cell>
          <cell r="G5897" t="str">
            <v>P</v>
          </cell>
          <cell r="H5897">
            <v>0</v>
          </cell>
        </row>
        <row r="5898">
          <cell r="A5898" t="str">
            <v>1;17;NP;E;</v>
          </cell>
          <cell r="B5898">
            <v>730069</v>
          </cell>
          <cell r="C5898" t="str">
            <v>NP</v>
          </cell>
          <cell r="D5898" t="str">
            <v>NAC PORTUGAL</v>
          </cell>
          <cell r="E5898" t="str">
            <v>17</v>
          </cell>
          <cell r="F5898" t="str">
            <v/>
          </cell>
          <cell r="G5898" t="str">
            <v>E</v>
          </cell>
          <cell r="H5898">
            <v>5.49</v>
          </cell>
        </row>
        <row r="5899">
          <cell r="A5899" t="str">
            <v>1;18;NP;B;BAG</v>
          </cell>
          <cell r="B5899">
            <v>730069</v>
          </cell>
          <cell r="C5899" t="str">
            <v>NP</v>
          </cell>
          <cell r="D5899" t="str">
            <v>NAC PORTUGAL</v>
          </cell>
          <cell r="E5899" t="str">
            <v>18</v>
          </cell>
          <cell r="F5899" t="str">
            <v>BAG</v>
          </cell>
          <cell r="G5899" t="str">
            <v>B</v>
          </cell>
          <cell r="H5899">
            <v>2.42</v>
          </cell>
        </row>
        <row r="5900">
          <cell r="A5900" t="str">
            <v>1;18;NP;B;PAQ00a02</v>
          </cell>
          <cell r="B5900">
            <v>730069</v>
          </cell>
          <cell r="C5900" t="str">
            <v>NP</v>
          </cell>
          <cell r="D5900" t="str">
            <v>NAC PORTUGAL</v>
          </cell>
          <cell r="E5900" t="str">
            <v>18</v>
          </cell>
          <cell r="F5900" t="str">
            <v>PAQ00a02</v>
          </cell>
          <cell r="G5900" t="str">
            <v>B</v>
          </cell>
          <cell r="H5900">
            <v>2.42</v>
          </cell>
        </row>
        <row r="5901">
          <cell r="A5901" t="str">
            <v>1;18;NP;B;PAQ02a05</v>
          </cell>
          <cell r="B5901">
            <v>730069</v>
          </cell>
          <cell r="C5901" t="str">
            <v>NP</v>
          </cell>
          <cell r="D5901" t="str">
            <v>NAC PORTUGAL</v>
          </cell>
          <cell r="E5901" t="str">
            <v>18</v>
          </cell>
          <cell r="F5901" t="str">
            <v>PAQ02a05</v>
          </cell>
          <cell r="G5901" t="str">
            <v>B</v>
          </cell>
          <cell r="H5901">
            <v>3.74</v>
          </cell>
        </row>
        <row r="5902">
          <cell r="A5902" t="str">
            <v>1;18;NP;B;PAQ05a10</v>
          </cell>
          <cell r="B5902">
            <v>730069</v>
          </cell>
          <cell r="C5902" t="str">
            <v>NP</v>
          </cell>
          <cell r="D5902" t="str">
            <v>NAC PORTUGAL</v>
          </cell>
          <cell r="E5902" t="str">
            <v>18</v>
          </cell>
          <cell r="F5902" t="str">
            <v>PAQ05a10</v>
          </cell>
          <cell r="G5902" t="str">
            <v>B</v>
          </cell>
          <cell r="H5902">
            <v>4.55</v>
          </cell>
        </row>
        <row r="5903">
          <cell r="A5903" t="str">
            <v>1;18;NP;B;PAQ10a15</v>
          </cell>
          <cell r="B5903">
            <v>730069</v>
          </cell>
          <cell r="C5903" t="str">
            <v>NP</v>
          </cell>
          <cell r="D5903" t="str">
            <v>NAC PORTUGAL</v>
          </cell>
          <cell r="E5903" t="str">
            <v>18</v>
          </cell>
          <cell r="F5903" t="str">
            <v>PAQ10a15</v>
          </cell>
          <cell r="G5903" t="str">
            <v>B</v>
          </cell>
          <cell r="H5903">
            <v>5.38</v>
          </cell>
        </row>
        <row r="5904">
          <cell r="A5904" t="str">
            <v>1;18;NP;B;PAQ15a20</v>
          </cell>
          <cell r="B5904">
            <v>730069</v>
          </cell>
          <cell r="C5904" t="str">
            <v>NP</v>
          </cell>
          <cell r="D5904" t="str">
            <v>NAC PORTUGAL</v>
          </cell>
          <cell r="E5904" t="str">
            <v>18</v>
          </cell>
          <cell r="F5904" t="str">
            <v>PAQ15a20</v>
          </cell>
          <cell r="G5904" t="str">
            <v>B</v>
          </cell>
          <cell r="H5904">
            <v>6.18</v>
          </cell>
        </row>
        <row r="5905">
          <cell r="A5905" t="str">
            <v>1;21;NP;B;BAG</v>
          </cell>
          <cell r="B5905">
            <v>730069</v>
          </cell>
          <cell r="C5905" t="str">
            <v>NP</v>
          </cell>
          <cell r="D5905" t="str">
            <v>NAC PORTUGAL</v>
          </cell>
          <cell r="E5905" t="str">
            <v>21</v>
          </cell>
          <cell r="F5905" t="str">
            <v>BAG</v>
          </cell>
          <cell r="G5905" t="str">
            <v>B</v>
          </cell>
          <cell r="H5905">
            <v>17.91</v>
          </cell>
        </row>
        <row r="5906">
          <cell r="A5906" t="str">
            <v>1;21;NP;B;DOCS</v>
          </cell>
          <cell r="B5906">
            <v>730069</v>
          </cell>
          <cell r="C5906" t="str">
            <v>NP</v>
          </cell>
          <cell r="D5906" t="str">
            <v>NAC PORTUGAL</v>
          </cell>
          <cell r="E5906" t="str">
            <v>21</v>
          </cell>
          <cell r="F5906" t="str">
            <v>DOCS</v>
          </cell>
          <cell r="G5906" t="str">
            <v>B</v>
          </cell>
          <cell r="H5906">
            <v>17.91</v>
          </cell>
        </row>
        <row r="5907">
          <cell r="A5907" t="str">
            <v>1;21;NP;B;PAQ00a02</v>
          </cell>
          <cell r="B5907">
            <v>730069</v>
          </cell>
          <cell r="C5907" t="str">
            <v>NP</v>
          </cell>
          <cell r="D5907" t="str">
            <v>NAC PORTUGAL</v>
          </cell>
          <cell r="E5907" t="str">
            <v>21</v>
          </cell>
          <cell r="F5907" t="str">
            <v>PAQ00a02</v>
          </cell>
          <cell r="G5907" t="str">
            <v>B</v>
          </cell>
          <cell r="H5907">
            <v>19.13</v>
          </cell>
        </row>
        <row r="5908">
          <cell r="A5908" t="str">
            <v>1;21;NP;B;PAQ02a05</v>
          </cell>
          <cell r="B5908">
            <v>730069</v>
          </cell>
          <cell r="C5908" t="str">
            <v>NP</v>
          </cell>
          <cell r="D5908" t="str">
            <v>NAC PORTUGAL</v>
          </cell>
          <cell r="E5908" t="str">
            <v>21</v>
          </cell>
          <cell r="F5908" t="str">
            <v>PAQ02a05</v>
          </cell>
          <cell r="G5908" t="str">
            <v>B</v>
          </cell>
          <cell r="H5908">
            <v>19.13</v>
          </cell>
        </row>
        <row r="5909">
          <cell r="A5909" t="str">
            <v>1;21;NP;B;PAQ05a10</v>
          </cell>
          <cell r="B5909">
            <v>730069</v>
          </cell>
          <cell r="C5909" t="str">
            <v>NP</v>
          </cell>
          <cell r="D5909" t="str">
            <v>NAC PORTUGAL</v>
          </cell>
          <cell r="E5909" t="str">
            <v>21</v>
          </cell>
          <cell r="F5909" t="str">
            <v>PAQ05a10</v>
          </cell>
          <cell r="G5909" t="str">
            <v>B</v>
          </cell>
          <cell r="H5909">
            <v>26.88</v>
          </cell>
        </row>
        <row r="5910">
          <cell r="A5910" t="str">
            <v>1;21;NP;B;PAQ10a15</v>
          </cell>
          <cell r="B5910">
            <v>730069</v>
          </cell>
          <cell r="C5910" t="str">
            <v>NP</v>
          </cell>
          <cell r="D5910" t="str">
            <v>NAC PORTUGAL</v>
          </cell>
          <cell r="E5910" t="str">
            <v>21</v>
          </cell>
          <cell r="F5910" t="str">
            <v>PAQ10a15</v>
          </cell>
          <cell r="G5910" t="str">
            <v>B</v>
          </cell>
          <cell r="H5910">
            <v>33.840000000000003</v>
          </cell>
        </row>
        <row r="5911">
          <cell r="A5911" t="str">
            <v>1;21;NP;B;PAQ15a20</v>
          </cell>
          <cell r="B5911">
            <v>730069</v>
          </cell>
          <cell r="C5911" t="str">
            <v>NP</v>
          </cell>
          <cell r="D5911" t="str">
            <v>NAC PORTUGAL</v>
          </cell>
          <cell r="E5911" t="str">
            <v>21</v>
          </cell>
          <cell r="F5911" t="str">
            <v>PAQ15a20</v>
          </cell>
          <cell r="G5911" t="str">
            <v>B</v>
          </cell>
          <cell r="H5911">
            <v>40.799999999999997</v>
          </cell>
        </row>
        <row r="5912">
          <cell r="A5912" t="str">
            <v>1;21;NP;B;PAQ20a25</v>
          </cell>
          <cell r="B5912">
            <v>730069</v>
          </cell>
          <cell r="C5912" t="str">
            <v>NP</v>
          </cell>
          <cell r="D5912" t="str">
            <v>NAC PORTUGAL</v>
          </cell>
          <cell r="E5912" t="str">
            <v>21</v>
          </cell>
          <cell r="F5912" t="str">
            <v>PAQ20a25</v>
          </cell>
          <cell r="G5912" t="str">
            <v>B</v>
          </cell>
          <cell r="H5912">
            <v>47.78</v>
          </cell>
        </row>
        <row r="5913">
          <cell r="A5913" t="str">
            <v>1;21;NP;B;PAQ25a30</v>
          </cell>
          <cell r="B5913">
            <v>730069</v>
          </cell>
          <cell r="C5913" t="str">
            <v>NP</v>
          </cell>
          <cell r="D5913" t="str">
            <v>NAC PORTUGAL</v>
          </cell>
          <cell r="E5913" t="str">
            <v>21</v>
          </cell>
          <cell r="F5913" t="str">
            <v>PAQ25a30</v>
          </cell>
          <cell r="G5913" t="str">
            <v>B</v>
          </cell>
          <cell r="H5913">
            <v>54.74</v>
          </cell>
        </row>
        <row r="5914">
          <cell r="A5914" t="str">
            <v>1;21;NP;B;PAQ30a35</v>
          </cell>
          <cell r="B5914">
            <v>730069</v>
          </cell>
          <cell r="C5914" t="str">
            <v>NP</v>
          </cell>
          <cell r="D5914" t="str">
            <v>NAC PORTUGAL</v>
          </cell>
          <cell r="E5914" t="str">
            <v>21</v>
          </cell>
          <cell r="F5914" t="str">
            <v>PAQ30a35</v>
          </cell>
          <cell r="G5914" t="str">
            <v>B</v>
          </cell>
          <cell r="H5914">
            <v>61.7</v>
          </cell>
        </row>
        <row r="5915">
          <cell r="A5915" t="str">
            <v>1;21;NP;F;</v>
          </cell>
          <cell r="B5915">
            <v>730069</v>
          </cell>
          <cell r="C5915" t="str">
            <v>NP</v>
          </cell>
          <cell r="D5915" t="str">
            <v>NAC PORTUGAL</v>
          </cell>
          <cell r="E5915" t="str">
            <v>21</v>
          </cell>
          <cell r="F5915" t="str">
            <v/>
          </cell>
          <cell r="G5915" t="str">
            <v>F</v>
          </cell>
          <cell r="H5915">
            <v>6.96</v>
          </cell>
        </row>
        <row r="5916">
          <cell r="A5916" t="str">
            <v>1;21;NP;B;PAQ35a40</v>
          </cell>
          <cell r="B5916">
            <v>730069</v>
          </cell>
          <cell r="C5916" t="str">
            <v>NP</v>
          </cell>
          <cell r="D5916" t="str">
            <v>NAC PORTUGAL</v>
          </cell>
          <cell r="E5916" t="str">
            <v>21</v>
          </cell>
          <cell r="F5916" t="str">
            <v>PAQ35a40</v>
          </cell>
          <cell r="G5916" t="str">
            <v>B</v>
          </cell>
          <cell r="H5916">
            <v>68.66</v>
          </cell>
        </row>
        <row r="5917">
          <cell r="A5917" t="str">
            <v>1;21;NP;E;</v>
          </cell>
          <cell r="B5917">
            <v>730069</v>
          </cell>
          <cell r="C5917" t="str">
            <v>NP</v>
          </cell>
          <cell r="D5917" t="str">
            <v>NAC PORTUGAL</v>
          </cell>
          <cell r="E5917" t="str">
            <v>21</v>
          </cell>
          <cell r="F5917" t="str">
            <v/>
          </cell>
          <cell r="G5917" t="str">
            <v>E</v>
          </cell>
          <cell r="H5917">
            <v>11.61</v>
          </cell>
        </row>
        <row r="5918">
          <cell r="A5918" t="str">
            <v>1;21;NP;P;</v>
          </cell>
          <cell r="B5918">
            <v>730069</v>
          </cell>
          <cell r="C5918" t="str">
            <v>NP</v>
          </cell>
          <cell r="D5918" t="str">
            <v>NAC PORTUGAL</v>
          </cell>
          <cell r="E5918" t="str">
            <v>21</v>
          </cell>
          <cell r="F5918" t="str">
            <v/>
          </cell>
          <cell r="G5918" t="str">
            <v>P</v>
          </cell>
          <cell r="H5918">
            <v>11.61</v>
          </cell>
        </row>
        <row r="5919">
          <cell r="A5919" t="str">
            <v>1;25;NP;B;BICI</v>
          </cell>
          <cell r="B5919">
            <v>730069</v>
          </cell>
          <cell r="C5919" t="str">
            <v>NP</v>
          </cell>
          <cell r="D5919" t="str">
            <v>NAC PORTUGAL</v>
          </cell>
          <cell r="E5919" t="str">
            <v>25</v>
          </cell>
          <cell r="F5919" t="str">
            <v>BICI</v>
          </cell>
          <cell r="G5919" t="str">
            <v>B</v>
          </cell>
          <cell r="H5919">
            <v>31.4</v>
          </cell>
        </row>
        <row r="5920">
          <cell r="A5920" t="str">
            <v>1;25;NP;B;BIIV</v>
          </cell>
          <cell r="B5920">
            <v>730069</v>
          </cell>
          <cell r="C5920" t="str">
            <v>NP</v>
          </cell>
          <cell r="D5920" t="str">
            <v>NAC PORTUGAL</v>
          </cell>
          <cell r="E5920" t="str">
            <v>25</v>
          </cell>
          <cell r="F5920" t="str">
            <v>BIIV</v>
          </cell>
          <cell r="G5920" t="str">
            <v>B</v>
          </cell>
          <cell r="H5920">
            <v>57.85</v>
          </cell>
        </row>
        <row r="5921">
          <cell r="A5921" t="str">
            <v>1;25;NP;B;EQIV</v>
          </cell>
          <cell r="B5921">
            <v>730069</v>
          </cell>
          <cell r="C5921" t="str">
            <v>NP</v>
          </cell>
          <cell r="D5921" t="str">
            <v>NAC PORTUGAL</v>
          </cell>
          <cell r="E5921" t="str">
            <v>25</v>
          </cell>
          <cell r="F5921" t="str">
            <v>EQIV</v>
          </cell>
          <cell r="G5921" t="str">
            <v>B</v>
          </cell>
          <cell r="H5921">
            <v>41.32</v>
          </cell>
        </row>
        <row r="5922">
          <cell r="A5922" t="str">
            <v>1;25;NP;B;EQUI</v>
          </cell>
          <cell r="B5922">
            <v>730069</v>
          </cell>
          <cell r="C5922" t="str">
            <v>NP</v>
          </cell>
          <cell r="D5922" t="str">
            <v>NAC PORTUGAL</v>
          </cell>
          <cell r="E5922" t="str">
            <v>25</v>
          </cell>
          <cell r="F5922" t="str">
            <v>EQUI</v>
          </cell>
          <cell r="G5922" t="str">
            <v>B</v>
          </cell>
          <cell r="H5922">
            <v>23.14</v>
          </cell>
        </row>
        <row r="5923">
          <cell r="A5923" t="str">
            <v>1;26;NP;B;BAG</v>
          </cell>
          <cell r="B5923">
            <v>730069</v>
          </cell>
          <cell r="C5923" t="str">
            <v>NP</v>
          </cell>
          <cell r="D5923" t="str">
            <v>NAC PORTUGAL</v>
          </cell>
          <cell r="E5923" t="str">
            <v>26</v>
          </cell>
          <cell r="F5923" t="str">
            <v>BAG</v>
          </cell>
          <cell r="G5923" t="str">
            <v>B</v>
          </cell>
          <cell r="H5923">
            <v>5.96</v>
          </cell>
        </row>
        <row r="5924">
          <cell r="A5924" t="str">
            <v>1;26;NP;B;PAQ00a02</v>
          </cell>
          <cell r="B5924">
            <v>730069</v>
          </cell>
          <cell r="C5924" t="str">
            <v>NP</v>
          </cell>
          <cell r="D5924" t="str">
            <v>NAC PORTUGAL</v>
          </cell>
          <cell r="E5924" t="str">
            <v>26</v>
          </cell>
          <cell r="F5924" t="str">
            <v>PAQ00a02</v>
          </cell>
          <cell r="G5924" t="str">
            <v>B</v>
          </cell>
          <cell r="H5924">
            <v>5.96</v>
          </cell>
        </row>
        <row r="5925">
          <cell r="A5925" t="str">
            <v>1;26;NP;B;PAQ02a05</v>
          </cell>
          <cell r="B5925">
            <v>730069</v>
          </cell>
          <cell r="C5925" t="str">
            <v>NP</v>
          </cell>
          <cell r="D5925" t="str">
            <v>NAC PORTUGAL</v>
          </cell>
          <cell r="E5925" t="str">
            <v>26</v>
          </cell>
          <cell r="F5925" t="str">
            <v>PAQ02a05</v>
          </cell>
          <cell r="G5925" t="str">
            <v>B</v>
          </cell>
          <cell r="H5925">
            <v>7.05</v>
          </cell>
        </row>
        <row r="5926">
          <cell r="A5926" t="str">
            <v>1;26;NP;B;PAQ05a10</v>
          </cell>
          <cell r="B5926">
            <v>730069</v>
          </cell>
          <cell r="C5926" t="str">
            <v>NP</v>
          </cell>
          <cell r="D5926" t="str">
            <v>NAC PORTUGAL</v>
          </cell>
          <cell r="E5926" t="str">
            <v>26</v>
          </cell>
          <cell r="F5926" t="str">
            <v>PAQ05a10</v>
          </cell>
          <cell r="G5926" t="str">
            <v>B</v>
          </cell>
          <cell r="H5926">
            <v>7.52</v>
          </cell>
        </row>
        <row r="5927">
          <cell r="A5927" t="str">
            <v>1;26;NP;B;PAQ10a15</v>
          </cell>
          <cell r="B5927">
            <v>730069</v>
          </cell>
          <cell r="C5927" t="str">
            <v>NP</v>
          </cell>
          <cell r="D5927" t="str">
            <v>NAC PORTUGAL</v>
          </cell>
          <cell r="E5927" t="str">
            <v>26</v>
          </cell>
          <cell r="F5927" t="str">
            <v>PAQ10a15</v>
          </cell>
          <cell r="G5927" t="str">
            <v>B</v>
          </cell>
          <cell r="H5927">
            <v>8.1300000000000008</v>
          </cell>
        </row>
        <row r="5928">
          <cell r="A5928" t="str">
            <v>1;26;NP;B;PAQ15a20</v>
          </cell>
          <cell r="B5928">
            <v>730069</v>
          </cell>
          <cell r="C5928" t="str">
            <v>NP</v>
          </cell>
          <cell r="D5928" t="str">
            <v>NAC PORTUGAL</v>
          </cell>
          <cell r="E5928" t="str">
            <v>26</v>
          </cell>
          <cell r="F5928" t="str">
            <v>PAQ15a20</v>
          </cell>
          <cell r="G5928" t="str">
            <v>B</v>
          </cell>
          <cell r="H5928">
            <v>8.6999999999999993</v>
          </cell>
        </row>
        <row r="5929">
          <cell r="A5929" t="str">
            <v>1;27;NP;B;PAQ00a02</v>
          </cell>
          <cell r="B5929">
            <v>730069</v>
          </cell>
          <cell r="C5929" t="str">
            <v>NP</v>
          </cell>
          <cell r="D5929" t="str">
            <v>NAC PORTUGAL</v>
          </cell>
          <cell r="E5929" t="str">
            <v>27</v>
          </cell>
          <cell r="F5929" t="str">
            <v>PAQ00a02</v>
          </cell>
          <cell r="G5929" t="str">
            <v>B</v>
          </cell>
          <cell r="H5929">
            <v>6.73</v>
          </cell>
        </row>
        <row r="5930">
          <cell r="A5930" t="str">
            <v>1;27;NP;B;PAQ02a05</v>
          </cell>
          <cell r="B5930">
            <v>730069</v>
          </cell>
          <cell r="C5930" t="str">
            <v>NP</v>
          </cell>
          <cell r="D5930" t="str">
            <v>NAC PORTUGAL</v>
          </cell>
          <cell r="E5930" t="str">
            <v>27</v>
          </cell>
          <cell r="F5930" t="str">
            <v>PAQ02a05</v>
          </cell>
          <cell r="G5930" t="str">
            <v>B</v>
          </cell>
          <cell r="H5930">
            <v>7.5</v>
          </cell>
        </row>
        <row r="5931">
          <cell r="A5931" t="str">
            <v>1;27;NP;B;PAQ05a10</v>
          </cell>
          <cell r="B5931">
            <v>730069</v>
          </cell>
          <cell r="C5931" t="str">
            <v>NP</v>
          </cell>
          <cell r="D5931" t="str">
            <v>NAC PORTUGAL</v>
          </cell>
          <cell r="E5931" t="str">
            <v>27</v>
          </cell>
          <cell r="F5931" t="str">
            <v>PAQ05a10</v>
          </cell>
          <cell r="G5931" t="str">
            <v>B</v>
          </cell>
          <cell r="H5931">
            <v>8.36</v>
          </cell>
        </row>
        <row r="5932">
          <cell r="A5932" t="str">
            <v>1;27;NP;B;PAQ10a15</v>
          </cell>
          <cell r="B5932">
            <v>730069</v>
          </cell>
          <cell r="C5932" t="str">
            <v>NP</v>
          </cell>
          <cell r="D5932" t="str">
            <v>NAC PORTUGAL</v>
          </cell>
          <cell r="E5932" t="str">
            <v>27</v>
          </cell>
          <cell r="F5932" t="str">
            <v>PAQ10a15</v>
          </cell>
          <cell r="G5932" t="str">
            <v>B</v>
          </cell>
          <cell r="H5932">
            <v>12.33</v>
          </cell>
        </row>
        <row r="5933">
          <cell r="A5933" t="str">
            <v>1;27;NP;B;PAQ15a20</v>
          </cell>
          <cell r="B5933">
            <v>730069</v>
          </cell>
          <cell r="C5933" t="str">
            <v>NP</v>
          </cell>
          <cell r="D5933" t="str">
            <v>NAC PORTUGAL</v>
          </cell>
          <cell r="E5933" t="str">
            <v>27</v>
          </cell>
          <cell r="F5933" t="str">
            <v>PAQ15a20</v>
          </cell>
          <cell r="G5933" t="str">
            <v>B</v>
          </cell>
          <cell r="H5933">
            <v>16.29</v>
          </cell>
        </row>
        <row r="5934">
          <cell r="A5934" t="str">
            <v>1;27;NP;B;PAQ20a25</v>
          </cell>
          <cell r="B5934">
            <v>730069</v>
          </cell>
          <cell r="C5934" t="str">
            <v>NP</v>
          </cell>
          <cell r="D5934" t="str">
            <v>NAC PORTUGAL</v>
          </cell>
          <cell r="E5934" t="str">
            <v>27</v>
          </cell>
          <cell r="F5934" t="str">
            <v>PAQ20a25</v>
          </cell>
          <cell r="G5934" t="str">
            <v>B</v>
          </cell>
          <cell r="H5934">
            <v>21.57</v>
          </cell>
        </row>
        <row r="5935">
          <cell r="A5935" t="str">
            <v>1;27;NP;B;PAQ25a30</v>
          </cell>
          <cell r="B5935">
            <v>730069</v>
          </cell>
          <cell r="C5935" t="str">
            <v>NP</v>
          </cell>
          <cell r="D5935" t="str">
            <v>NAC PORTUGAL</v>
          </cell>
          <cell r="E5935" t="str">
            <v>27</v>
          </cell>
          <cell r="F5935" t="str">
            <v>PAQ25a30</v>
          </cell>
          <cell r="G5935" t="str">
            <v>B</v>
          </cell>
          <cell r="H5935">
            <v>26.84</v>
          </cell>
        </row>
        <row r="5936">
          <cell r="A5936" t="str">
            <v>1;27;NP;B;PAQ30a35</v>
          </cell>
          <cell r="B5936">
            <v>730069</v>
          </cell>
          <cell r="C5936" t="str">
            <v>NP</v>
          </cell>
          <cell r="D5936" t="str">
            <v>NAC PORTUGAL</v>
          </cell>
          <cell r="E5936" t="str">
            <v>27</v>
          </cell>
          <cell r="F5936" t="str">
            <v>PAQ30a35</v>
          </cell>
          <cell r="G5936" t="str">
            <v>B</v>
          </cell>
          <cell r="H5936">
            <v>32.119999999999997</v>
          </cell>
        </row>
        <row r="5937">
          <cell r="A5937" t="str">
            <v>1;27;NP;B;PAQ35a40</v>
          </cell>
          <cell r="B5937">
            <v>730069</v>
          </cell>
          <cell r="C5937" t="str">
            <v>NP</v>
          </cell>
          <cell r="D5937" t="str">
            <v>NAC PORTUGAL</v>
          </cell>
          <cell r="E5937" t="str">
            <v>27</v>
          </cell>
          <cell r="F5937" t="str">
            <v>PAQ35a40</v>
          </cell>
          <cell r="G5937" t="str">
            <v>B</v>
          </cell>
          <cell r="H5937">
            <v>37.409999999999997</v>
          </cell>
        </row>
        <row r="5938">
          <cell r="A5938" t="str">
            <v>1;27;NP;F;</v>
          </cell>
          <cell r="B5938">
            <v>730069</v>
          </cell>
          <cell r="C5938" t="str">
            <v>NP</v>
          </cell>
          <cell r="D5938" t="str">
            <v>NAC PORTUGAL</v>
          </cell>
          <cell r="E5938" t="str">
            <v>27</v>
          </cell>
          <cell r="F5938" t="str">
            <v/>
          </cell>
          <cell r="G5938" t="str">
            <v>F</v>
          </cell>
          <cell r="H5938">
            <v>6.04</v>
          </cell>
        </row>
        <row r="5939">
          <cell r="A5939" t="str">
            <v>1;27;NP;P;</v>
          </cell>
          <cell r="B5939">
            <v>730069</v>
          </cell>
          <cell r="C5939" t="str">
            <v>NP</v>
          </cell>
          <cell r="D5939" t="str">
            <v>NAC PORTUGAL</v>
          </cell>
          <cell r="E5939" t="str">
            <v>27</v>
          </cell>
          <cell r="F5939" t="str">
            <v/>
          </cell>
          <cell r="G5939" t="str">
            <v>P</v>
          </cell>
          <cell r="H5939">
            <v>0</v>
          </cell>
        </row>
        <row r="5940">
          <cell r="A5940" t="str">
            <v>1;27;NP;E;</v>
          </cell>
          <cell r="B5940">
            <v>730069</v>
          </cell>
          <cell r="C5940" t="str">
            <v>NP</v>
          </cell>
          <cell r="D5940" t="str">
            <v>NAC PORTUGAL</v>
          </cell>
          <cell r="E5940" t="str">
            <v>27</v>
          </cell>
          <cell r="F5940" t="str">
            <v/>
          </cell>
          <cell r="G5940" t="str">
            <v>E</v>
          </cell>
          <cell r="H5940">
            <v>6.04</v>
          </cell>
        </row>
        <row r="5941">
          <cell r="A5941" t="str">
            <v>1;31;NP;B;PAQ00a02</v>
          </cell>
          <cell r="B5941">
            <v>730069</v>
          </cell>
          <cell r="C5941" t="str">
            <v>NP</v>
          </cell>
          <cell r="D5941" t="str">
            <v>NAC PORTUGAL</v>
          </cell>
          <cell r="E5941" t="str">
            <v>31</v>
          </cell>
          <cell r="F5941" t="str">
            <v>PAQ00a02</v>
          </cell>
          <cell r="G5941" t="str">
            <v>B</v>
          </cell>
          <cell r="H5941">
            <v>4.84</v>
          </cell>
        </row>
        <row r="5942">
          <cell r="A5942" t="str">
            <v>1;31;NP;B;PAQ02a05</v>
          </cell>
          <cell r="B5942">
            <v>730069</v>
          </cell>
          <cell r="C5942" t="str">
            <v>NP</v>
          </cell>
          <cell r="D5942" t="str">
            <v>NAC PORTUGAL</v>
          </cell>
          <cell r="E5942" t="str">
            <v>31</v>
          </cell>
          <cell r="F5942" t="str">
            <v>PAQ02a05</v>
          </cell>
          <cell r="G5942" t="str">
            <v>B</v>
          </cell>
          <cell r="H5942">
            <v>6.05</v>
          </cell>
        </row>
        <row r="5943">
          <cell r="A5943" t="str">
            <v>1;31;NP;B;PAQ05a10</v>
          </cell>
          <cell r="B5943">
            <v>730069</v>
          </cell>
          <cell r="C5943" t="str">
            <v>NP</v>
          </cell>
          <cell r="D5943" t="str">
            <v>NAC PORTUGAL</v>
          </cell>
          <cell r="E5943" t="str">
            <v>31</v>
          </cell>
          <cell r="F5943" t="str">
            <v>PAQ05a10</v>
          </cell>
          <cell r="G5943" t="str">
            <v>B</v>
          </cell>
          <cell r="H5943">
            <v>6.62</v>
          </cell>
        </row>
        <row r="5944">
          <cell r="A5944" t="str">
            <v>1;31;NP;B;PAQ10a15</v>
          </cell>
          <cell r="B5944">
            <v>730069</v>
          </cell>
          <cell r="C5944" t="str">
            <v>NP</v>
          </cell>
          <cell r="D5944" t="str">
            <v>NAC PORTUGAL</v>
          </cell>
          <cell r="E5944" t="str">
            <v>31</v>
          </cell>
          <cell r="F5944" t="str">
            <v>PAQ10a15</v>
          </cell>
          <cell r="G5944" t="str">
            <v>B</v>
          </cell>
          <cell r="H5944">
            <v>7.63</v>
          </cell>
        </row>
        <row r="5945">
          <cell r="A5945" t="str">
            <v>1;31;NP;B;PAQ15a20</v>
          </cell>
          <cell r="B5945">
            <v>730069</v>
          </cell>
          <cell r="C5945" t="str">
            <v>NP</v>
          </cell>
          <cell r="D5945" t="str">
            <v>NAC PORTUGAL</v>
          </cell>
          <cell r="E5945" t="str">
            <v>31</v>
          </cell>
          <cell r="F5945" t="str">
            <v>PAQ15a20</v>
          </cell>
          <cell r="G5945" t="str">
            <v>B</v>
          </cell>
          <cell r="H5945">
            <v>8.74</v>
          </cell>
        </row>
        <row r="5946">
          <cell r="A5946" t="str">
            <v>1;35;NP;B;BAG</v>
          </cell>
          <cell r="B5946">
            <v>730069</v>
          </cell>
          <cell r="C5946" t="str">
            <v>NP</v>
          </cell>
          <cell r="D5946" t="str">
            <v>NAC PORTUGAL</v>
          </cell>
          <cell r="E5946" t="str">
            <v>35</v>
          </cell>
          <cell r="F5946" t="str">
            <v>BAG</v>
          </cell>
          <cell r="G5946" t="str">
            <v>B</v>
          </cell>
          <cell r="H5946">
            <v>1.1000000000000001</v>
          </cell>
        </row>
        <row r="5947">
          <cell r="A5947" t="str">
            <v>1;35;NP;B;DOCS</v>
          </cell>
          <cell r="B5947">
            <v>730069</v>
          </cell>
          <cell r="C5947" t="str">
            <v>NP</v>
          </cell>
          <cell r="D5947" t="str">
            <v>NAC PORTUGAL</v>
          </cell>
          <cell r="E5947" t="str">
            <v>35</v>
          </cell>
          <cell r="F5947" t="str">
            <v>DOCS</v>
          </cell>
          <cell r="G5947" t="str">
            <v>B</v>
          </cell>
          <cell r="H5947">
            <v>1.1000000000000001</v>
          </cell>
        </row>
        <row r="5948">
          <cell r="A5948" t="str">
            <v>1;35;NP;B;PAQ00a05</v>
          </cell>
          <cell r="B5948">
            <v>730069</v>
          </cell>
          <cell r="C5948" t="str">
            <v>NP</v>
          </cell>
          <cell r="D5948" t="str">
            <v>NAC PORTUGAL</v>
          </cell>
          <cell r="E5948" t="str">
            <v>35</v>
          </cell>
          <cell r="F5948" t="str">
            <v>PAQ00a05</v>
          </cell>
          <cell r="G5948" t="str">
            <v>B</v>
          </cell>
          <cell r="H5948">
            <v>1.1000000000000001</v>
          </cell>
        </row>
        <row r="5949">
          <cell r="A5949" t="str">
            <v>1;35;NP;B;PAQ05a10</v>
          </cell>
          <cell r="B5949">
            <v>730069</v>
          </cell>
          <cell r="C5949" t="str">
            <v>NP</v>
          </cell>
          <cell r="D5949" t="str">
            <v>NAC PORTUGAL</v>
          </cell>
          <cell r="E5949" t="str">
            <v>35</v>
          </cell>
          <cell r="F5949" t="str">
            <v>PAQ05a10</v>
          </cell>
          <cell r="G5949" t="str">
            <v>B</v>
          </cell>
          <cell r="H5949">
            <v>1.46</v>
          </cell>
        </row>
        <row r="5950">
          <cell r="A5950" t="str">
            <v>1;35;NP;B;PAQ10a15</v>
          </cell>
          <cell r="B5950">
            <v>730069</v>
          </cell>
          <cell r="C5950" t="str">
            <v>NP</v>
          </cell>
          <cell r="D5950" t="str">
            <v>NAC PORTUGAL</v>
          </cell>
          <cell r="E5950" t="str">
            <v>35</v>
          </cell>
          <cell r="F5950" t="str">
            <v>PAQ10a15</v>
          </cell>
          <cell r="G5950" t="str">
            <v>B</v>
          </cell>
          <cell r="H5950">
            <v>1.46</v>
          </cell>
        </row>
        <row r="5951">
          <cell r="A5951" t="str">
            <v>1;35;NP;B;PAQ15a20</v>
          </cell>
          <cell r="B5951">
            <v>730069</v>
          </cell>
          <cell r="C5951" t="str">
            <v>NP</v>
          </cell>
          <cell r="D5951" t="str">
            <v>NAC PORTUGAL</v>
          </cell>
          <cell r="E5951" t="str">
            <v>35</v>
          </cell>
          <cell r="F5951" t="str">
            <v>PAQ15a20</v>
          </cell>
          <cell r="G5951" t="str">
            <v>B</v>
          </cell>
          <cell r="H5951">
            <v>1.46</v>
          </cell>
        </row>
        <row r="5952">
          <cell r="A5952" t="str">
            <v>1;35;NP;B;PAQ20a25</v>
          </cell>
          <cell r="B5952">
            <v>730069</v>
          </cell>
          <cell r="C5952" t="str">
            <v>NP</v>
          </cell>
          <cell r="D5952" t="str">
            <v>NAC PORTUGAL</v>
          </cell>
          <cell r="E5952" t="str">
            <v>35</v>
          </cell>
          <cell r="F5952" t="str">
            <v>PAQ20a25</v>
          </cell>
          <cell r="G5952" t="str">
            <v>B</v>
          </cell>
          <cell r="H5952">
            <v>2.57</v>
          </cell>
        </row>
        <row r="5953">
          <cell r="A5953" t="str">
            <v>1;35;NP;B;PAQ25a30</v>
          </cell>
          <cell r="B5953">
            <v>730069</v>
          </cell>
          <cell r="C5953" t="str">
            <v>NP</v>
          </cell>
          <cell r="D5953" t="str">
            <v>NAC PORTUGAL</v>
          </cell>
          <cell r="E5953" t="str">
            <v>35</v>
          </cell>
          <cell r="F5953" t="str">
            <v>PAQ25a30</v>
          </cell>
          <cell r="G5953" t="str">
            <v>B</v>
          </cell>
          <cell r="H5953">
            <v>2.57</v>
          </cell>
        </row>
        <row r="5954">
          <cell r="A5954" t="str">
            <v>1;35;NP;B;PAQ30a35</v>
          </cell>
          <cell r="B5954">
            <v>730069</v>
          </cell>
          <cell r="C5954" t="str">
            <v>NP</v>
          </cell>
          <cell r="D5954" t="str">
            <v>NAC PORTUGAL</v>
          </cell>
          <cell r="E5954" t="str">
            <v>35</v>
          </cell>
          <cell r="F5954" t="str">
            <v>PAQ30a35</v>
          </cell>
          <cell r="G5954" t="str">
            <v>B</v>
          </cell>
          <cell r="H5954">
            <v>2.57</v>
          </cell>
        </row>
        <row r="5955">
          <cell r="A5955" t="str">
            <v>1;35;NP;F;</v>
          </cell>
          <cell r="B5955">
            <v>730069</v>
          </cell>
          <cell r="C5955" t="str">
            <v>NP</v>
          </cell>
          <cell r="D5955" t="str">
            <v>NAC PORTUGAL</v>
          </cell>
          <cell r="E5955" t="str">
            <v>35</v>
          </cell>
          <cell r="F5955" t="str">
            <v/>
          </cell>
          <cell r="G5955" t="str">
            <v>F</v>
          </cell>
          <cell r="H5955">
            <v>0.72</v>
          </cell>
        </row>
        <row r="5956">
          <cell r="A5956" t="str">
            <v>1;35;NP;B;PAQ35a40</v>
          </cell>
          <cell r="B5956">
            <v>730069</v>
          </cell>
          <cell r="C5956" t="str">
            <v>NP</v>
          </cell>
          <cell r="D5956" t="str">
            <v>NAC PORTUGAL</v>
          </cell>
          <cell r="E5956" t="str">
            <v>35</v>
          </cell>
          <cell r="F5956" t="str">
            <v>PAQ35a40</v>
          </cell>
          <cell r="G5956" t="str">
            <v>B</v>
          </cell>
          <cell r="H5956">
            <v>2.57</v>
          </cell>
        </row>
        <row r="5957">
          <cell r="A5957" t="str">
            <v>1;35;NP;P;</v>
          </cell>
          <cell r="B5957">
            <v>730069</v>
          </cell>
          <cell r="C5957" t="str">
            <v>NP</v>
          </cell>
          <cell r="D5957" t="str">
            <v>NAC PORTUGAL</v>
          </cell>
          <cell r="E5957" t="str">
            <v>35</v>
          </cell>
          <cell r="F5957" t="str">
            <v/>
          </cell>
          <cell r="G5957" t="str">
            <v>P</v>
          </cell>
          <cell r="H5957">
            <v>0.72</v>
          </cell>
        </row>
        <row r="5958">
          <cell r="A5958" t="str">
            <v>1;35;NP;E;</v>
          </cell>
          <cell r="B5958">
            <v>730069</v>
          </cell>
          <cell r="C5958" t="str">
            <v>NP</v>
          </cell>
          <cell r="D5958" t="str">
            <v>NAC PORTUGAL</v>
          </cell>
          <cell r="E5958" t="str">
            <v>35</v>
          </cell>
          <cell r="F5958" t="str">
            <v/>
          </cell>
          <cell r="G5958" t="str">
            <v>E</v>
          </cell>
          <cell r="H5958">
            <v>0.72</v>
          </cell>
        </row>
        <row r="5959">
          <cell r="A5959" t="str">
            <v>1;44;NP;B;PAQ00a02</v>
          </cell>
          <cell r="B5959">
            <v>730069</v>
          </cell>
          <cell r="C5959" t="str">
            <v>NP</v>
          </cell>
          <cell r="D5959" t="str">
            <v>NAC PORTUGAL</v>
          </cell>
          <cell r="E5959" t="str">
            <v>44</v>
          </cell>
          <cell r="F5959" t="str">
            <v>PAQ00a02</v>
          </cell>
          <cell r="G5959" t="str">
            <v>B</v>
          </cell>
          <cell r="H5959">
            <v>3.31</v>
          </cell>
        </row>
        <row r="5960">
          <cell r="A5960" t="str">
            <v>1;44;NP;B;PAQ02a05</v>
          </cell>
          <cell r="B5960">
            <v>730069</v>
          </cell>
          <cell r="C5960" t="str">
            <v>NP</v>
          </cell>
          <cell r="D5960" t="str">
            <v>NAC PORTUGAL</v>
          </cell>
          <cell r="E5960" t="str">
            <v>44</v>
          </cell>
          <cell r="F5960" t="str">
            <v>PAQ02a05</v>
          </cell>
          <cell r="G5960" t="str">
            <v>B</v>
          </cell>
          <cell r="H5960">
            <v>4.0999999999999996</v>
          </cell>
        </row>
        <row r="5961">
          <cell r="A5961" t="str">
            <v>1;44;NP;B;PAQ05a10</v>
          </cell>
          <cell r="B5961">
            <v>730069</v>
          </cell>
          <cell r="C5961" t="str">
            <v>NP</v>
          </cell>
          <cell r="D5961" t="str">
            <v>NAC PORTUGAL</v>
          </cell>
          <cell r="E5961" t="str">
            <v>44</v>
          </cell>
          <cell r="F5961" t="str">
            <v>PAQ05a10</v>
          </cell>
          <cell r="G5961" t="str">
            <v>B</v>
          </cell>
          <cell r="H5961">
            <v>5.23</v>
          </cell>
        </row>
        <row r="5962">
          <cell r="A5962" t="str">
            <v>1;44;NP;B;PAQ10a15</v>
          </cell>
          <cell r="B5962">
            <v>730069</v>
          </cell>
          <cell r="C5962" t="str">
            <v>NP</v>
          </cell>
          <cell r="D5962" t="str">
            <v>NAC PORTUGAL</v>
          </cell>
          <cell r="E5962" t="str">
            <v>44</v>
          </cell>
          <cell r="F5962" t="str">
            <v>PAQ10a15</v>
          </cell>
          <cell r="G5962" t="str">
            <v>B</v>
          </cell>
          <cell r="H5962">
            <v>6.39</v>
          </cell>
        </row>
        <row r="5963">
          <cell r="A5963" t="str">
            <v>1;44;NP;B;PAQ15a20</v>
          </cell>
          <cell r="B5963">
            <v>730069</v>
          </cell>
          <cell r="C5963" t="str">
            <v>NP</v>
          </cell>
          <cell r="D5963" t="str">
            <v>NAC PORTUGAL</v>
          </cell>
          <cell r="E5963" t="str">
            <v>44</v>
          </cell>
          <cell r="F5963" t="str">
            <v>PAQ15a20</v>
          </cell>
          <cell r="G5963" t="str">
            <v>B</v>
          </cell>
          <cell r="H5963">
            <v>7.47</v>
          </cell>
        </row>
        <row r="5964">
          <cell r="A5964" t="str">
            <v>1;60;NP;B;BAG</v>
          </cell>
          <cell r="B5964">
            <v>730069</v>
          </cell>
          <cell r="C5964" t="str">
            <v>NP</v>
          </cell>
          <cell r="D5964" t="str">
            <v>NAC PORTUGAL</v>
          </cell>
          <cell r="E5964" t="str">
            <v>60</v>
          </cell>
          <cell r="F5964" t="str">
            <v>BAG</v>
          </cell>
          <cell r="G5964" t="str">
            <v>B</v>
          </cell>
          <cell r="H5964">
            <v>20.87</v>
          </cell>
        </row>
        <row r="5965">
          <cell r="A5965" t="str">
            <v>1;60;NP;B;PAQ00a05</v>
          </cell>
          <cell r="B5965">
            <v>730069</v>
          </cell>
          <cell r="C5965" t="str">
            <v>NP</v>
          </cell>
          <cell r="D5965" t="str">
            <v>NAC PORTUGAL</v>
          </cell>
          <cell r="E5965" t="str">
            <v>60</v>
          </cell>
          <cell r="F5965" t="str">
            <v>PAQ00a05</v>
          </cell>
          <cell r="G5965" t="str">
            <v>B</v>
          </cell>
          <cell r="H5965">
            <v>24.19</v>
          </cell>
        </row>
        <row r="5966">
          <cell r="A5966" t="str">
            <v>1;60;NP;B;PAQ05a10</v>
          </cell>
          <cell r="B5966">
            <v>730069</v>
          </cell>
          <cell r="C5966" t="str">
            <v>NP</v>
          </cell>
          <cell r="D5966" t="str">
            <v>NAC PORTUGAL</v>
          </cell>
          <cell r="E5966" t="str">
            <v>60</v>
          </cell>
          <cell r="F5966" t="str">
            <v>PAQ05a10</v>
          </cell>
          <cell r="G5966" t="str">
            <v>B</v>
          </cell>
          <cell r="H5966">
            <v>37.97</v>
          </cell>
        </row>
        <row r="5967">
          <cell r="A5967" t="str">
            <v>1;60;NP;B;PAQ10a15</v>
          </cell>
          <cell r="B5967">
            <v>730069</v>
          </cell>
          <cell r="C5967" t="str">
            <v>NP</v>
          </cell>
          <cell r="D5967" t="str">
            <v>NAC PORTUGAL</v>
          </cell>
          <cell r="E5967" t="str">
            <v>60</v>
          </cell>
          <cell r="F5967" t="str">
            <v>PAQ10a15</v>
          </cell>
          <cell r="G5967" t="str">
            <v>B</v>
          </cell>
          <cell r="H5967">
            <v>51.99</v>
          </cell>
        </row>
        <row r="5968">
          <cell r="A5968" t="str">
            <v>1;60;NP;B;PAQ15a20</v>
          </cell>
          <cell r="B5968">
            <v>730069</v>
          </cell>
          <cell r="C5968" t="str">
            <v>NP</v>
          </cell>
          <cell r="D5968" t="str">
            <v>NAC PORTUGAL</v>
          </cell>
          <cell r="E5968" t="str">
            <v>60</v>
          </cell>
          <cell r="F5968" t="str">
            <v>PAQ15a20</v>
          </cell>
          <cell r="G5968" t="str">
            <v>B</v>
          </cell>
          <cell r="H5968">
            <v>66</v>
          </cell>
        </row>
        <row r="5969">
          <cell r="A5969" t="str">
            <v>1;60;NP;B;PAQ20a25</v>
          </cell>
          <cell r="B5969">
            <v>730069</v>
          </cell>
          <cell r="C5969" t="str">
            <v>NP</v>
          </cell>
          <cell r="D5969" t="str">
            <v>NAC PORTUGAL</v>
          </cell>
          <cell r="E5969" t="str">
            <v>60</v>
          </cell>
          <cell r="F5969" t="str">
            <v>PAQ20a25</v>
          </cell>
          <cell r="G5969" t="str">
            <v>B</v>
          </cell>
          <cell r="H5969">
            <v>80.02</v>
          </cell>
        </row>
        <row r="5970">
          <cell r="A5970" t="str">
            <v>1;60;NP;B;PAQ25a30</v>
          </cell>
          <cell r="B5970">
            <v>730069</v>
          </cell>
          <cell r="C5970" t="str">
            <v>NP</v>
          </cell>
          <cell r="D5970" t="str">
            <v>NAC PORTUGAL</v>
          </cell>
          <cell r="E5970" t="str">
            <v>60</v>
          </cell>
          <cell r="F5970" t="str">
            <v>PAQ25a30</v>
          </cell>
          <cell r="G5970" t="str">
            <v>B</v>
          </cell>
          <cell r="H5970">
            <v>94.04</v>
          </cell>
        </row>
        <row r="5971">
          <cell r="A5971" t="str">
            <v>1;60;NP;B;PAQ30a35</v>
          </cell>
          <cell r="B5971">
            <v>730069</v>
          </cell>
          <cell r="C5971" t="str">
            <v>NP</v>
          </cell>
          <cell r="D5971" t="str">
            <v>NAC PORTUGAL</v>
          </cell>
          <cell r="E5971" t="str">
            <v>60</v>
          </cell>
          <cell r="F5971" t="str">
            <v>PAQ30a35</v>
          </cell>
          <cell r="G5971" t="str">
            <v>B</v>
          </cell>
          <cell r="H5971">
            <v>108.06</v>
          </cell>
        </row>
        <row r="5972">
          <cell r="A5972" t="str">
            <v>1;60;NP;F;</v>
          </cell>
          <cell r="B5972">
            <v>730069</v>
          </cell>
          <cell r="C5972" t="str">
            <v>NP</v>
          </cell>
          <cell r="D5972" t="str">
            <v>NAC PORTUGAL</v>
          </cell>
          <cell r="E5972" t="str">
            <v>60</v>
          </cell>
          <cell r="F5972" t="str">
            <v/>
          </cell>
          <cell r="G5972" t="str">
            <v>F</v>
          </cell>
          <cell r="H5972">
            <v>14.02</v>
          </cell>
        </row>
        <row r="5973">
          <cell r="A5973" t="str">
            <v>1;60;NP;B;PAQ35a40</v>
          </cell>
          <cell r="B5973">
            <v>730069</v>
          </cell>
          <cell r="C5973" t="str">
            <v>NP</v>
          </cell>
          <cell r="D5973" t="str">
            <v>NAC PORTUGAL</v>
          </cell>
          <cell r="E5973" t="str">
            <v>60</v>
          </cell>
          <cell r="F5973" t="str">
            <v>PAQ35a40</v>
          </cell>
          <cell r="G5973" t="str">
            <v>B</v>
          </cell>
          <cell r="H5973">
            <v>122.07</v>
          </cell>
        </row>
        <row r="5974">
          <cell r="A5974" t="str">
            <v>1;60;NP;E;</v>
          </cell>
          <cell r="B5974">
            <v>730069</v>
          </cell>
          <cell r="C5974" t="str">
            <v>NP</v>
          </cell>
          <cell r="D5974" t="str">
            <v>NAC PORTUGAL</v>
          </cell>
          <cell r="E5974" t="str">
            <v>60</v>
          </cell>
          <cell r="F5974" t="str">
            <v/>
          </cell>
          <cell r="G5974" t="str">
            <v>E</v>
          </cell>
          <cell r="H5974">
            <v>14.15</v>
          </cell>
        </row>
        <row r="5975">
          <cell r="A5975" t="str">
            <v>1;60;NP;P;</v>
          </cell>
          <cell r="B5975">
            <v>730069</v>
          </cell>
          <cell r="C5975" t="str">
            <v>NP</v>
          </cell>
          <cell r="D5975" t="str">
            <v>NAC PORTUGAL</v>
          </cell>
          <cell r="E5975" t="str">
            <v>60</v>
          </cell>
          <cell r="F5975" t="str">
            <v/>
          </cell>
          <cell r="G5975" t="str">
            <v>P</v>
          </cell>
          <cell r="H5975">
            <v>14.15</v>
          </cell>
        </row>
        <row r="5976">
          <cell r="A5976" t="str">
            <v>1;61;NP;B;BAG</v>
          </cell>
          <cell r="B5976">
            <v>730069</v>
          </cell>
          <cell r="C5976" t="str">
            <v>NP</v>
          </cell>
          <cell r="D5976" t="str">
            <v>NAC PORTUGAL</v>
          </cell>
          <cell r="E5976" t="str">
            <v>61</v>
          </cell>
          <cell r="F5976" t="str">
            <v>BAG</v>
          </cell>
          <cell r="G5976" t="str">
            <v>B</v>
          </cell>
          <cell r="H5976">
            <v>12.22</v>
          </cell>
        </row>
        <row r="5977">
          <cell r="A5977" t="str">
            <v>1;61;NP;B;PAQ00a05</v>
          </cell>
          <cell r="B5977">
            <v>730069</v>
          </cell>
          <cell r="C5977" t="str">
            <v>NP</v>
          </cell>
          <cell r="D5977" t="str">
            <v>NAC PORTUGAL</v>
          </cell>
          <cell r="E5977" t="str">
            <v>61</v>
          </cell>
          <cell r="F5977" t="str">
            <v>PAQ00a05</v>
          </cell>
          <cell r="G5977" t="str">
            <v>B</v>
          </cell>
          <cell r="H5977">
            <v>14.32</v>
          </cell>
        </row>
        <row r="5978">
          <cell r="A5978" t="str">
            <v>1;61;NP;B;PAQ05a10</v>
          </cell>
          <cell r="B5978">
            <v>730069</v>
          </cell>
          <cell r="C5978" t="str">
            <v>NP</v>
          </cell>
          <cell r="D5978" t="str">
            <v>NAC PORTUGAL</v>
          </cell>
          <cell r="E5978" t="str">
            <v>61</v>
          </cell>
          <cell r="F5978" t="str">
            <v>PAQ05a10</v>
          </cell>
          <cell r="G5978" t="str">
            <v>B</v>
          </cell>
          <cell r="H5978">
            <v>24.8</v>
          </cell>
        </row>
        <row r="5979">
          <cell r="A5979" t="str">
            <v>1;61;NP;B;PAQ10a15</v>
          </cell>
          <cell r="B5979">
            <v>730069</v>
          </cell>
          <cell r="C5979" t="str">
            <v>NP</v>
          </cell>
          <cell r="D5979" t="str">
            <v>NAC PORTUGAL</v>
          </cell>
          <cell r="E5979" t="str">
            <v>61</v>
          </cell>
          <cell r="F5979" t="str">
            <v>PAQ10a15</v>
          </cell>
          <cell r="G5979" t="str">
            <v>B</v>
          </cell>
          <cell r="H5979">
            <v>33.69</v>
          </cell>
        </row>
        <row r="5980">
          <cell r="A5980" t="str">
            <v>1;61;NP;B;PAQ15a20</v>
          </cell>
          <cell r="B5980">
            <v>730069</v>
          </cell>
          <cell r="C5980" t="str">
            <v>NP</v>
          </cell>
          <cell r="D5980" t="str">
            <v>NAC PORTUGAL</v>
          </cell>
          <cell r="E5980" t="str">
            <v>61</v>
          </cell>
          <cell r="F5980" t="str">
            <v>PAQ15a20</v>
          </cell>
          <cell r="G5980" t="str">
            <v>B</v>
          </cell>
          <cell r="H5980">
            <v>42.6</v>
          </cell>
        </row>
        <row r="5981">
          <cell r="A5981" t="str">
            <v>1;61;NP;B;PAQ20a25</v>
          </cell>
          <cell r="B5981">
            <v>730069</v>
          </cell>
          <cell r="C5981" t="str">
            <v>NP</v>
          </cell>
          <cell r="D5981" t="str">
            <v>NAC PORTUGAL</v>
          </cell>
          <cell r="E5981" t="str">
            <v>61</v>
          </cell>
          <cell r="F5981" t="str">
            <v>PAQ20a25</v>
          </cell>
          <cell r="G5981" t="str">
            <v>B</v>
          </cell>
          <cell r="H5981">
            <v>51.5</v>
          </cell>
        </row>
        <row r="5982">
          <cell r="A5982" t="str">
            <v>1;61;NP;B;PAQ25a30</v>
          </cell>
          <cell r="B5982">
            <v>730069</v>
          </cell>
          <cell r="C5982" t="str">
            <v>NP</v>
          </cell>
          <cell r="D5982" t="str">
            <v>NAC PORTUGAL</v>
          </cell>
          <cell r="E5982" t="str">
            <v>61</v>
          </cell>
          <cell r="F5982" t="str">
            <v>PAQ25a30</v>
          </cell>
          <cell r="G5982" t="str">
            <v>B</v>
          </cell>
          <cell r="H5982">
            <v>60.41</v>
          </cell>
        </row>
        <row r="5983">
          <cell r="A5983" t="str">
            <v>1;61;NP;B;PAQ30a35</v>
          </cell>
          <cell r="B5983">
            <v>730069</v>
          </cell>
          <cell r="C5983" t="str">
            <v>NP</v>
          </cell>
          <cell r="D5983" t="str">
            <v>NAC PORTUGAL</v>
          </cell>
          <cell r="E5983" t="str">
            <v>61</v>
          </cell>
          <cell r="F5983" t="str">
            <v>PAQ30a35</v>
          </cell>
          <cell r="G5983" t="str">
            <v>B</v>
          </cell>
          <cell r="H5983">
            <v>69.3</v>
          </cell>
        </row>
        <row r="5984">
          <cell r="A5984" t="str">
            <v>1;61;NP;B;PAQ35a40</v>
          </cell>
          <cell r="B5984">
            <v>730069</v>
          </cell>
          <cell r="C5984" t="str">
            <v>NP</v>
          </cell>
          <cell r="D5984" t="str">
            <v>NAC PORTUGAL</v>
          </cell>
          <cell r="E5984" t="str">
            <v>61</v>
          </cell>
          <cell r="F5984" t="str">
            <v>PAQ35a40</v>
          </cell>
          <cell r="G5984" t="str">
            <v>B</v>
          </cell>
          <cell r="H5984">
            <v>78.2</v>
          </cell>
        </row>
        <row r="5985">
          <cell r="A5985" t="str">
            <v>1;61;NP;F;</v>
          </cell>
          <cell r="B5985">
            <v>730069</v>
          </cell>
          <cell r="C5985" t="str">
            <v>NP</v>
          </cell>
          <cell r="D5985" t="str">
            <v>NAC PORTUGAL</v>
          </cell>
          <cell r="E5985" t="str">
            <v>61</v>
          </cell>
          <cell r="F5985" t="str">
            <v/>
          </cell>
          <cell r="G5985" t="str">
            <v>F</v>
          </cell>
          <cell r="H5985">
            <v>8.9</v>
          </cell>
        </row>
        <row r="5986">
          <cell r="A5986" t="str">
            <v>1;61;NP;E;</v>
          </cell>
          <cell r="B5986">
            <v>730069</v>
          </cell>
          <cell r="C5986" t="str">
            <v>NP</v>
          </cell>
          <cell r="D5986" t="str">
            <v>NAC PORTUGAL</v>
          </cell>
          <cell r="E5986" t="str">
            <v>61</v>
          </cell>
          <cell r="F5986" t="str">
            <v/>
          </cell>
          <cell r="G5986" t="str">
            <v>E</v>
          </cell>
          <cell r="H5986">
            <v>14.32</v>
          </cell>
        </row>
        <row r="5987">
          <cell r="A5987" t="str">
            <v>1;61;NP;P;</v>
          </cell>
          <cell r="B5987">
            <v>730069</v>
          </cell>
          <cell r="C5987" t="str">
            <v>NP</v>
          </cell>
          <cell r="D5987" t="str">
            <v>NAC PORTUGAL</v>
          </cell>
          <cell r="E5987" t="str">
            <v>61</v>
          </cell>
          <cell r="F5987" t="str">
            <v/>
          </cell>
          <cell r="G5987" t="str">
            <v>P</v>
          </cell>
          <cell r="H5987">
            <v>14.32</v>
          </cell>
        </row>
        <row r="5988">
          <cell r="A5988" t="str">
            <v>1;62;NP;B;BAG</v>
          </cell>
          <cell r="B5988">
            <v>730069</v>
          </cell>
          <cell r="C5988" t="str">
            <v>NP</v>
          </cell>
          <cell r="D5988" t="str">
            <v>NAC PORTUGAL</v>
          </cell>
          <cell r="E5988" t="str">
            <v>62</v>
          </cell>
          <cell r="F5988" t="str">
            <v>BAG</v>
          </cell>
          <cell r="G5988" t="str">
            <v>B</v>
          </cell>
          <cell r="H5988">
            <v>10.24</v>
          </cell>
        </row>
        <row r="5989">
          <cell r="A5989" t="str">
            <v>1;62;NP;B;PAQ00a05</v>
          </cell>
          <cell r="B5989">
            <v>730069</v>
          </cell>
          <cell r="C5989" t="str">
            <v>NP</v>
          </cell>
          <cell r="D5989" t="str">
            <v>NAC PORTUGAL</v>
          </cell>
          <cell r="E5989" t="str">
            <v>62</v>
          </cell>
          <cell r="F5989" t="str">
            <v>PAQ00a05</v>
          </cell>
          <cell r="G5989" t="str">
            <v>B</v>
          </cell>
          <cell r="H5989">
            <v>11.46</v>
          </cell>
        </row>
        <row r="5990">
          <cell r="A5990" t="str">
            <v>1;62;NP;B;PAQ05a10</v>
          </cell>
          <cell r="B5990">
            <v>730069</v>
          </cell>
          <cell r="C5990" t="str">
            <v>NP</v>
          </cell>
          <cell r="D5990" t="str">
            <v>NAC PORTUGAL</v>
          </cell>
          <cell r="E5990" t="str">
            <v>62</v>
          </cell>
          <cell r="F5990" t="str">
            <v>PAQ05a10</v>
          </cell>
          <cell r="G5990" t="str">
            <v>B</v>
          </cell>
          <cell r="H5990">
            <v>19.079999999999998</v>
          </cell>
        </row>
        <row r="5991">
          <cell r="A5991" t="str">
            <v>1;62;NP;B;PAQ10a15</v>
          </cell>
          <cell r="B5991">
            <v>730069</v>
          </cell>
          <cell r="C5991" t="str">
            <v>NP</v>
          </cell>
          <cell r="D5991" t="str">
            <v>NAC PORTUGAL</v>
          </cell>
          <cell r="E5991" t="str">
            <v>62</v>
          </cell>
          <cell r="F5991" t="str">
            <v>PAQ10a15</v>
          </cell>
          <cell r="G5991" t="str">
            <v>B</v>
          </cell>
          <cell r="H5991">
            <v>25.95</v>
          </cell>
        </row>
        <row r="5992">
          <cell r="A5992" t="str">
            <v>1;62;NP;B;PAQ15a20</v>
          </cell>
          <cell r="B5992">
            <v>730069</v>
          </cell>
          <cell r="C5992" t="str">
            <v>NP</v>
          </cell>
          <cell r="D5992" t="str">
            <v>NAC PORTUGAL</v>
          </cell>
          <cell r="E5992" t="str">
            <v>62</v>
          </cell>
          <cell r="F5992" t="str">
            <v>PAQ15a20</v>
          </cell>
          <cell r="G5992" t="str">
            <v>B</v>
          </cell>
          <cell r="H5992">
            <v>32.81</v>
          </cell>
        </row>
        <row r="5993">
          <cell r="A5993" t="str">
            <v>1;62;NP;B;PAQ20a25</v>
          </cell>
          <cell r="B5993">
            <v>730069</v>
          </cell>
          <cell r="C5993" t="str">
            <v>NP</v>
          </cell>
          <cell r="D5993" t="str">
            <v>NAC PORTUGAL</v>
          </cell>
          <cell r="E5993" t="str">
            <v>62</v>
          </cell>
          <cell r="F5993" t="str">
            <v>PAQ20a25</v>
          </cell>
          <cell r="G5993" t="str">
            <v>B</v>
          </cell>
          <cell r="H5993">
            <v>39.68</v>
          </cell>
        </row>
        <row r="5994">
          <cell r="A5994" t="str">
            <v>1;62;NP;B;PAQ25a30</v>
          </cell>
          <cell r="B5994">
            <v>730069</v>
          </cell>
          <cell r="C5994" t="str">
            <v>NP</v>
          </cell>
          <cell r="D5994" t="str">
            <v>NAC PORTUGAL</v>
          </cell>
          <cell r="E5994" t="str">
            <v>62</v>
          </cell>
          <cell r="F5994" t="str">
            <v>PAQ25a30</v>
          </cell>
          <cell r="G5994" t="str">
            <v>B</v>
          </cell>
          <cell r="H5994">
            <v>46.55</v>
          </cell>
        </row>
        <row r="5995">
          <cell r="A5995" t="str">
            <v>1;62;NP;B;PAQ30a35</v>
          </cell>
          <cell r="B5995">
            <v>730069</v>
          </cell>
          <cell r="C5995" t="str">
            <v>NP</v>
          </cell>
          <cell r="D5995" t="str">
            <v>NAC PORTUGAL</v>
          </cell>
          <cell r="E5995" t="str">
            <v>62</v>
          </cell>
          <cell r="F5995" t="str">
            <v>PAQ30a35</v>
          </cell>
          <cell r="G5995" t="str">
            <v>B</v>
          </cell>
          <cell r="H5995">
            <v>53.41</v>
          </cell>
        </row>
        <row r="5996">
          <cell r="A5996" t="str">
            <v>1;62;NP;B;PAQ35a40</v>
          </cell>
          <cell r="B5996">
            <v>730069</v>
          </cell>
          <cell r="C5996" t="str">
            <v>NP</v>
          </cell>
          <cell r="D5996" t="str">
            <v>NAC PORTUGAL</v>
          </cell>
          <cell r="E5996" t="str">
            <v>62</v>
          </cell>
          <cell r="F5996" t="str">
            <v>PAQ35a40</v>
          </cell>
          <cell r="G5996" t="str">
            <v>B</v>
          </cell>
          <cell r="H5996">
            <v>60.28</v>
          </cell>
        </row>
        <row r="5997">
          <cell r="A5997" t="str">
            <v>1;62;NP;F;</v>
          </cell>
          <cell r="B5997">
            <v>730069</v>
          </cell>
          <cell r="C5997" t="str">
            <v>NP</v>
          </cell>
          <cell r="D5997" t="str">
            <v>NAC PORTUGAL</v>
          </cell>
          <cell r="E5997" t="str">
            <v>62</v>
          </cell>
          <cell r="F5997" t="str">
            <v/>
          </cell>
          <cell r="G5997" t="str">
            <v>F</v>
          </cell>
          <cell r="H5997">
            <v>6.87</v>
          </cell>
        </row>
        <row r="5998">
          <cell r="A5998" t="str">
            <v>1;62;NP;E;</v>
          </cell>
          <cell r="B5998">
            <v>730069</v>
          </cell>
          <cell r="C5998" t="str">
            <v>NP</v>
          </cell>
          <cell r="D5998" t="str">
            <v>NAC PORTUGAL</v>
          </cell>
          <cell r="E5998" t="str">
            <v>62</v>
          </cell>
          <cell r="F5998" t="str">
            <v/>
          </cell>
          <cell r="G5998" t="str">
            <v>E</v>
          </cell>
          <cell r="H5998">
            <v>11.46</v>
          </cell>
        </row>
        <row r="5999">
          <cell r="A5999" t="str">
            <v>1;62;NP;P;</v>
          </cell>
          <cell r="B5999">
            <v>730069</v>
          </cell>
          <cell r="C5999" t="str">
            <v>NP</v>
          </cell>
          <cell r="D5999" t="str">
            <v>NAC PORTUGAL</v>
          </cell>
          <cell r="E5999" t="str">
            <v>62</v>
          </cell>
          <cell r="F5999" t="str">
            <v/>
          </cell>
          <cell r="G5999" t="str">
            <v>P</v>
          </cell>
          <cell r="H5999">
            <v>11.46</v>
          </cell>
        </row>
        <row r="6000">
          <cell r="A6000" t="str">
            <v>1;63;NP;B;BAG</v>
          </cell>
          <cell r="B6000">
            <v>730069</v>
          </cell>
          <cell r="C6000" t="str">
            <v>NP</v>
          </cell>
          <cell r="D6000" t="str">
            <v>NAC PORTUGAL</v>
          </cell>
          <cell r="E6000" t="str">
            <v>63</v>
          </cell>
          <cell r="F6000" t="str">
            <v>BAG</v>
          </cell>
          <cell r="G6000" t="str">
            <v>B</v>
          </cell>
          <cell r="H6000">
            <v>17.43</v>
          </cell>
        </row>
        <row r="6001">
          <cell r="A6001" t="str">
            <v>1;63;NP;B;PAQ00a05</v>
          </cell>
          <cell r="B6001">
            <v>730069</v>
          </cell>
          <cell r="C6001" t="str">
            <v>NP</v>
          </cell>
          <cell r="D6001" t="str">
            <v>NAC PORTUGAL</v>
          </cell>
          <cell r="E6001" t="str">
            <v>63</v>
          </cell>
          <cell r="F6001" t="str">
            <v>PAQ00a05</v>
          </cell>
          <cell r="G6001" t="str">
            <v>B</v>
          </cell>
          <cell r="H6001">
            <v>18.649999999999999</v>
          </cell>
        </row>
        <row r="6002">
          <cell r="A6002" t="str">
            <v>1;63;NP;B;PAQ05a10</v>
          </cell>
          <cell r="B6002">
            <v>730069</v>
          </cell>
          <cell r="C6002" t="str">
            <v>NP</v>
          </cell>
          <cell r="D6002" t="str">
            <v>NAC PORTUGAL</v>
          </cell>
          <cell r="E6002" t="str">
            <v>63</v>
          </cell>
          <cell r="F6002" t="str">
            <v>PAQ05a10</v>
          </cell>
          <cell r="G6002" t="str">
            <v>B</v>
          </cell>
          <cell r="H6002">
            <v>26.27</v>
          </cell>
        </row>
        <row r="6003">
          <cell r="A6003" t="str">
            <v>1;63;NP;B;PAQ10a15</v>
          </cell>
          <cell r="B6003">
            <v>730069</v>
          </cell>
          <cell r="C6003" t="str">
            <v>NP</v>
          </cell>
          <cell r="D6003" t="str">
            <v>NAC PORTUGAL</v>
          </cell>
          <cell r="E6003" t="str">
            <v>63</v>
          </cell>
          <cell r="F6003" t="str">
            <v>PAQ10a15</v>
          </cell>
          <cell r="G6003" t="str">
            <v>B</v>
          </cell>
          <cell r="H6003">
            <v>33.14</v>
          </cell>
        </row>
        <row r="6004">
          <cell r="A6004" t="str">
            <v>1;63;NP;B;PAQ15a20</v>
          </cell>
          <cell r="B6004">
            <v>730069</v>
          </cell>
          <cell r="C6004" t="str">
            <v>NP</v>
          </cell>
          <cell r="D6004" t="str">
            <v>NAC PORTUGAL</v>
          </cell>
          <cell r="E6004" t="str">
            <v>63</v>
          </cell>
          <cell r="F6004" t="str">
            <v>PAQ15a20</v>
          </cell>
          <cell r="G6004" t="str">
            <v>B</v>
          </cell>
          <cell r="H6004">
            <v>40.01</v>
          </cell>
        </row>
        <row r="6005">
          <cell r="A6005" t="str">
            <v>1;63;NP;B;PAQ20a25</v>
          </cell>
          <cell r="B6005">
            <v>730069</v>
          </cell>
          <cell r="C6005" t="str">
            <v>NP</v>
          </cell>
          <cell r="D6005" t="str">
            <v>NAC PORTUGAL</v>
          </cell>
          <cell r="E6005" t="str">
            <v>63</v>
          </cell>
          <cell r="F6005" t="str">
            <v>PAQ20a25</v>
          </cell>
          <cell r="G6005" t="str">
            <v>B</v>
          </cell>
          <cell r="H6005">
            <v>46.87</v>
          </cell>
        </row>
        <row r="6006">
          <cell r="A6006" t="str">
            <v>1;63;NP;B;PAQ25a30</v>
          </cell>
          <cell r="B6006">
            <v>730069</v>
          </cell>
          <cell r="C6006" t="str">
            <v>NP</v>
          </cell>
          <cell r="D6006" t="str">
            <v>NAC PORTUGAL</v>
          </cell>
          <cell r="E6006" t="str">
            <v>63</v>
          </cell>
          <cell r="F6006" t="str">
            <v>PAQ25a30</v>
          </cell>
          <cell r="G6006" t="str">
            <v>B</v>
          </cell>
          <cell r="H6006">
            <v>53.74</v>
          </cell>
        </row>
        <row r="6007">
          <cell r="A6007" t="str">
            <v>1;63;NP;B;PAQ30a35</v>
          </cell>
          <cell r="B6007">
            <v>730069</v>
          </cell>
          <cell r="C6007" t="str">
            <v>NP</v>
          </cell>
          <cell r="D6007" t="str">
            <v>NAC PORTUGAL</v>
          </cell>
          <cell r="E6007" t="str">
            <v>63</v>
          </cell>
          <cell r="F6007" t="str">
            <v>PAQ30a35</v>
          </cell>
          <cell r="G6007" t="str">
            <v>B</v>
          </cell>
          <cell r="H6007">
            <v>60.61</v>
          </cell>
        </row>
        <row r="6008">
          <cell r="A6008" t="str">
            <v>1;63;NP;F;</v>
          </cell>
          <cell r="B6008">
            <v>730069</v>
          </cell>
          <cell r="C6008" t="str">
            <v>NP</v>
          </cell>
          <cell r="D6008" t="str">
            <v>NAC PORTUGAL</v>
          </cell>
          <cell r="E6008" t="str">
            <v>63</v>
          </cell>
          <cell r="F6008" t="str">
            <v/>
          </cell>
          <cell r="G6008" t="str">
            <v>F</v>
          </cell>
          <cell r="H6008">
            <v>6.87</v>
          </cell>
        </row>
        <row r="6009">
          <cell r="A6009" t="str">
            <v>1;63;NP;B;PAQ35a40</v>
          </cell>
          <cell r="B6009">
            <v>730069</v>
          </cell>
          <cell r="C6009" t="str">
            <v>NP</v>
          </cell>
          <cell r="D6009" t="str">
            <v>NAC PORTUGAL</v>
          </cell>
          <cell r="E6009" t="str">
            <v>63</v>
          </cell>
          <cell r="F6009" t="str">
            <v>PAQ35a40</v>
          </cell>
          <cell r="G6009" t="str">
            <v>B</v>
          </cell>
          <cell r="H6009">
            <v>67.47</v>
          </cell>
        </row>
        <row r="6010">
          <cell r="A6010" t="str">
            <v>1;63;NP;P;</v>
          </cell>
          <cell r="B6010">
            <v>730069</v>
          </cell>
          <cell r="C6010" t="str">
            <v>NP</v>
          </cell>
          <cell r="D6010" t="str">
            <v>NAC PORTUGAL</v>
          </cell>
          <cell r="E6010" t="str">
            <v>63</v>
          </cell>
          <cell r="F6010" t="str">
            <v/>
          </cell>
          <cell r="G6010" t="str">
            <v>P</v>
          </cell>
          <cell r="H6010">
            <v>11.46</v>
          </cell>
        </row>
        <row r="6011">
          <cell r="A6011" t="str">
            <v>1;63;NP;E;</v>
          </cell>
          <cell r="B6011">
            <v>730069</v>
          </cell>
          <cell r="C6011" t="str">
            <v>NP</v>
          </cell>
          <cell r="D6011" t="str">
            <v>NAC PORTUGAL</v>
          </cell>
          <cell r="E6011" t="str">
            <v>63</v>
          </cell>
          <cell r="F6011" t="str">
            <v/>
          </cell>
          <cell r="G6011" t="str">
            <v>E</v>
          </cell>
          <cell r="H6011">
            <v>11.46</v>
          </cell>
        </row>
        <row r="6012">
          <cell r="A6012" t="str">
            <v>1;E;P;B;BAG</v>
          </cell>
          <cell r="B6012">
            <v>730069</v>
          </cell>
          <cell r="C6012" t="str">
            <v>P</v>
          </cell>
          <cell r="D6012" t="str">
            <v>PROVINCIAL</v>
          </cell>
          <cell r="E6012" t="str">
            <v>E</v>
          </cell>
          <cell r="F6012" t="str">
            <v>BAG</v>
          </cell>
          <cell r="G6012" t="str">
            <v>B</v>
          </cell>
          <cell r="H6012">
            <v>0</v>
          </cell>
        </row>
        <row r="6013">
          <cell r="A6013" t="str">
            <v>1;E;P;B;PAQ00a05</v>
          </cell>
          <cell r="B6013">
            <v>730069</v>
          </cell>
          <cell r="C6013" t="str">
            <v>P</v>
          </cell>
          <cell r="D6013" t="str">
            <v>PROVINCIAL</v>
          </cell>
          <cell r="E6013" t="str">
            <v>E</v>
          </cell>
          <cell r="F6013" t="str">
            <v>PAQ00a05</v>
          </cell>
          <cell r="G6013" t="str">
            <v>B</v>
          </cell>
          <cell r="H6013">
            <v>0</v>
          </cell>
        </row>
        <row r="6014">
          <cell r="A6014" t="str">
            <v>1;E;P;B;PAQ05a10</v>
          </cell>
          <cell r="B6014">
            <v>730069</v>
          </cell>
          <cell r="C6014" t="str">
            <v>P</v>
          </cell>
          <cell r="D6014" t="str">
            <v>PROVINCIAL</v>
          </cell>
          <cell r="E6014" t="str">
            <v>E</v>
          </cell>
          <cell r="F6014" t="str">
            <v>PAQ05a10</v>
          </cell>
          <cell r="G6014" t="str">
            <v>B</v>
          </cell>
          <cell r="H6014">
            <v>0</v>
          </cell>
        </row>
        <row r="6015">
          <cell r="A6015" t="str">
            <v>1;E;P;B;PAQ10a15</v>
          </cell>
          <cell r="B6015">
            <v>730069</v>
          </cell>
          <cell r="C6015" t="str">
            <v>P</v>
          </cell>
          <cell r="D6015" t="str">
            <v>PROVINCIAL</v>
          </cell>
          <cell r="E6015" t="str">
            <v>E</v>
          </cell>
          <cell r="F6015" t="str">
            <v>PAQ10a15</v>
          </cell>
          <cell r="G6015" t="str">
            <v>B</v>
          </cell>
          <cell r="H6015">
            <v>0</v>
          </cell>
        </row>
        <row r="6016">
          <cell r="A6016" t="str">
            <v>1;E;P;B;PAQ15a20</v>
          </cell>
          <cell r="B6016">
            <v>730069</v>
          </cell>
          <cell r="C6016" t="str">
            <v>P</v>
          </cell>
          <cell r="D6016" t="str">
            <v>PROVINCIAL</v>
          </cell>
          <cell r="E6016" t="str">
            <v>E</v>
          </cell>
          <cell r="F6016" t="str">
            <v>PAQ15a20</v>
          </cell>
          <cell r="G6016" t="str">
            <v>B</v>
          </cell>
          <cell r="H6016">
            <v>0</v>
          </cell>
        </row>
        <row r="6017">
          <cell r="A6017" t="str">
            <v>1;E;P;B;PAQ20a25</v>
          </cell>
          <cell r="B6017">
            <v>730069</v>
          </cell>
          <cell r="C6017" t="str">
            <v>P</v>
          </cell>
          <cell r="D6017" t="str">
            <v>PROVINCIAL</v>
          </cell>
          <cell r="E6017" t="str">
            <v>E</v>
          </cell>
          <cell r="F6017" t="str">
            <v>PAQ20a25</v>
          </cell>
          <cell r="G6017" t="str">
            <v>B</v>
          </cell>
          <cell r="H6017">
            <v>0</v>
          </cell>
        </row>
        <row r="6018">
          <cell r="A6018" t="str">
            <v>1;E;P;B;PAQ25a30</v>
          </cell>
          <cell r="B6018">
            <v>730069</v>
          </cell>
          <cell r="C6018" t="str">
            <v>P</v>
          </cell>
          <cell r="D6018" t="str">
            <v>PROVINCIAL</v>
          </cell>
          <cell r="E6018" t="str">
            <v>E</v>
          </cell>
          <cell r="F6018" t="str">
            <v>PAQ25a30</v>
          </cell>
          <cell r="G6018" t="str">
            <v>B</v>
          </cell>
          <cell r="H6018">
            <v>0</v>
          </cell>
        </row>
        <row r="6019">
          <cell r="A6019" t="str">
            <v>1;E;P;B;PAQ30a35</v>
          </cell>
          <cell r="B6019">
            <v>730069</v>
          </cell>
          <cell r="C6019" t="str">
            <v>P</v>
          </cell>
          <cell r="D6019" t="str">
            <v>PROVINCIAL</v>
          </cell>
          <cell r="E6019" t="str">
            <v>E</v>
          </cell>
          <cell r="F6019" t="str">
            <v>PAQ30a35</v>
          </cell>
          <cell r="G6019" t="str">
            <v>B</v>
          </cell>
          <cell r="H6019">
            <v>0</v>
          </cell>
        </row>
        <row r="6020">
          <cell r="A6020" t="str">
            <v>1;E;P;B;PAQ35a40</v>
          </cell>
          <cell r="B6020">
            <v>730069</v>
          </cell>
          <cell r="C6020" t="str">
            <v>P</v>
          </cell>
          <cell r="D6020" t="str">
            <v>PROVINCIAL</v>
          </cell>
          <cell r="E6020" t="str">
            <v>E</v>
          </cell>
          <cell r="F6020" t="str">
            <v>PAQ35a40</v>
          </cell>
          <cell r="G6020" t="str">
            <v>B</v>
          </cell>
          <cell r="H6020">
            <v>0</v>
          </cell>
        </row>
        <row r="6021">
          <cell r="A6021" t="str">
            <v>1;E;P;F;</v>
          </cell>
          <cell r="B6021">
            <v>730069</v>
          </cell>
          <cell r="C6021" t="str">
            <v>P</v>
          </cell>
          <cell r="D6021" t="str">
            <v>PROVINCIAL</v>
          </cell>
          <cell r="E6021" t="str">
            <v>E</v>
          </cell>
          <cell r="F6021" t="str">
            <v/>
          </cell>
          <cell r="G6021" t="str">
            <v>F</v>
          </cell>
          <cell r="H6021">
            <v>0</v>
          </cell>
        </row>
        <row r="6022">
          <cell r="A6022" t="str">
            <v>1;E;P;E;</v>
          </cell>
          <cell r="B6022">
            <v>730069</v>
          </cell>
          <cell r="C6022" t="str">
            <v>P</v>
          </cell>
          <cell r="D6022" t="str">
            <v>PROVINCIAL</v>
          </cell>
          <cell r="E6022" t="str">
            <v>E</v>
          </cell>
          <cell r="F6022" t="str">
            <v/>
          </cell>
          <cell r="G6022" t="str">
            <v>E</v>
          </cell>
          <cell r="H6022">
            <v>0</v>
          </cell>
        </row>
        <row r="6023">
          <cell r="A6023" t="str">
            <v>1;E;P;P;</v>
          </cell>
          <cell r="B6023">
            <v>730069</v>
          </cell>
          <cell r="C6023" t="str">
            <v>P</v>
          </cell>
          <cell r="D6023" t="str">
            <v>PROVINCIAL</v>
          </cell>
          <cell r="E6023" t="str">
            <v>E</v>
          </cell>
          <cell r="F6023" t="str">
            <v/>
          </cell>
          <cell r="G6023" t="str">
            <v>P</v>
          </cell>
          <cell r="H6023">
            <v>0</v>
          </cell>
        </row>
        <row r="6024">
          <cell r="A6024" t="str">
            <v>1;F;P;B;BAG</v>
          </cell>
          <cell r="B6024">
            <v>730069</v>
          </cell>
          <cell r="C6024" t="str">
            <v>P</v>
          </cell>
          <cell r="D6024" t="str">
            <v>PROVINCIAL</v>
          </cell>
          <cell r="E6024" t="str">
            <v>F</v>
          </cell>
          <cell r="F6024" t="str">
            <v>BAG</v>
          </cell>
          <cell r="G6024" t="str">
            <v>B</v>
          </cell>
          <cell r="H6024">
            <v>0</v>
          </cell>
        </row>
        <row r="6025">
          <cell r="A6025" t="str">
            <v>1;F;P;B;PAQ00a05</v>
          </cell>
          <cell r="B6025">
            <v>730069</v>
          </cell>
          <cell r="C6025" t="str">
            <v>P</v>
          </cell>
          <cell r="D6025" t="str">
            <v>PROVINCIAL</v>
          </cell>
          <cell r="E6025" t="str">
            <v>F</v>
          </cell>
          <cell r="F6025" t="str">
            <v>PAQ00a05</v>
          </cell>
          <cell r="G6025" t="str">
            <v>B</v>
          </cell>
          <cell r="H6025">
            <v>0</v>
          </cell>
        </row>
        <row r="6026">
          <cell r="A6026" t="str">
            <v>1;F;P;B;PAQ05a10</v>
          </cell>
          <cell r="B6026">
            <v>730069</v>
          </cell>
          <cell r="C6026" t="str">
            <v>P</v>
          </cell>
          <cell r="D6026" t="str">
            <v>PROVINCIAL</v>
          </cell>
          <cell r="E6026" t="str">
            <v>F</v>
          </cell>
          <cell r="F6026" t="str">
            <v>PAQ05a10</v>
          </cell>
          <cell r="G6026" t="str">
            <v>B</v>
          </cell>
          <cell r="H6026">
            <v>0</v>
          </cell>
        </row>
        <row r="6027">
          <cell r="A6027" t="str">
            <v>1;F;P;B;PAQ10a15</v>
          </cell>
          <cell r="B6027">
            <v>730069</v>
          </cell>
          <cell r="C6027" t="str">
            <v>P</v>
          </cell>
          <cell r="D6027" t="str">
            <v>PROVINCIAL</v>
          </cell>
          <cell r="E6027" t="str">
            <v>F</v>
          </cell>
          <cell r="F6027" t="str">
            <v>PAQ10a15</v>
          </cell>
          <cell r="G6027" t="str">
            <v>B</v>
          </cell>
          <cell r="H6027">
            <v>0</v>
          </cell>
        </row>
        <row r="6028">
          <cell r="A6028" t="str">
            <v>1;F;P;B;PAQ15a20</v>
          </cell>
          <cell r="B6028">
            <v>730069</v>
          </cell>
          <cell r="C6028" t="str">
            <v>P</v>
          </cell>
          <cell r="D6028" t="str">
            <v>PROVINCIAL</v>
          </cell>
          <cell r="E6028" t="str">
            <v>F</v>
          </cell>
          <cell r="F6028" t="str">
            <v>PAQ15a20</v>
          </cell>
          <cell r="G6028" t="str">
            <v>B</v>
          </cell>
          <cell r="H6028">
            <v>0</v>
          </cell>
        </row>
        <row r="6029">
          <cell r="A6029" t="str">
            <v>1;F;P;B;PAQ20a25</v>
          </cell>
          <cell r="B6029">
            <v>730069</v>
          </cell>
          <cell r="C6029" t="str">
            <v>P</v>
          </cell>
          <cell r="D6029" t="str">
            <v>PROVINCIAL</v>
          </cell>
          <cell r="E6029" t="str">
            <v>F</v>
          </cell>
          <cell r="F6029" t="str">
            <v>PAQ20a25</v>
          </cell>
          <cell r="G6029" t="str">
            <v>B</v>
          </cell>
          <cell r="H6029">
            <v>0</v>
          </cell>
        </row>
        <row r="6030">
          <cell r="A6030" t="str">
            <v>1;F;P;B;PAQ25a30</v>
          </cell>
          <cell r="B6030">
            <v>730069</v>
          </cell>
          <cell r="C6030" t="str">
            <v>P</v>
          </cell>
          <cell r="D6030" t="str">
            <v>PROVINCIAL</v>
          </cell>
          <cell r="E6030" t="str">
            <v>F</v>
          </cell>
          <cell r="F6030" t="str">
            <v>PAQ25a30</v>
          </cell>
          <cell r="G6030" t="str">
            <v>B</v>
          </cell>
          <cell r="H6030">
            <v>0</v>
          </cell>
        </row>
        <row r="6031">
          <cell r="A6031" t="str">
            <v>1;F;P;B;PAQ30a35</v>
          </cell>
          <cell r="B6031">
            <v>730069</v>
          </cell>
          <cell r="C6031" t="str">
            <v>P</v>
          </cell>
          <cell r="D6031" t="str">
            <v>PROVINCIAL</v>
          </cell>
          <cell r="E6031" t="str">
            <v>F</v>
          </cell>
          <cell r="F6031" t="str">
            <v>PAQ30a35</v>
          </cell>
          <cell r="G6031" t="str">
            <v>B</v>
          </cell>
          <cell r="H6031">
            <v>0</v>
          </cell>
        </row>
        <row r="6032">
          <cell r="A6032" t="str">
            <v>1;F;P;B;PAQ35a40</v>
          </cell>
          <cell r="B6032">
            <v>730069</v>
          </cell>
          <cell r="C6032" t="str">
            <v>P</v>
          </cell>
          <cell r="D6032" t="str">
            <v>PROVINCIAL</v>
          </cell>
          <cell r="E6032" t="str">
            <v>F</v>
          </cell>
          <cell r="F6032" t="str">
            <v>PAQ35a40</v>
          </cell>
          <cell r="G6032" t="str">
            <v>B</v>
          </cell>
          <cell r="H6032">
            <v>0</v>
          </cell>
        </row>
        <row r="6033">
          <cell r="A6033" t="str">
            <v>1;F;P;F;</v>
          </cell>
          <cell r="B6033">
            <v>730069</v>
          </cell>
          <cell r="C6033" t="str">
            <v>P</v>
          </cell>
          <cell r="D6033" t="str">
            <v>PROVINCIAL</v>
          </cell>
          <cell r="E6033" t="str">
            <v>F</v>
          </cell>
          <cell r="F6033" t="str">
            <v/>
          </cell>
          <cell r="G6033" t="str">
            <v>F</v>
          </cell>
          <cell r="H6033">
            <v>0</v>
          </cell>
        </row>
        <row r="6034">
          <cell r="A6034" t="str">
            <v>1;F;P;E;</v>
          </cell>
          <cell r="B6034">
            <v>730069</v>
          </cell>
          <cell r="C6034" t="str">
            <v>P</v>
          </cell>
          <cell r="D6034" t="str">
            <v>PROVINCIAL</v>
          </cell>
          <cell r="E6034" t="str">
            <v>F</v>
          </cell>
          <cell r="F6034" t="str">
            <v/>
          </cell>
          <cell r="G6034" t="str">
            <v>E</v>
          </cell>
          <cell r="H6034">
            <v>0</v>
          </cell>
        </row>
        <row r="6035">
          <cell r="A6035" t="str">
            <v>1;F;P;P;</v>
          </cell>
          <cell r="B6035">
            <v>730069</v>
          </cell>
          <cell r="C6035" t="str">
            <v>P</v>
          </cell>
          <cell r="D6035" t="str">
            <v>PROVINCIAL</v>
          </cell>
          <cell r="E6035" t="str">
            <v>F</v>
          </cell>
          <cell r="F6035" t="str">
            <v/>
          </cell>
          <cell r="G6035" t="str">
            <v>P</v>
          </cell>
          <cell r="H6035">
            <v>0</v>
          </cell>
        </row>
        <row r="6036">
          <cell r="A6036" t="str">
            <v>1;G;P;B;BAG</v>
          </cell>
          <cell r="B6036">
            <v>730069</v>
          </cell>
          <cell r="C6036" t="str">
            <v>P</v>
          </cell>
          <cell r="D6036" t="str">
            <v>PROVINCIAL</v>
          </cell>
          <cell r="E6036" t="str">
            <v>G</v>
          </cell>
          <cell r="F6036" t="str">
            <v>BAG</v>
          </cell>
          <cell r="G6036" t="str">
            <v>B</v>
          </cell>
          <cell r="H6036">
            <v>0</v>
          </cell>
        </row>
        <row r="6037">
          <cell r="A6037" t="str">
            <v>1;G;P;B;PAQ00a05</v>
          </cell>
          <cell r="B6037">
            <v>730069</v>
          </cell>
          <cell r="C6037" t="str">
            <v>P</v>
          </cell>
          <cell r="D6037" t="str">
            <v>PROVINCIAL</v>
          </cell>
          <cell r="E6037" t="str">
            <v>G</v>
          </cell>
          <cell r="F6037" t="str">
            <v>PAQ00a05</v>
          </cell>
          <cell r="G6037" t="str">
            <v>B</v>
          </cell>
          <cell r="H6037">
            <v>0</v>
          </cell>
        </row>
        <row r="6038">
          <cell r="A6038" t="str">
            <v>1;G;P;B;PAQ05a10</v>
          </cell>
          <cell r="B6038">
            <v>730069</v>
          </cell>
          <cell r="C6038" t="str">
            <v>P</v>
          </cell>
          <cell r="D6038" t="str">
            <v>PROVINCIAL</v>
          </cell>
          <cell r="E6038" t="str">
            <v>G</v>
          </cell>
          <cell r="F6038" t="str">
            <v>PAQ05a10</v>
          </cell>
          <cell r="G6038" t="str">
            <v>B</v>
          </cell>
          <cell r="H6038">
            <v>0</v>
          </cell>
        </row>
        <row r="6039">
          <cell r="A6039" t="str">
            <v>1;G;P;B;PAQ10a15</v>
          </cell>
          <cell r="B6039">
            <v>730069</v>
          </cell>
          <cell r="C6039" t="str">
            <v>P</v>
          </cell>
          <cell r="D6039" t="str">
            <v>PROVINCIAL</v>
          </cell>
          <cell r="E6039" t="str">
            <v>G</v>
          </cell>
          <cell r="F6039" t="str">
            <v>PAQ10a15</v>
          </cell>
          <cell r="G6039" t="str">
            <v>B</v>
          </cell>
          <cell r="H6039">
            <v>0</v>
          </cell>
        </row>
        <row r="6040">
          <cell r="A6040" t="str">
            <v>1;G;P;B;PAQ15a20</v>
          </cell>
          <cell r="B6040">
            <v>730069</v>
          </cell>
          <cell r="C6040" t="str">
            <v>P</v>
          </cell>
          <cell r="D6040" t="str">
            <v>PROVINCIAL</v>
          </cell>
          <cell r="E6040" t="str">
            <v>G</v>
          </cell>
          <cell r="F6040" t="str">
            <v>PAQ15a20</v>
          </cell>
          <cell r="G6040" t="str">
            <v>B</v>
          </cell>
          <cell r="H6040">
            <v>0</v>
          </cell>
        </row>
        <row r="6041">
          <cell r="A6041" t="str">
            <v>1;G;P;B;PAQ20a25</v>
          </cell>
          <cell r="B6041">
            <v>730069</v>
          </cell>
          <cell r="C6041" t="str">
            <v>P</v>
          </cell>
          <cell r="D6041" t="str">
            <v>PROVINCIAL</v>
          </cell>
          <cell r="E6041" t="str">
            <v>G</v>
          </cell>
          <cell r="F6041" t="str">
            <v>PAQ20a25</v>
          </cell>
          <cell r="G6041" t="str">
            <v>B</v>
          </cell>
          <cell r="H6041">
            <v>0</v>
          </cell>
        </row>
        <row r="6042">
          <cell r="A6042" t="str">
            <v>1;G;P;B;PAQ25a30</v>
          </cell>
          <cell r="B6042">
            <v>730069</v>
          </cell>
          <cell r="C6042" t="str">
            <v>P</v>
          </cell>
          <cell r="D6042" t="str">
            <v>PROVINCIAL</v>
          </cell>
          <cell r="E6042" t="str">
            <v>G</v>
          </cell>
          <cell r="F6042" t="str">
            <v>PAQ25a30</v>
          </cell>
          <cell r="G6042" t="str">
            <v>B</v>
          </cell>
          <cell r="H6042">
            <v>0</v>
          </cell>
        </row>
        <row r="6043">
          <cell r="A6043" t="str">
            <v>1;G;P;B;PAQ30a35</v>
          </cell>
          <cell r="B6043">
            <v>730069</v>
          </cell>
          <cell r="C6043" t="str">
            <v>P</v>
          </cell>
          <cell r="D6043" t="str">
            <v>PROVINCIAL</v>
          </cell>
          <cell r="E6043" t="str">
            <v>G</v>
          </cell>
          <cell r="F6043" t="str">
            <v>PAQ30a35</v>
          </cell>
          <cell r="G6043" t="str">
            <v>B</v>
          </cell>
          <cell r="H6043">
            <v>0</v>
          </cell>
        </row>
        <row r="6044">
          <cell r="A6044" t="str">
            <v>1;G;P;B;PAQ35a40</v>
          </cell>
          <cell r="B6044">
            <v>730069</v>
          </cell>
          <cell r="C6044" t="str">
            <v>P</v>
          </cell>
          <cell r="D6044" t="str">
            <v>PROVINCIAL</v>
          </cell>
          <cell r="E6044" t="str">
            <v>G</v>
          </cell>
          <cell r="F6044" t="str">
            <v>PAQ35a40</v>
          </cell>
          <cell r="G6044" t="str">
            <v>B</v>
          </cell>
          <cell r="H6044">
            <v>0</v>
          </cell>
        </row>
        <row r="6045">
          <cell r="A6045" t="str">
            <v>1;G;P;F;</v>
          </cell>
          <cell r="B6045">
            <v>730069</v>
          </cell>
          <cell r="C6045" t="str">
            <v>P</v>
          </cell>
          <cell r="D6045" t="str">
            <v>PROVINCIAL</v>
          </cell>
          <cell r="E6045" t="str">
            <v>G</v>
          </cell>
          <cell r="F6045" t="str">
            <v/>
          </cell>
          <cell r="G6045" t="str">
            <v>F</v>
          </cell>
          <cell r="H6045">
            <v>0</v>
          </cell>
        </row>
        <row r="6046">
          <cell r="A6046" t="str">
            <v>1;G;P;E;</v>
          </cell>
          <cell r="B6046">
            <v>730069</v>
          </cell>
          <cell r="C6046" t="str">
            <v>P</v>
          </cell>
          <cell r="D6046" t="str">
            <v>PROVINCIAL</v>
          </cell>
          <cell r="E6046" t="str">
            <v>G</v>
          </cell>
          <cell r="F6046" t="str">
            <v/>
          </cell>
          <cell r="G6046" t="str">
            <v>E</v>
          </cell>
          <cell r="H6046">
            <v>0</v>
          </cell>
        </row>
        <row r="6047">
          <cell r="A6047" t="str">
            <v>1;G;P;P;</v>
          </cell>
          <cell r="B6047">
            <v>730069</v>
          </cell>
          <cell r="C6047" t="str">
            <v>P</v>
          </cell>
          <cell r="D6047" t="str">
            <v>PROVINCIAL</v>
          </cell>
          <cell r="E6047" t="str">
            <v>G</v>
          </cell>
          <cell r="F6047" t="str">
            <v/>
          </cell>
          <cell r="G6047" t="str">
            <v>P</v>
          </cell>
          <cell r="H6047">
            <v>0</v>
          </cell>
        </row>
        <row r="6048">
          <cell r="A6048" t="str">
            <v>1;01;P;B;BAG</v>
          </cell>
          <cell r="B6048">
            <v>730069</v>
          </cell>
          <cell r="C6048" t="str">
            <v>P</v>
          </cell>
          <cell r="D6048" t="str">
            <v>PROVINCIAL</v>
          </cell>
          <cell r="E6048" t="str">
            <v>01</v>
          </cell>
          <cell r="F6048" t="str">
            <v>BAG</v>
          </cell>
          <cell r="G6048" t="str">
            <v>B</v>
          </cell>
          <cell r="H6048">
            <v>12.14</v>
          </cell>
        </row>
        <row r="6049">
          <cell r="A6049" t="str">
            <v>1;01;P;B;DOCS</v>
          </cell>
          <cell r="B6049">
            <v>730069</v>
          </cell>
          <cell r="C6049" t="str">
            <v>P</v>
          </cell>
          <cell r="D6049" t="str">
            <v>PROVINCIAL</v>
          </cell>
          <cell r="E6049" t="str">
            <v>01</v>
          </cell>
          <cell r="F6049" t="str">
            <v>DOCS</v>
          </cell>
          <cell r="G6049" t="str">
            <v>B</v>
          </cell>
          <cell r="H6049">
            <v>10.17</v>
          </cell>
        </row>
        <row r="6050">
          <cell r="A6050" t="str">
            <v>1;01;P;B;PAQ00a02</v>
          </cell>
          <cell r="B6050">
            <v>730069</v>
          </cell>
          <cell r="C6050" t="str">
            <v>P</v>
          </cell>
          <cell r="D6050" t="str">
            <v>PROVINCIAL</v>
          </cell>
          <cell r="E6050" t="str">
            <v>01</v>
          </cell>
          <cell r="F6050" t="str">
            <v>PAQ00a02</v>
          </cell>
          <cell r="G6050" t="str">
            <v>B</v>
          </cell>
          <cell r="H6050">
            <v>12.77</v>
          </cell>
        </row>
        <row r="6051">
          <cell r="A6051" t="str">
            <v>1;01;P;B;PAQ02a05</v>
          </cell>
          <cell r="B6051">
            <v>730069</v>
          </cell>
          <cell r="C6051" t="str">
            <v>P</v>
          </cell>
          <cell r="D6051" t="str">
            <v>PROVINCIAL</v>
          </cell>
          <cell r="E6051" t="str">
            <v>01</v>
          </cell>
          <cell r="F6051" t="str">
            <v>PAQ02a05</v>
          </cell>
          <cell r="G6051" t="str">
            <v>B</v>
          </cell>
          <cell r="H6051">
            <v>12.77</v>
          </cell>
        </row>
        <row r="6052">
          <cell r="A6052" t="str">
            <v>1;01;P;B;PAQ05a10</v>
          </cell>
          <cell r="B6052">
            <v>730069</v>
          </cell>
          <cell r="C6052" t="str">
            <v>P</v>
          </cell>
          <cell r="D6052" t="str">
            <v>PROVINCIAL</v>
          </cell>
          <cell r="E6052" t="str">
            <v>01</v>
          </cell>
          <cell r="F6052" t="str">
            <v>PAQ05a10</v>
          </cell>
          <cell r="G6052" t="str">
            <v>B</v>
          </cell>
          <cell r="H6052">
            <v>21.78</v>
          </cell>
        </row>
        <row r="6053">
          <cell r="A6053" t="str">
            <v>1;01;P;B;PAQ10a15</v>
          </cell>
          <cell r="B6053">
            <v>730069</v>
          </cell>
          <cell r="C6053" t="str">
            <v>P</v>
          </cell>
          <cell r="D6053" t="str">
            <v>PROVINCIAL</v>
          </cell>
          <cell r="E6053" t="str">
            <v>01</v>
          </cell>
          <cell r="F6053" t="str">
            <v>PAQ10a15</v>
          </cell>
          <cell r="G6053" t="str">
            <v>B</v>
          </cell>
          <cell r="H6053">
            <v>31.76</v>
          </cell>
        </row>
        <row r="6054">
          <cell r="A6054" t="str">
            <v>1;01;P;B;PAQ15a20</v>
          </cell>
          <cell r="B6054">
            <v>730069</v>
          </cell>
          <cell r="C6054" t="str">
            <v>P</v>
          </cell>
          <cell r="D6054" t="str">
            <v>PROVINCIAL</v>
          </cell>
          <cell r="E6054" t="str">
            <v>01</v>
          </cell>
          <cell r="F6054" t="str">
            <v>PAQ15a20</v>
          </cell>
          <cell r="G6054" t="str">
            <v>B</v>
          </cell>
          <cell r="H6054">
            <v>41.75</v>
          </cell>
        </row>
        <row r="6055">
          <cell r="A6055" t="str">
            <v>1;01;P;B;PAQ20a25</v>
          </cell>
          <cell r="B6055">
            <v>730069</v>
          </cell>
          <cell r="C6055" t="str">
            <v>P</v>
          </cell>
          <cell r="D6055" t="str">
            <v>PROVINCIAL</v>
          </cell>
          <cell r="E6055" t="str">
            <v>01</v>
          </cell>
          <cell r="F6055" t="str">
            <v>PAQ20a25</v>
          </cell>
          <cell r="G6055" t="str">
            <v>B</v>
          </cell>
          <cell r="H6055">
            <v>51.72</v>
          </cell>
        </row>
        <row r="6056">
          <cell r="A6056" t="str">
            <v>1;01;P;B;PAQ25a30</v>
          </cell>
          <cell r="B6056">
            <v>730069</v>
          </cell>
          <cell r="C6056" t="str">
            <v>P</v>
          </cell>
          <cell r="D6056" t="str">
            <v>PROVINCIAL</v>
          </cell>
          <cell r="E6056" t="str">
            <v>01</v>
          </cell>
          <cell r="F6056" t="str">
            <v>PAQ25a30</v>
          </cell>
          <cell r="G6056" t="str">
            <v>B</v>
          </cell>
          <cell r="H6056">
            <v>61.71</v>
          </cell>
        </row>
        <row r="6057">
          <cell r="A6057" t="str">
            <v>1;01;P;B;PAQ30a35</v>
          </cell>
          <cell r="B6057">
            <v>730069</v>
          </cell>
          <cell r="C6057" t="str">
            <v>P</v>
          </cell>
          <cell r="D6057" t="str">
            <v>PROVINCIAL</v>
          </cell>
          <cell r="E6057" t="str">
            <v>01</v>
          </cell>
          <cell r="F6057" t="str">
            <v>PAQ30a35</v>
          </cell>
          <cell r="G6057" t="str">
            <v>B</v>
          </cell>
          <cell r="H6057">
            <v>71.69</v>
          </cell>
        </row>
        <row r="6058">
          <cell r="A6058" t="str">
            <v>1;01;P;B;PAQ35a40</v>
          </cell>
          <cell r="B6058">
            <v>730069</v>
          </cell>
          <cell r="C6058" t="str">
            <v>P</v>
          </cell>
          <cell r="D6058" t="str">
            <v>PROVINCIAL</v>
          </cell>
          <cell r="E6058" t="str">
            <v>01</v>
          </cell>
          <cell r="F6058" t="str">
            <v>PAQ35a40</v>
          </cell>
          <cell r="G6058" t="str">
            <v>B</v>
          </cell>
          <cell r="H6058">
            <v>81.680000000000007</v>
          </cell>
        </row>
        <row r="6059">
          <cell r="A6059" t="str">
            <v>1;01;P;F;</v>
          </cell>
          <cell r="B6059">
            <v>730069</v>
          </cell>
          <cell r="C6059" t="str">
            <v>P</v>
          </cell>
          <cell r="D6059" t="str">
            <v>PROVINCIAL</v>
          </cell>
          <cell r="E6059" t="str">
            <v>01</v>
          </cell>
          <cell r="F6059" t="str">
            <v/>
          </cell>
          <cell r="G6059" t="str">
            <v>F</v>
          </cell>
          <cell r="H6059">
            <v>9.99</v>
          </cell>
        </row>
        <row r="6060">
          <cell r="A6060" t="str">
            <v>1;01;P;P;</v>
          </cell>
          <cell r="B6060">
            <v>730069</v>
          </cell>
          <cell r="C6060" t="str">
            <v>P</v>
          </cell>
          <cell r="D6060" t="str">
            <v>PROVINCIAL</v>
          </cell>
          <cell r="E6060" t="str">
            <v>01</v>
          </cell>
          <cell r="F6060" t="str">
            <v/>
          </cell>
          <cell r="G6060" t="str">
            <v>P</v>
          </cell>
          <cell r="H6060">
            <v>12.77</v>
          </cell>
        </row>
        <row r="6061">
          <cell r="A6061" t="str">
            <v>1;01;P;E;</v>
          </cell>
          <cell r="B6061">
            <v>730069</v>
          </cell>
          <cell r="C6061" t="str">
            <v>P</v>
          </cell>
          <cell r="D6061" t="str">
            <v>PROVINCIAL</v>
          </cell>
          <cell r="E6061" t="str">
            <v>01</v>
          </cell>
          <cell r="F6061" t="str">
            <v/>
          </cell>
          <cell r="G6061" t="str">
            <v>E</v>
          </cell>
          <cell r="H6061">
            <v>12.77</v>
          </cell>
        </row>
        <row r="6062">
          <cell r="A6062" t="str">
            <v>1;02;P;B;BAG</v>
          </cell>
          <cell r="B6062">
            <v>730069</v>
          </cell>
          <cell r="C6062" t="str">
            <v>P</v>
          </cell>
          <cell r="D6062" t="str">
            <v>PROVINCIAL</v>
          </cell>
          <cell r="E6062" t="str">
            <v>02</v>
          </cell>
          <cell r="F6062" t="str">
            <v>BAG</v>
          </cell>
          <cell r="G6062" t="str">
            <v>B</v>
          </cell>
          <cell r="H6062">
            <v>10.09</v>
          </cell>
        </row>
        <row r="6063">
          <cell r="A6063" t="str">
            <v>1;02;P;B;DOCS</v>
          </cell>
          <cell r="B6063">
            <v>730069</v>
          </cell>
          <cell r="C6063" t="str">
            <v>P</v>
          </cell>
          <cell r="D6063" t="str">
            <v>PROVINCIAL</v>
          </cell>
          <cell r="E6063" t="str">
            <v>02</v>
          </cell>
          <cell r="F6063" t="str">
            <v>DOCS</v>
          </cell>
          <cell r="G6063" t="str">
            <v>B</v>
          </cell>
          <cell r="H6063">
            <v>7.69</v>
          </cell>
        </row>
        <row r="6064">
          <cell r="A6064" t="str">
            <v>1;02;P;B;PAQ00a02</v>
          </cell>
          <cell r="B6064">
            <v>730069</v>
          </cell>
          <cell r="C6064" t="str">
            <v>P</v>
          </cell>
          <cell r="D6064" t="str">
            <v>PROVINCIAL</v>
          </cell>
          <cell r="E6064" t="str">
            <v>02</v>
          </cell>
          <cell r="F6064" t="str">
            <v>PAQ00a02</v>
          </cell>
          <cell r="G6064" t="str">
            <v>B</v>
          </cell>
          <cell r="H6064">
            <v>11.83</v>
          </cell>
        </row>
        <row r="6065">
          <cell r="A6065" t="str">
            <v>1;02;P;B;PAQ02a05</v>
          </cell>
          <cell r="B6065">
            <v>730069</v>
          </cell>
          <cell r="C6065" t="str">
            <v>P</v>
          </cell>
          <cell r="D6065" t="str">
            <v>PROVINCIAL</v>
          </cell>
          <cell r="E6065" t="str">
            <v>02</v>
          </cell>
          <cell r="F6065" t="str">
            <v>PAQ02a05</v>
          </cell>
          <cell r="G6065" t="str">
            <v>B</v>
          </cell>
          <cell r="H6065">
            <v>11.83</v>
          </cell>
        </row>
        <row r="6066">
          <cell r="A6066" t="str">
            <v>1;02;P;B;PAQ05a10</v>
          </cell>
          <cell r="B6066">
            <v>730069</v>
          </cell>
          <cell r="C6066" t="str">
            <v>P</v>
          </cell>
          <cell r="D6066" t="str">
            <v>PROVINCIAL</v>
          </cell>
          <cell r="E6066" t="str">
            <v>02</v>
          </cell>
          <cell r="F6066" t="str">
            <v>PAQ05a10</v>
          </cell>
          <cell r="G6066" t="str">
            <v>B</v>
          </cell>
          <cell r="H6066">
            <v>13.06</v>
          </cell>
        </row>
        <row r="6067">
          <cell r="A6067" t="str">
            <v>1;02;P;B;PAQ10a15</v>
          </cell>
          <cell r="B6067">
            <v>730069</v>
          </cell>
          <cell r="C6067" t="str">
            <v>P</v>
          </cell>
          <cell r="D6067" t="str">
            <v>PROVINCIAL</v>
          </cell>
          <cell r="E6067" t="str">
            <v>02</v>
          </cell>
          <cell r="F6067" t="str">
            <v>PAQ10a15</v>
          </cell>
          <cell r="G6067" t="str">
            <v>B</v>
          </cell>
          <cell r="H6067">
            <v>15.93</v>
          </cell>
        </row>
        <row r="6068">
          <cell r="A6068" t="str">
            <v>1;02;P;B;PAQ15a20</v>
          </cell>
          <cell r="B6068">
            <v>730069</v>
          </cell>
          <cell r="C6068" t="str">
            <v>P</v>
          </cell>
          <cell r="D6068" t="str">
            <v>PROVINCIAL</v>
          </cell>
          <cell r="E6068" t="str">
            <v>02</v>
          </cell>
          <cell r="F6068" t="str">
            <v>PAQ15a20</v>
          </cell>
          <cell r="G6068" t="str">
            <v>B</v>
          </cell>
          <cell r="H6068">
            <v>18.809999999999999</v>
          </cell>
        </row>
        <row r="6069">
          <cell r="A6069" t="str">
            <v>1;02;P;B;PAQ20a25</v>
          </cell>
          <cell r="B6069">
            <v>730069</v>
          </cell>
          <cell r="C6069" t="str">
            <v>P</v>
          </cell>
          <cell r="D6069" t="str">
            <v>PROVINCIAL</v>
          </cell>
          <cell r="E6069" t="str">
            <v>02</v>
          </cell>
          <cell r="F6069" t="str">
            <v>PAQ20a25</v>
          </cell>
          <cell r="G6069" t="str">
            <v>B</v>
          </cell>
          <cell r="H6069">
            <v>21.67</v>
          </cell>
        </row>
        <row r="6070">
          <cell r="A6070" t="str">
            <v>1;02;P;B;PAQ25a30</v>
          </cell>
          <cell r="B6070">
            <v>730069</v>
          </cell>
          <cell r="C6070" t="str">
            <v>P</v>
          </cell>
          <cell r="D6070" t="str">
            <v>PROVINCIAL</v>
          </cell>
          <cell r="E6070" t="str">
            <v>02</v>
          </cell>
          <cell r="F6070" t="str">
            <v>PAQ25a30</v>
          </cell>
          <cell r="G6070" t="str">
            <v>B</v>
          </cell>
          <cell r="H6070">
            <v>24.55</v>
          </cell>
        </row>
        <row r="6071">
          <cell r="A6071" t="str">
            <v>1;02;P;B;PAQ30a35</v>
          </cell>
          <cell r="B6071">
            <v>730069</v>
          </cell>
          <cell r="C6071" t="str">
            <v>P</v>
          </cell>
          <cell r="D6071" t="str">
            <v>PROVINCIAL</v>
          </cell>
          <cell r="E6071" t="str">
            <v>02</v>
          </cell>
          <cell r="F6071" t="str">
            <v>PAQ30a35</v>
          </cell>
          <cell r="G6071" t="str">
            <v>B</v>
          </cell>
          <cell r="H6071">
            <v>27.43</v>
          </cell>
        </row>
        <row r="6072">
          <cell r="A6072" t="str">
            <v>1;02;P;B;PAQ35a40</v>
          </cell>
          <cell r="B6072">
            <v>730069</v>
          </cell>
          <cell r="C6072" t="str">
            <v>P</v>
          </cell>
          <cell r="D6072" t="str">
            <v>PROVINCIAL</v>
          </cell>
          <cell r="E6072" t="str">
            <v>02</v>
          </cell>
          <cell r="F6072" t="str">
            <v>PAQ35a40</v>
          </cell>
          <cell r="G6072" t="str">
            <v>B</v>
          </cell>
          <cell r="H6072">
            <v>30.29</v>
          </cell>
        </row>
        <row r="6073">
          <cell r="A6073" t="str">
            <v>1;02;P;F;</v>
          </cell>
          <cell r="B6073">
            <v>730069</v>
          </cell>
          <cell r="C6073" t="str">
            <v>P</v>
          </cell>
          <cell r="D6073" t="str">
            <v>PROVINCIAL</v>
          </cell>
          <cell r="E6073" t="str">
            <v>02</v>
          </cell>
          <cell r="F6073" t="str">
            <v/>
          </cell>
          <cell r="G6073" t="str">
            <v>F</v>
          </cell>
          <cell r="H6073">
            <v>3.09</v>
          </cell>
        </row>
        <row r="6074">
          <cell r="A6074" t="str">
            <v>1;02;P;E;</v>
          </cell>
          <cell r="B6074">
            <v>730069</v>
          </cell>
          <cell r="C6074" t="str">
            <v>P</v>
          </cell>
          <cell r="D6074" t="str">
            <v>PROVINCIAL</v>
          </cell>
          <cell r="E6074" t="str">
            <v>02</v>
          </cell>
          <cell r="F6074" t="str">
            <v/>
          </cell>
          <cell r="G6074" t="str">
            <v>E</v>
          </cell>
          <cell r="H6074">
            <v>11.83</v>
          </cell>
        </row>
        <row r="6075">
          <cell r="A6075" t="str">
            <v>1;02;P;P;</v>
          </cell>
          <cell r="B6075">
            <v>730069</v>
          </cell>
          <cell r="C6075" t="str">
            <v>P</v>
          </cell>
          <cell r="D6075" t="str">
            <v>PROVINCIAL</v>
          </cell>
          <cell r="E6075" t="str">
            <v>02</v>
          </cell>
          <cell r="F6075" t="str">
            <v/>
          </cell>
          <cell r="G6075" t="str">
            <v>P</v>
          </cell>
          <cell r="H6075">
            <v>11.83</v>
          </cell>
        </row>
        <row r="6076">
          <cell r="A6076" t="str">
            <v>1;03;P;B;BAG</v>
          </cell>
          <cell r="B6076">
            <v>730069</v>
          </cell>
          <cell r="C6076" t="str">
            <v>P</v>
          </cell>
          <cell r="D6076" t="str">
            <v>PROVINCIAL</v>
          </cell>
          <cell r="E6076" t="str">
            <v>03</v>
          </cell>
          <cell r="F6076" t="str">
            <v>BAG</v>
          </cell>
          <cell r="G6076" t="str">
            <v>B</v>
          </cell>
          <cell r="H6076">
            <v>12.14</v>
          </cell>
        </row>
        <row r="6077">
          <cell r="A6077" t="str">
            <v>1;03;P;B;DOCS</v>
          </cell>
          <cell r="B6077">
            <v>730069</v>
          </cell>
          <cell r="C6077" t="str">
            <v>P</v>
          </cell>
          <cell r="D6077" t="str">
            <v>PROVINCIAL</v>
          </cell>
          <cell r="E6077" t="str">
            <v>03</v>
          </cell>
          <cell r="F6077" t="str">
            <v>DOCS</v>
          </cell>
          <cell r="G6077" t="str">
            <v>B</v>
          </cell>
          <cell r="H6077">
            <v>10.17</v>
          </cell>
        </row>
        <row r="6078">
          <cell r="A6078" t="str">
            <v>1;03;P;B;PAQ00a02</v>
          </cell>
          <cell r="B6078">
            <v>730069</v>
          </cell>
          <cell r="C6078" t="str">
            <v>P</v>
          </cell>
          <cell r="D6078" t="str">
            <v>PROVINCIAL</v>
          </cell>
          <cell r="E6078" t="str">
            <v>03</v>
          </cell>
          <cell r="F6078" t="str">
            <v>PAQ00a02</v>
          </cell>
          <cell r="G6078" t="str">
            <v>B</v>
          </cell>
          <cell r="H6078">
            <v>12.77</v>
          </cell>
        </row>
        <row r="6079">
          <cell r="A6079" t="str">
            <v>1;03;P;B;PAQ02a05</v>
          </cell>
          <cell r="B6079">
            <v>730069</v>
          </cell>
          <cell r="C6079" t="str">
            <v>P</v>
          </cell>
          <cell r="D6079" t="str">
            <v>PROVINCIAL</v>
          </cell>
          <cell r="E6079" t="str">
            <v>03</v>
          </cell>
          <cell r="F6079" t="str">
            <v>PAQ02a05</v>
          </cell>
          <cell r="G6079" t="str">
            <v>B</v>
          </cell>
          <cell r="H6079">
            <v>12.77</v>
          </cell>
        </row>
        <row r="6080">
          <cell r="A6080" t="str">
            <v>1;03;P;B;PAQ05a10</v>
          </cell>
          <cell r="B6080">
            <v>730069</v>
          </cell>
          <cell r="C6080" t="str">
            <v>P</v>
          </cell>
          <cell r="D6080" t="str">
            <v>PROVINCIAL</v>
          </cell>
          <cell r="E6080" t="str">
            <v>03</v>
          </cell>
          <cell r="F6080" t="str">
            <v>PAQ05a10</v>
          </cell>
          <cell r="G6080" t="str">
            <v>B</v>
          </cell>
          <cell r="H6080">
            <v>21.78</v>
          </cell>
        </row>
        <row r="6081">
          <cell r="A6081" t="str">
            <v>1;03;P;B;PAQ10a15</v>
          </cell>
          <cell r="B6081">
            <v>730069</v>
          </cell>
          <cell r="C6081" t="str">
            <v>P</v>
          </cell>
          <cell r="D6081" t="str">
            <v>PROVINCIAL</v>
          </cell>
          <cell r="E6081" t="str">
            <v>03</v>
          </cell>
          <cell r="F6081" t="str">
            <v>PAQ10a15</v>
          </cell>
          <cell r="G6081" t="str">
            <v>B</v>
          </cell>
          <cell r="H6081">
            <v>31.76</v>
          </cell>
        </row>
        <row r="6082">
          <cell r="A6082" t="str">
            <v>1;03;P;B;PAQ15a20</v>
          </cell>
          <cell r="B6082">
            <v>730069</v>
          </cell>
          <cell r="C6082" t="str">
            <v>P</v>
          </cell>
          <cell r="D6082" t="str">
            <v>PROVINCIAL</v>
          </cell>
          <cell r="E6082" t="str">
            <v>03</v>
          </cell>
          <cell r="F6082" t="str">
            <v>PAQ15a20</v>
          </cell>
          <cell r="G6082" t="str">
            <v>B</v>
          </cell>
          <cell r="H6082">
            <v>41.75</v>
          </cell>
        </row>
        <row r="6083">
          <cell r="A6083" t="str">
            <v>1;03;P;B;PAQ20a25</v>
          </cell>
          <cell r="B6083">
            <v>730069</v>
          </cell>
          <cell r="C6083" t="str">
            <v>P</v>
          </cell>
          <cell r="D6083" t="str">
            <v>PROVINCIAL</v>
          </cell>
          <cell r="E6083" t="str">
            <v>03</v>
          </cell>
          <cell r="F6083" t="str">
            <v>PAQ20a25</v>
          </cell>
          <cell r="G6083" t="str">
            <v>B</v>
          </cell>
          <cell r="H6083">
            <v>51.72</v>
          </cell>
        </row>
        <row r="6084">
          <cell r="A6084" t="str">
            <v>1;03;P;B;PAQ25a30</v>
          </cell>
          <cell r="B6084">
            <v>730069</v>
          </cell>
          <cell r="C6084" t="str">
            <v>P</v>
          </cell>
          <cell r="D6084" t="str">
            <v>PROVINCIAL</v>
          </cell>
          <cell r="E6084" t="str">
            <v>03</v>
          </cell>
          <cell r="F6084" t="str">
            <v>PAQ25a30</v>
          </cell>
          <cell r="G6084" t="str">
            <v>B</v>
          </cell>
          <cell r="H6084">
            <v>61.71</v>
          </cell>
        </row>
        <row r="6085">
          <cell r="A6085" t="str">
            <v>1;03;P;B;PAQ30a35</v>
          </cell>
          <cell r="B6085">
            <v>730069</v>
          </cell>
          <cell r="C6085" t="str">
            <v>P</v>
          </cell>
          <cell r="D6085" t="str">
            <v>PROVINCIAL</v>
          </cell>
          <cell r="E6085" t="str">
            <v>03</v>
          </cell>
          <cell r="F6085" t="str">
            <v>PAQ30a35</v>
          </cell>
          <cell r="G6085" t="str">
            <v>B</v>
          </cell>
          <cell r="H6085">
            <v>71.69</v>
          </cell>
        </row>
        <row r="6086">
          <cell r="A6086" t="str">
            <v>1;03;P;B;PAQ35a40</v>
          </cell>
          <cell r="B6086">
            <v>730069</v>
          </cell>
          <cell r="C6086" t="str">
            <v>P</v>
          </cell>
          <cell r="D6086" t="str">
            <v>PROVINCIAL</v>
          </cell>
          <cell r="E6086" t="str">
            <v>03</v>
          </cell>
          <cell r="F6086" t="str">
            <v>PAQ35a40</v>
          </cell>
          <cell r="G6086" t="str">
            <v>B</v>
          </cell>
          <cell r="H6086">
            <v>81.680000000000007</v>
          </cell>
        </row>
        <row r="6087">
          <cell r="A6087" t="str">
            <v>1;03;P;F;</v>
          </cell>
          <cell r="B6087">
            <v>730069</v>
          </cell>
          <cell r="C6087" t="str">
            <v>P</v>
          </cell>
          <cell r="D6087" t="str">
            <v>PROVINCIAL</v>
          </cell>
          <cell r="E6087" t="str">
            <v>03</v>
          </cell>
          <cell r="F6087" t="str">
            <v/>
          </cell>
          <cell r="G6087" t="str">
            <v>F</v>
          </cell>
          <cell r="H6087">
            <v>9.99</v>
          </cell>
        </row>
        <row r="6088">
          <cell r="A6088" t="str">
            <v>1;03;P;E;</v>
          </cell>
          <cell r="B6088">
            <v>730069</v>
          </cell>
          <cell r="C6088" t="str">
            <v>P</v>
          </cell>
          <cell r="D6088" t="str">
            <v>PROVINCIAL</v>
          </cell>
          <cell r="E6088" t="str">
            <v>03</v>
          </cell>
          <cell r="F6088" t="str">
            <v/>
          </cell>
          <cell r="G6088" t="str">
            <v>E</v>
          </cell>
          <cell r="H6088">
            <v>12.77</v>
          </cell>
        </row>
        <row r="6089">
          <cell r="A6089" t="str">
            <v>1;03;P;P;</v>
          </cell>
          <cell r="B6089">
            <v>730069</v>
          </cell>
          <cell r="C6089" t="str">
            <v>P</v>
          </cell>
          <cell r="D6089" t="str">
            <v>PROVINCIAL</v>
          </cell>
          <cell r="E6089" t="str">
            <v>03</v>
          </cell>
          <cell r="F6089" t="str">
            <v/>
          </cell>
          <cell r="G6089" t="str">
            <v>P</v>
          </cell>
          <cell r="H6089">
            <v>12.77</v>
          </cell>
        </row>
        <row r="6090">
          <cell r="A6090" t="str">
            <v>1;04;P;B;BAG</v>
          </cell>
          <cell r="B6090">
            <v>730069</v>
          </cell>
          <cell r="C6090" t="str">
            <v>P</v>
          </cell>
          <cell r="D6090" t="str">
            <v>PROVINCIAL</v>
          </cell>
          <cell r="E6090" t="str">
            <v>04</v>
          </cell>
          <cell r="F6090" t="str">
            <v>BAG</v>
          </cell>
          <cell r="G6090" t="str">
            <v>B</v>
          </cell>
          <cell r="H6090">
            <v>5.66</v>
          </cell>
        </row>
        <row r="6091">
          <cell r="A6091" t="str">
            <v>1;05;P;B;BAG</v>
          </cell>
          <cell r="B6091">
            <v>730069</v>
          </cell>
          <cell r="C6091" t="str">
            <v>P</v>
          </cell>
          <cell r="D6091" t="str">
            <v>PROVINCIAL</v>
          </cell>
          <cell r="E6091" t="str">
            <v>05</v>
          </cell>
          <cell r="F6091" t="str">
            <v>BAG</v>
          </cell>
          <cell r="G6091" t="str">
            <v>B</v>
          </cell>
          <cell r="H6091">
            <v>5.66</v>
          </cell>
        </row>
        <row r="6092">
          <cell r="A6092" t="str">
            <v>1;06;P;B;BAG</v>
          </cell>
          <cell r="B6092">
            <v>730069</v>
          </cell>
          <cell r="C6092" t="str">
            <v>P</v>
          </cell>
          <cell r="D6092" t="str">
            <v>PROVINCIAL</v>
          </cell>
          <cell r="E6092" t="str">
            <v>06</v>
          </cell>
          <cell r="F6092" t="str">
            <v>BAG</v>
          </cell>
          <cell r="G6092" t="str">
            <v>B</v>
          </cell>
          <cell r="H6092">
            <v>0</v>
          </cell>
        </row>
        <row r="6093">
          <cell r="A6093" t="str">
            <v>1;06;P;B;DOCS</v>
          </cell>
          <cell r="B6093">
            <v>730069</v>
          </cell>
          <cell r="C6093" t="str">
            <v>P</v>
          </cell>
          <cell r="D6093" t="str">
            <v>PROVINCIAL</v>
          </cell>
          <cell r="E6093" t="str">
            <v>06</v>
          </cell>
          <cell r="F6093" t="str">
            <v>DOCS</v>
          </cell>
          <cell r="G6093" t="str">
            <v>B</v>
          </cell>
          <cell r="H6093">
            <v>0</v>
          </cell>
        </row>
        <row r="6094">
          <cell r="A6094" t="str">
            <v>1;06;P;B;PAQ00a05</v>
          </cell>
          <cell r="B6094">
            <v>730069</v>
          </cell>
          <cell r="C6094" t="str">
            <v>P</v>
          </cell>
          <cell r="D6094" t="str">
            <v>PROVINCIAL</v>
          </cell>
          <cell r="E6094" t="str">
            <v>06</v>
          </cell>
          <cell r="F6094" t="str">
            <v>PAQ00a05</v>
          </cell>
          <cell r="G6094" t="str">
            <v>B</v>
          </cell>
          <cell r="H6094">
            <v>0</v>
          </cell>
        </row>
        <row r="6095">
          <cell r="A6095" t="str">
            <v>1;06;P;B;PAQ05a10</v>
          </cell>
          <cell r="B6095">
            <v>730069</v>
          </cell>
          <cell r="C6095" t="str">
            <v>P</v>
          </cell>
          <cell r="D6095" t="str">
            <v>PROVINCIAL</v>
          </cell>
          <cell r="E6095" t="str">
            <v>06</v>
          </cell>
          <cell r="F6095" t="str">
            <v>PAQ05a10</v>
          </cell>
          <cell r="G6095" t="str">
            <v>B</v>
          </cell>
          <cell r="H6095">
            <v>0</v>
          </cell>
        </row>
        <row r="6096">
          <cell r="A6096" t="str">
            <v>1;06;P;B;PAQ10a15</v>
          </cell>
          <cell r="B6096">
            <v>730069</v>
          </cell>
          <cell r="C6096" t="str">
            <v>P</v>
          </cell>
          <cell r="D6096" t="str">
            <v>PROVINCIAL</v>
          </cell>
          <cell r="E6096" t="str">
            <v>06</v>
          </cell>
          <cell r="F6096" t="str">
            <v>PAQ10a15</v>
          </cell>
          <cell r="G6096" t="str">
            <v>B</v>
          </cell>
          <cell r="H6096">
            <v>0</v>
          </cell>
        </row>
        <row r="6097">
          <cell r="A6097" t="str">
            <v>1;06;P;B;PAQ15a20</v>
          </cell>
          <cell r="B6097">
            <v>730069</v>
          </cell>
          <cell r="C6097" t="str">
            <v>P</v>
          </cell>
          <cell r="D6097" t="str">
            <v>PROVINCIAL</v>
          </cell>
          <cell r="E6097" t="str">
            <v>06</v>
          </cell>
          <cell r="F6097" t="str">
            <v>PAQ15a20</v>
          </cell>
          <cell r="G6097" t="str">
            <v>B</v>
          </cell>
          <cell r="H6097">
            <v>0</v>
          </cell>
        </row>
        <row r="6098">
          <cell r="A6098" t="str">
            <v>1;06;P;B;PAQ20a25</v>
          </cell>
          <cell r="B6098">
            <v>730069</v>
          </cell>
          <cell r="C6098" t="str">
            <v>P</v>
          </cell>
          <cell r="D6098" t="str">
            <v>PROVINCIAL</v>
          </cell>
          <cell r="E6098" t="str">
            <v>06</v>
          </cell>
          <cell r="F6098" t="str">
            <v>PAQ20a25</v>
          </cell>
          <cell r="G6098" t="str">
            <v>B</v>
          </cell>
          <cell r="H6098">
            <v>0</v>
          </cell>
        </row>
        <row r="6099">
          <cell r="A6099" t="str">
            <v>1;06;P;B;PAQ25a30</v>
          </cell>
          <cell r="B6099">
            <v>730069</v>
          </cell>
          <cell r="C6099" t="str">
            <v>P</v>
          </cell>
          <cell r="D6099" t="str">
            <v>PROVINCIAL</v>
          </cell>
          <cell r="E6099" t="str">
            <v>06</v>
          </cell>
          <cell r="F6099" t="str">
            <v>PAQ25a30</v>
          </cell>
          <cell r="G6099" t="str">
            <v>B</v>
          </cell>
          <cell r="H6099">
            <v>0</v>
          </cell>
        </row>
        <row r="6100">
          <cell r="A6100" t="str">
            <v>1;06;P;B;PAQ30a35</v>
          </cell>
          <cell r="B6100">
            <v>730069</v>
          </cell>
          <cell r="C6100" t="str">
            <v>P</v>
          </cell>
          <cell r="D6100" t="str">
            <v>PROVINCIAL</v>
          </cell>
          <cell r="E6100" t="str">
            <v>06</v>
          </cell>
          <cell r="F6100" t="str">
            <v>PAQ30a35</v>
          </cell>
          <cell r="G6100" t="str">
            <v>B</v>
          </cell>
          <cell r="H6100">
            <v>0</v>
          </cell>
        </row>
        <row r="6101">
          <cell r="A6101" t="str">
            <v>1;06;P;B;PAQ35a40</v>
          </cell>
          <cell r="B6101">
            <v>730069</v>
          </cell>
          <cell r="C6101" t="str">
            <v>P</v>
          </cell>
          <cell r="D6101" t="str">
            <v>PROVINCIAL</v>
          </cell>
          <cell r="E6101" t="str">
            <v>06</v>
          </cell>
          <cell r="F6101" t="str">
            <v>PAQ35a40</v>
          </cell>
          <cell r="G6101" t="str">
            <v>B</v>
          </cell>
          <cell r="H6101">
            <v>0</v>
          </cell>
        </row>
        <row r="6102">
          <cell r="A6102" t="str">
            <v>1;06;P;F;</v>
          </cell>
          <cell r="B6102">
            <v>730069</v>
          </cell>
          <cell r="C6102" t="str">
            <v>P</v>
          </cell>
          <cell r="D6102" t="str">
            <v>PROVINCIAL</v>
          </cell>
          <cell r="E6102" t="str">
            <v>06</v>
          </cell>
          <cell r="F6102" t="str">
            <v/>
          </cell>
          <cell r="G6102" t="str">
            <v>F</v>
          </cell>
          <cell r="H6102">
            <v>0</v>
          </cell>
        </row>
        <row r="6103">
          <cell r="A6103" t="str">
            <v>1;06;P;E;</v>
          </cell>
          <cell r="B6103">
            <v>730069</v>
          </cell>
          <cell r="C6103" t="str">
            <v>P</v>
          </cell>
          <cell r="D6103" t="str">
            <v>PROVINCIAL</v>
          </cell>
          <cell r="E6103" t="str">
            <v>06</v>
          </cell>
          <cell r="F6103" t="str">
            <v/>
          </cell>
          <cell r="G6103" t="str">
            <v>E</v>
          </cell>
          <cell r="H6103">
            <v>11.83</v>
          </cell>
        </row>
        <row r="6104">
          <cell r="A6104" t="str">
            <v>1;06;P;P;</v>
          </cell>
          <cell r="B6104">
            <v>730069</v>
          </cell>
          <cell r="C6104" t="str">
            <v>P</v>
          </cell>
          <cell r="D6104" t="str">
            <v>PROVINCIAL</v>
          </cell>
          <cell r="E6104" t="str">
            <v>06</v>
          </cell>
          <cell r="F6104" t="str">
            <v/>
          </cell>
          <cell r="G6104" t="str">
            <v>P</v>
          </cell>
          <cell r="H6104">
            <v>11.83</v>
          </cell>
        </row>
        <row r="6105">
          <cell r="A6105" t="str">
            <v>1;07;P;B;BAG</v>
          </cell>
          <cell r="B6105">
            <v>730069</v>
          </cell>
          <cell r="C6105" t="str">
            <v>P</v>
          </cell>
          <cell r="D6105" t="str">
            <v>PROVINCIAL</v>
          </cell>
          <cell r="E6105" t="str">
            <v>07</v>
          </cell>
          <cell r="F6105" t="str">
            <v>BAG</v>
          </cell>
          <cell r="G6105" t="str">
            <v>B</v>
          </cell>
          <cell r="H6105">
            <v>0</v>
          </cell>
        </row>
        <row r="6106">
          <cell r="A6106" t="str">
            <v>1;07;P;B;DOCS</v>
          </cell>
          <cell r="B6106">
            <v>730069</v>
          </cell>
          <cell r="C6106" t="str">
            <v>P</v>
          </cell>
          <cell r="D6106" t="str">
            <v>PROVINCIAL</v>
          </cell>
          <cell r="E6106" t="str">
            <v>07</v>
          </cell>
          <cell r="F6106" t="str">
            <v>DOCS</v>
          </cell>
          <cell r="G6106" t="str">
            <v>B</v>
          </cell>
          <cell r="H6106">
            <v>0</v>
          </cell>
        </row>
        <row r="6107">
          <cell r="A6107" t="str">
            <v>1;07;P;B;PAQ00a05</v>
          </cell>
          <cell r="B6107">
            <v>730069</v>
          </cell>
          <cell r="C6107" t="str">
            <v>P</v>
          </cell>
          <cell r="D6107" t="str">
            <v>PROVINCIAL</v>
          </cell>
          <cell r="E6107" t="str">
            <v>07</v>
          </cell>
          <cell r="F6107" t="str">
            <v>PAQ00a05</v>
          </cell>
          <cell r="G6107" t="str">
            <v>B</v>
          </cell>
          <cell r="H6107">
            <v>0</v>
          </cell>
        </row>
        <row r="6108">
          <cell r="A6108" t="str">
            <v>1;07;P;B;PAQ05a10</v>
          </cell>
          <cell r="B6108">
            <v>730069</v>
          </cell>
          <cell r="C6108" t="str">
            <v>P</v>
          </cell>
          <cell r="D6108" t="str">
            <v>PROVINCIAL</v>
          </cell>
          <cell r="E6108" t="str">
            <v>07</v>
          </cell>
          <cell r="F6108" t="str">
            <v>PAQ05a10</v>
          </cell>
          <cell r="G6108" t="str">
            <v>B</v>
          </cell>
          <cell r="H6108">
            <v>0</v>
          </cell>
        </row>
        <row r="6109">
          <cell r="A6109" t="str">
            <v>1;07;P;B;PAQ10a15</v>
          </cell>
          <cell r="B6109">
            <v>730069</v>
          </cell>
          <cell r="C6109" t="str">
            <v>P</v>
          </cell>
          <cell r="D6109" t="str">
            <v>PROVINCIAL</v>
          </cell>
          <cell r="E6109" t="str">
            <v>07</v>
          </cell>
          <cell r="F6109" t="str">
            <v>PAQ10a15</v>
          </cell>
          <cell r="G6109" t="str">
            <v>B</v>
          </cell>
          <cell r="H6109">
            <v>0</v>
          </cell>
        </row>
        <row r="6110">
          <cell r="A6110" t="str">
            <v>1;07;P;B;PAQ15a20</v>
          </cell>
          <cell r="B6110">
            <v>730069</v>
          </cell>
          <cell r="C6110" t="str">
            <v>P</v>
          </cell>
          <cell r="D6110" t="str">
            <v>PROVINCIAL</v>
          </cell>
          <cell r="E6110" t="str">
            <v>07</v>
          </cell>
          <cell r="F6110" t="str">
            <v>PAQ15a20</v>
          </cell>
          <cell r="G6110" t="str">
            <v>B</v>
          </cell>
          <cell r="H6110">
            <v>0</v>
          </cell>
        </row>
        <row r="6111">
          <cell r="A6111" t="str">
            <v>1;07;P;B;PAQ20a25</v>
          </cell>
          <cell r="B6111">
            <v>730069</v>
          </cell>
          <cell r="C6111" t="str">
            <v>P</v>
          </cell>
          <cell r="D6111" t="str">
            <v>PROVINCIAL</v>
          </cell>
          <cell r="E6111" t="str">
            <v>07</v>
          </cell>
          <cell r="F6111" t="str">
            <v>PAQ20a25</v>
          </cell>
          <cell r="G6111" t="str">
            <v>B</v>
          </cell>
          <cell r="H6111">
            <v>0</v>
          </cell>
        </row>
        <row r="6112">
          <cell r="A6112" t="str">
            <v>1;07;P;B;PAQ25a30</v>
          </cell>
          <cell r="B6112">
            <v>730069</v>
          </cell>
          <cell r="C6112" t="str">
            <v>P</v>
          </cell>
          <cell r="D6112" t="str">
            <v>PROVINCIAL</v>
          </cell>
          <cell r="E6112" t="str">
            <v>07</v>
          </cell>
          <cell r="F6112" t="str">
            <v>PAQ25a30</v>
          </cell>
          <cell r="G6112" t="str">
            <v>B</v>
          </cell>
          <cell r="H6112">
            <v>0</v>
          </cell>
        </row>
        <row r="6113">
          <cell r="A6113" t="str">
            <v>1;07;P;B;PAQ30a35</v>
          </cell>
          <cell r="B6113">
            <v>730069</v>
          </cell>
          <cell r="C6113" t="str">
            <v>P</v>
          </cell>
          <cell r="D6113" t="str">
            <v>PROVINCIAL</v>
          </cell>
          <cell r="E6113" t="str">
            <v>07</v>
          </cell>
          <cell r="F6113" t="str">
            <v>PAQ30a35</v>
          </cell>
          <cell r="G6113" t="str">
            <v>B</v>
          </cell>
          <cell r="H6113">
            <v>0</v>
          </cell>
        </row>
        <row r="6114">
          <cell r="A6114" t="str">
            <v>1;07;P;F;</v>
          </cell>
          <cell r="B6114">
            <v>730069</v>
          </cell>
          <cell r="C6114" t="str">
            <v>P</v>
          </cell>
          <cell r="D6114" t="str">
            <v>PROVINCIAL</v>
          </cell>
          <cell r="E6114" t="str">
            <v>07</v>
          </cell>
          <cell r="F6114" t="str">
            <v/>
          </cell>
          <cell r="G6114" t="str">
            <v>F</v>
          </cell>
          <cell r="H6114">
            <v>0</v>
          </cell>
        </row>
        <row r="6115">
          <cell r="A6115" t="str">
            <v>1;07;P;B;PAQ35a40</v>
          </cell>
          <cell r="B6115">
            <v>730069</v>
          </cell>
          <cell r="C6115" t="str">
            <v>P</v>
          </cell>
          <cell r="D6115" t="str">
            <v>PROVINCIAL</v>
          </cell>
          <cell r="E6115" t="str">
            <v>07</v>
          </cell>
          <cell r="F6115" t="str">
            <v>PAQ35a40</v>
          </cell>
          <cell r="G6115" t="str">
            <v>B</v>
          </cell>
          <cell r="H6115">
            <v>0</v>
          </cell>
        </row>
        <row r="6116">
          <cell r="A6116" t="str">
            <v>1;07;P;E;</v>
          </cell>
          <cell r="B6116">
            <v>730069</v>
          </cell>
          <cell r="C6116" t="str">
            <v>P</v>
          </cell>
          <cell r="D6116" t="str">
            <v>PROVINCIAL</v>
          </cell>
          <cell r="E6116" t="str">
            <v>07</v>
          </cell>
          <cell r="F6116" t="str">
            <v/>
          </cell>
          <cell r="G6116" t="str">
            <v>E</v>
          </cell>
          <cell r="H6116">
            <v>11.83</v>
          </cell>
        </row>
        <row r="6117">
          <cell r="A6117" t="str">
            <v>1;07;P;P;</v>
          </cell>
          <cell r="B6117">
            <v>730069</v>
          </cell>
          <cell r="C6117" t="str">
            <v>P</v>
          </cell>
          <cell r="D6117" t="str">
            <v>PROVINCIAL</v>
          </cell>
          <cell r="E6117" t="str">
            <v>07</v>
          </cell>
          <cell r="F6117" t="str">
            <v/>
          </cell>
          <cell r="G6117" t="str">
            <v>P</v>
          </cell>
          <cell r="H6117">
            <v>11.83</v>
          </cell>
        </row>
        <row r="6118">
          <cell r="A6118" t="str">
            <v>1;08;P;B;BAG</v>
          </cell>
          <cell r="B6118">
            <v>730069</v>
          </cell>
          <cell r="C6118" t="str">
            <v>P</v>
          </cell>
          <cell r="D6118" t="str">
            <v>PROVINCIAL</v>
          </cell>
          <cell r="E6118" t="str">
            <v>08</v>
          </cell>
          <cell r="F6118" t="str">
            <v>BAG</v>
          </cell>
          <cell r="G6118" t="str">
            <v>B</v>
          </cell>
          <cell r="H6118">
            <v>4.2</v>
          </cell>
        </row>
        <row r="6119">
          <cell r="A6119" t="str">
            <v>1;08;P;B;DOCS</v>
          </cell>
          <cell r="B6119">
            <v>730069</v>
          </cell>
          <cell r="C6119" t="str">
            <v>P</v>
          </cell>
          <cell r="D6119" t="str">
            <v>PROVINCIAL</v>
          </cell>
          <cell r="E6119" t="str">
            <v>08</v>
          </cell>
          <cell r="F6119" t="str">
            <v>DOCS</v>
          </cell>
          <cell r="G6119" t="str">
            <v>B</v>
          </cell>
          <cell r="H6119">
            <v>5.81</v>
          </cell>
        </row>
        <row r="6120">
          <cell r="A6120" t="str">
            <v>1;08;P;B;PAQ00a02</v>
          </cell>
          <cell r="B6120">
            <v>730069</v>
          </cell>
          <cell r="C6120" t="str">
            <v>P</v>
          </cell>
          <cell r="D6120" t="str">
            <v>PROVINCIAL</v>
          </cell>
          <cell r="E6120" t="str">
            <v>08</v>
          </cell>
          <cell r="F6120" t="str">
            <v>PAQ00a02</v>
          </cell>
          <cell r="G6120" t="str">
            <v>B</v>
          </cell>
          <cell r="H6120">
            <v>4.2</v>
          </cell>
        </row>
        <row r="6121">
          <cell r="A6121" t="str">
            <v>1;08;P;B;PAQ02a05</v>
          </cell>
          <cell r="B6121">
            <v>730069</v>
          </cell>
          <cell r="C6121" t="str">
            <v>P</v>
          </cell>
          <cell r="D6121" t="str">
            <v>PROVINCIAL</v>
          </cell>
          <cell r="E6121" t="str">
            <v>08</v>
          </cell>
          <cell r="F6121" t="str">
            <v>PAQ02a05</v>
          </cell>
          <cell r="G6121" t="str">
            <v>B</v>
          </cell>
          <cell r="H6121">
            <v>5.78</v>
          </cell>
        </row>
        <row r="6122">
          <cell r="A6122" t="str">
            <v>1;08;P;B;PAQ05a10</v>
          </cell>
          <cell r="B6122">
            <v>730069</v>
          </cell>
          <cell r="C6122" t="str">
            <v>P</v>
          </cell>
          <cell r="D6122" t="str">
            <v>PROVINCIAL</v>
          </cell>
          <cell r="E6122" t="str">
            <v>08</v>
          </cell>
          <cell r="F6122" t="str">
            <v>PAQ05a10</v>
          </cell>
          <cell r="G6122" t="str">
            <v>B</v>
          </cell>
          <cell r="H6122">
            <v>7.25</v>
          </cell>
        </row>
        <row r="6123">
          <cell r="A6123" t="str">
            <v>1;08;P;B;PAQ10a15</v>
          </cell>
          <cell r="B6123">
            <v>730069</v>
          </cell>
          <cell r="C6123" t="str">
            <v>P</v>
          </cell>
          <cell r="D6123" t="str">
            <v>PROVINCIAL</v>
          </cell>
          <cell r="E6123" t="str">
            <v>08</v>
          </cell>
          <cell r="F6123" t="str">
            <v>PAQ10a15</v>
          </cell>
          <cell r="G6123" t="str">
            <v>B</v>
          </cell>
          <cell r="H6123">
            <v>10.29</v>
          </cell>
        </row>
        <row r="6124">
          <cell r="A6124" t="str">
            <v>1;08;P;B;PAQ15a20</v>
          </cell>
          <cell r="B6124">
            <v>730069</v>
          </cell>
          <cell r="C6124" t="str">
            <v>P</v>
          </cell>
          <cell r="D6124" t="str">
            <v>PROVINCIAL</v>
          </cell>
          <cell r="E6124" t="str">
            <v>08</v>
          </cell>
          <cell r="F6124" t="str">
            <v>PAQ15a20</v>
          </cell>
          <cell r="G6124" t="str">
            <v>B</v>
          </cell>
          <cell r="H6124">
            <v>13.02</v>
          </cell>
        </row>
        <row r="6125">
          <cell r="A6125" t="str">
            <v>1;08;P;B;PAQ20a25</v>
          </cell>
          <cell r="B6125">
            <v>730069</v>
          </cell>
          <cell r="C6125" t="str">
            <v>P</v>
          </cell>
          <cell r="D6125" t="str">
            <v>PROVINCIAL</v>
          </cell>
          <cell r="E6125" t="str">
            <v>08</v>
          </cell>
          <cell r="F6125" t="str">
            <v>PAQ20a25</v>
          </cell>
          <cell r="G6125" t="str">
            <v>B</v>
          </cell>
          <cell r="H6125">
            <v>15.96</v>
          </cell>
        </row>
        <row r="6126">
          <cell r="A6126" t="str">
            <v>1;08;P;B;PAQ25a30</v>
          </cell>
          <cell r="B6126">
            <v>730069</v>
          </cell>
          <cell r="C6126" t="str">
            <v>P</v>
          </cell>
          <cell r="D6126" t="str">
            <v>PROVINCIAL</v>
          </cell>
          <cell r="E6126" t="str">
            <v>08</v>
          </cell>
          <cell r="F6126" t="str">
            <v>PAQ25a30</v>
          </cell>
          <cell r="G6126" t="str">
            <v>B</v>
          </cell>
          <cell r="H6126">
            <v>18.899999999999999</v>
          </cell>
        </row>
        <row r="6127">
          <cell r="A6127" t="str">
            <v>1;08;P;B;PAQ30a35</v>
          </cell>
          <cell r="B6127">
            <v>730069</v>
          </cell>
          <cell r="C6127" t="str">
            <v>P</v>
          </cell>
          <cell r="D6127" t="str">
            <v>PROVINCIAL</v>
          </cell>
          <cell r="E6127" t="str">
            <v>08</v>
          </cell>
          <cell r="F6127" t="str">
            <v>PAQ30a35</v>
          </cell>
          <cell r="G6127" t="str">
            <v>B</v>
          </cell>
          <cell r="H6127">
            <v>21.84</v>
          </cell>
        </row>
        <row r="6128">
          <cell r="A6128" t="str">
            <v>1;08;P;B;PAQ35a40</v>
          </cell>
          <cell r="B6128">
            <v>730069</v>
          </cell>
          <cell r="C6128" t="str">
            <v>P</v>
          </cell>
          <cell r="D6128" t="str">
            <v>PROVINCIAL</v>
          </cell>
          <cell r="E6128" t="str">
            <v>08</v>
          </cell>
          <cell r="F6128" t="str">
            <v>PAQ35a40</v>
          </cell>
          <cell r="G6128" t="str">
            <v>B</v>
          </cell>
          <cell r="H6128">
            <v>24.78</v>
          </cell>
        </row>
        <row r="6129">
          <cell r="A6129" t="str">
            <v>1;08;P;F;</v>
          </cell>
          <cell r="B6129">
            <v>730069</v>
          </cell>
          <cell r="C6129" t="str">
            <v>P</v>
          </cell>
          <cell r="D6129" t="str">
            <v>PROVINCIAL</v>
          </cell>
          <cell r="E6129" t="str">
            <v>08</v>
          </cell>
          <cell r="F6129" t="str">
            <v/>
          </cell>
          <cell r="G6129" t="str">
            <v>F</v>
          </cell>
          <cell r="H6129">
            <v>3.68</v>
          </cell>
        </row>
        <row r="6130">
          <cell r="A6130" t="str">
            <v>1;08;P;E;</v>
          </cell>
          <cell r="B6130">
            <v>730069</v>
          </cell>
          <cell r="C6130" t="str">
            <v>P</v>
          </cell>
          <cell r="D6130" t="str">
            <v>PROVINCIAL</v>
          </cell>
          <cell r="E6130" t="str">
            <v>08</v>
          </cell>
          <cell r="F6130" t="str">
            <v/>
          </cell>
          <cell r="G6130" t="str">
            <v>E</v>
          </cell>
          <cell r="H6130">
            <v>4.7300000000000004</v>
          </cell>
        </row>
        <row r="6131">
          <cell r="A6131" t="str">
            <v>1;08;P;P;</v>
          </cell>
          <cell r="B6131">
            <v>730069</v>
          </cell>
          <cell r="C6131" t="str">
            <v>P</v>
          </cell>
          <cell r="D6131" t="str">
            <v>PROVINCIAL</v>
          </cell>
          <cell r="E6131" t="str">
            <v>08</v>
          </cell>
          <cell r="F6131" t="str">
            <v/>
          </cell>
          <cell r="G6131" t="str">
            <v>P</v>
          </cell>
          <cell r="H6131">
            <v>3.68</v>
          </cell>
        </row>
        <row r="6132">
          <cell r="A6132" t="str">
            <v>1;10;P;B;BAG</v>
          </cell>
          <cell r="B6132">
            <v>730069</v>
          </cell>
          <cell r="C6132" t="str">
            <v>P</v>
          </cell>
          <cell r="D6132" t="str">
            <v>PROVINCIAL</v>
          </cell>
          <cell r="E6132" t="str">
            <v>10</v>
          </cell>
          <cell r="F6132" t="str">
            <v>BAG</v>
          </cell>
          <cell r="G6132" t="str">
            <v>B</v>
          </cell>
          <cell r="H6132">
            <v>1.67</v>
          </cell>
        </row>
        <row r="6133">
          <cell r="A6133" t="str">
            <v>1;10;P;B;DOCS</v>
          </cell>
          <cell r="B6133">
            <v>730069</v>
          </cell>
          <cell r="C6133" t="str">
            <v>P</v>
          </cell>
          <cell r="D6133" t="str">
            <v>PROVINCIAL</v>
          </cell>
          <cell r="E6133" t="str">
            <v>10</v>
          </cell>
          <cell r="F6133" t="str">
            <v>DOCS</v>
          </cell>
          <cell r="G6133" t="str">
            <v>B</v>
          </cell>
          <cell r="H6133">
            <v>1.67</v>
          </cell>
        </row>
        <row r="6134">
          <cell r="A6134" t="str">
            <v>1;11;P;B;BAG</v>
          </cell>
          <cell r="B6134">
            <v>730069</v>
          </cell>
          <cell r="C6134" t="str">
            <v>P</v>
          </cell>
          <cell r="D6134" t="str">
            <v>PROVINCIAL</v>
          </cell>
          <cell r="E6134" t="str">
            <v>11</v>
          </cell>
          <cell r="F6134" t="str">
            <v>BAG</v>
          </cell>
          <cell r="G6134" t="str">
            <v>B</v>
          </cell>
          <cell r="H6134">
            <v>23.39</v>
          </cell>
        </row>
        <row r="6135">
          <cell r="A6135" t="str">
            <v>1;11;P;B;DOCS</v>
          </cell>
          <cell r="B6135">
            <v>730069</v>
          </cell>
          <cell r="C6135" t="str">
            <v>P</v>
          </cell>
          <cell r="D6135" t="str">
            <v>PROVINCIAL</v>
          </cell>
          <cell r="E6135" t="str">
            <v>11</v>
          </cell>
          <cell r="F6135" t="str">
            <v>DOCS</v>
          </cell>
          <cell r="G6135" t="str">
            <v>B</v>
          </cell>
          <cell r="H6135">
            <v>21.42</v>
          </cell>
        </row>
        <row r="6136">
          <cell r="A6136" t="str">
            <v>1;11;P;B;PAQ00a02</v>
          </cell>
          <cell r="B6136">
            <v>730069</v>
          </cell>
          <cell r="C6136" t="str">
            <v>P</v>
          </cell>
          <cell r="D6136" t="str">
            <v>PROVINCIAL</v>
          </cell>
          <cell r="E6136" t="str">
            <v>11</v>
          </cell>
          <cell r="F6136" t="str">
            <v>PAQ00a02</v>
          </cell>
          <cell r="G6136" t="str">
            <v>B</v>
          </cell>
          <cell r="H6136">
            <v>24.06</v>
          </cell>
        </row>
        <row r="6137">
          <cell r="A6137" t="str">
            <v>1;11;P;B;PAQ02a05</v>
          </cell>
          <cell r="B6137">
            <v>730069</v>
          </cell>
          <cell r="C6137" t="str">
            <v>P</v>
          </cell>
          <cell r="D6137" t="str">
            <v>PROVINCIAL</v>
          </cell>
          <cell r="E6137" t="str">
            <v>11</v>
          </cell>
          <cell r="F6137" t="str">
            <v>PAQ02a05</v>
          </cell>
          <cell r="G6137" t="str">
            <v>B</v>
          </cell>
          <cell r="H6137">
            <v>24.06</v>
          </cell>
        </row>
        <row r="6138">
          <cell r="A6138" t="str">
            <v>1;11;P;B;PAQ05a10</v>
          </cell>
          <cell r="B6138">
            <v>730069</v>
          </cell>
          <cell r="C6138" t="str">
            <v>P</v>
          </cell>
          <cell r="D6138" t="str">
            <v>PROVINCIAL</v>
          </cell>
          <cell r="E6138" t="str">
            <v>11</v>
          </cell>
          <cell r="F6138" t="str">
            <v>PAQ05a10</v>
          </cell>
          <cell r="G6138" t="str">
            <v>B</v>
          </cell>
          <cell r="H6138">
            <v>33.020000000000003</v>
          </cell>
        </row>
        <row r="6139">
          <cell r="A6139" t="str">
            <v>1;11;P;B;PAQ10a15</v>
          </cell>
          <cell r="B6139">
            <v>730069</v>
          </cell>
          <cell r="C6139" t="str">
            <v>P</v>
          </cell>
          <cell r="D6139" t="str">
            <v>PROVINCIAL</v>
          </cell>
          <cell r="E6139" t="str">
            <v>11</v>
          </cell>
          <cell r="F6139" t="str">
            <v>PAQ10a15</v>
          </cell>
          <cell r="G6139" t="str">
            <v>B</v>
          </cell>
          <cell r="H6139">
            <v>43</v>
          </cell>
        </row>
        <row r="6140">
          <cell r="A6140" t="str">
            <v>1;11;P;B;PAQ15a20</v>
          </cell>
          <cell r="B6140">
            <v>730069</v>
          </cell>
          <cell r="C6140" t="str">
            <v>P</v>
          </cell>
          <cell r="D6140" t="str">
            <v>PROVINCIAL</v>
          </cell>
          <cell r="E6140" t="str">
            <v>11</v>
          </cell>
          <cell r="F6140" t="str">
            <v>PAQ15a20</v>
          </cell>
          <cell r="G6140" t="str">
            <v>B</v>
          </cell>
          <cell r="H6140">
            <v>52.98</v>
          </cell>
        </row>
        <row r="6141">
          <cell r="A6141" t="str">
            <v>1;11;P;B;PAQ20a25</v>
          </cell>
          <cell r="B6141">
            <v>730069</v>
          </cell>
          <cell r="C6141" t="str">
            <v>P</v>
          </cell>
          <cell r="D6141" t="str">
            <v>PROVINCIAL</v>
          </cell>
          <cell r="E6141" t="str">
            <v>11</v>
          </cell>
          <cell r="F6141" t="str">
            <v>PAQ20a25</v>
          </cell>
          <cell r="G6141" t="str">
            <v>B</v>
          </cell>
          <cell r="H6141">
            <v>62.97</v>
          </cell>
        </row>
        <row r="6142">
          <cell r="A6142" t="str">
            <v>1;11;P;B;PAQ25a30</v>
          </cell>
          <cell r="B6142">
            <v>730069</v>
          </cell>
          <cell r="C6142" t="str">
            <v>P</v>
          </cell>
          <cell r="D6142" t="str">
            <v>PROVINCIAL</v>
          </cell>
          <cell r="E6142" t="str">
            <v>11</v>
          </cell>
          <cell r="F6142" t="str">
            <v>PAQ25a30</v>
          </cell>
          <cell r="G6142" t="str">
            <v>B</v>
          </cell>
          <cell r="H6142">
            <v>72.94</v>
          </cell>
        </row>
        <row r="6143">
          <cell r="A6143" t="str">
            <v>1;11;P;B;PAQ30a35</v>
          </cell>
          <cell r="B6143">
            <v>730069</v>
          </cell>
          <cell r="C6143" t="str">
            <v>P</v>
          </cell>
          <cell r="D6143" t="str">
            <v>PROVINCIAL</v>
          </cell>
          <cell r="E6143" t="str">
            <v>11</v>
          </cell>
          <cell r="F6143" t="str">
            <v>PAQ30a35</v>
          </cell>
          <cell r="G6143" t="str">
            <v>B</v>
          </cell>
          <cell r="H6143">
            <v>82.93</v>
          </cell>
        </row>
        <row r="6144">
          <cell r="A6144" t="str">
            <v>1;11;P;F;</v>
          </cell>
          <cell r="B6144">
            <v>730069</v>
          </cell>
          <cell r="C6144" t="str">
            <v>P</v>
          </cell>
          <cell r="D6144" t="str">
            <v>PROVINCIAL</v>
          </cell>
          <cell r="E6144" t="str">
            <v>11</v>
          </cell>
          <cell r="F6144" t="str">
            <v/>
          </cell>
          <cell r="G6144" t="str">
            <v>F</v>
          </cell>
          <cell r="H6144">
            <v>9.99</v>
          </cell>
        </row>
        <row r="6145">
          <cell r="A6145" t="str">
            <v>1;11;P;B;PAQ35a40</v>
          </cell>
          <cell r="B6145">
            <v>730069</v>
          </cell>
          <cell r="C6145" t="str">
            <v>P</v>
          </cell>
          <cell r="D6145" t="str">
            <v>PROVINCIAL</v>
          </cell>
          <cell r="E6145" t="str">
            <v>11</v>
          </cell>
          <cell r="F6145" t="str">
            <v>PAQ35a40</v>
          </cell>
          <cell r="G6145" t="str">
            <v>B</v>
          </cell>
          <cell r="H6145">
            <v>92.91</v>
          </cell>
        </row>
        <row r="6146">
          <cell r="A6146" t="str">
            <v>1;11;P;E;</v>
          </cell>
          <cell r="B6146">
            <v>730069</v>
          </cell>
          <cell r="C6146" t="str">
            <v>P</v>
          </cell>
          <cell r="D6146" t="str">
            <v>PROVINCIAL</v>
          </cell>
          <cell r="E6146" t="str">
            <v>11</v>
          </cell>
          <cell r="F6146" t="str">
            <v/>
          </cell>
          <cell r="G6146" t="str">
            <v>E</v>
          </cell>
          <cell r="H6146">
            <v>12.77</v>
          </cell>
        </row>
        <row r="6147">
          <cell r="A6147" t="str">
            <v>1;11;P;P;</v>
          </cell>
          <cell r="B6147">
            <v>730069</v>
          </cell>
          <cell r="C6147" t="str">
            <v>P</v>
          </cell>
          <cell r="D6147" t="str">
            <v>PROVINCIAL</v>
          </cell>
          <cell r="E6147" t="str">
            <v>11</v>
          </cell>
          <cell r="F6147" t="str">
            <v/>
          </cell>
          <cell r="G6147" t="str">
            <v>P</v>
          </cell>
          <cell r="H6147">
            <v>12.77</v>
          </cell>
        </row>
        <row r="6148">
          <cell r="A6148" t="str">
            <v>1;13;P;B;PAQ00a02</v>
          </cell>
          <cell r="B6148">
            <v>730069</v>
          </cell>
          <cell r="C6148" t="str">
            <v>P</v>
          </cell>
          <cell r="D6148" t="str">
            <v>PROVINCIAL</v>
          </cell>
          <cell r="E6148" t="str">
            <v>13</v>
          </cell>
          <cell r="F6148" t="str">
            <v>PAQ00a02</v>
          </cell>
          <cell r="G6148" t="str">
            <v>B</v>
          </cell>
          <cell r="H6148">
            <v>0</v>
          </cell>
        </row>
        <row r="6149">
          <cell r="A6149" t="str">
            <v>1;13;P;B;PAQ02a05</v>
          </cell>
          <cell r="B6149">
            <v>730069</v>
          </cell>
          <cell r="C6149" t="str">
            <v>P</v>
          </cell>
          <cell r="D6149" t="str">
            <v>PROVINCIAL</v>
          </cell>
          <cell r="E6149" t="str">
            <v>13</v>
          </cell>
          <cell r="F6149" t="str">
            <v>PAQ02a05</v>
          </cell>
          <cell r="G6149" t="str">
            <v>B</v>
          </cell>
          <cell r="H6149">
            <v>0</v>
          </cell>
        </row>
        <row r="6150">
          <cell r="A6150" t="str">
            <v>1;13;P;B;PAQ05a10</v>
          </cell>
          <cell r="B6150">
            <v>730069</v>
          </cell>
          <cell r="C6150" t="str">
            <v>P</v>
          </cell>
          <cell r="D6150" t="str">
            <v>PROVINCIAL</v>
          </cell>
          <cell r="E6150" t="str">
            <v>13</v>
          </cell>
          <cell r="F6150" t="str">
            <v>PAQ05a10</v>
          </cell>
          <cell r="G6150" t="str">
            <v>B</v>
          </cell>
          <cell r="H6150">
            <v>0</v>
          </cell>
        </row>
        <row r="6151">
          <cell r="A6151" t="str">
            <v>1;13;P;B;PAQ10a15</v>
          </cell>
          <cell r="B6151">
            <v>730069</v>
          </cell>
          <cell r="C6151" t="str">
            <v>P</v>
          </cell>
          <cell r="D6151" t="str">
            <v>PROVINCIAL</v>
          </cell>
          <cell r="E6151" t="str">
            <v>13</v>
          </cell>
          <cell r="F6151" t="str">
            <v>PAQ10a15</v>
          </cell>
          <cell r="G6151" t="str">
            <v>B</v>
          </cell>
          <cell r="H6151">
            <v>0</v>
          </cell>
        </row>
        <row r="6152">
          <cell r="A6152" t="str">
            <v>1;13;P;B;PAQ15a20</v>
          </cell>
          <cell r="B6152">
            <v>730069</v>
          </cell>
          <cell r="C6152" t="str">
            <v>P</v>
          </cell>
          <cell r="D6152" t="str">
            <v>PROVINCIAL</v>
          </cell>
          <cell r="E6152" t="str">
            <v>13</v>
          </cell>
          <cell r="F6152" t="str">
            <v>PAQ15a20</v>
          </cell>
          <cell r="G6152" t="str">
            <v>B</v>
          </cell>
          <cell r="H6152">
            <v>0</v>
          </cell>
        </row>
        <row r="6153">
          <cell r="A6153" t="str">
            <v>1;13;P;B;PAQ20a25</v>
          </cell>
          <cell r="B6153">
            <v>730069</v>
          </cell>
          <cell r="C6153" t="str">
            <v>P</v>
          </cell>
          <cell r="D6153" t="str">
            <v>PROVINCIAL</v>
          </cell>
          <cell r="E6153" t="str">
            <v>13</v>
          </cell>
          <cell r="F6153" t="str">
            <v>PAQ20a25</v>
          </cell>
          <cell r="G6153" t="str">
            <v>B</v>
          </cell>
          <cell r="H6153">
            <v>0</v>
          </cell>
        </row>
        <row r="6154">
          <cell r="A6154" t="str">
            <v>1;13;P;B;PAQ25a30</v>
          </cell>
          <cell r="B6154">
            <v>730069</v>
          </cell>
          <cell r="C6154" t="str">
            <v>P</v>
          </cell>
          <cell r="D6154" t="str">
            <v>PROVINCIAL</v>
          </cell>
          <cell r="E6154" t="str">
            <v>13</v>
          </cell>
          <cell r="F6154" t="str">
            <v>PAQ25a30</v>
          </cell>
          <cell r="G6154" t="str">
            <v>B</v>
          </cell>
          <cell r="H6154">
            <v>0</v>
          </cell>
        </row>
        <row r="6155">
          <cell r="A6155" t="str">
            <v>1;13;P;B;PAQ30a35</v>
          </cell>
          <cell r="B6155">
            <v>730069</v>
          </cell>
          <cell r="C6155" t="str">
            <v>P</v>
          </cell>
          <cell r="D6155" t="str">
            <v>PROVINCIAL</v>
          </cell>
          <cell r="E6155" t="str">
            <v>13</v>
          </cell>
          <cell r="F6155" t="str">
            <v>PAQ30a35</v>
          </cell>
          <cell r="G6155" t="str">
            <v>B</v>
          </cell>
          <cell r="H6155">
            <v>0</v>
          </cell>
        </row>
        <row r="6156">
          <cell r="A6156" t="str">
            <v>1;13;P;F;</v>
          </cell>
          <cell r="B6156">
            <v>730069</v>
          </cell>
          <cell r="C6156" t="str">
            <v>P</v>
          </cell>
          <cell r="D6156" t="str">
            <v>PROVINCIAL</v>
          </cell>
          <cell r="E6156" t="str">
            <v>13</v>
          </cell>
          <cell r="F6156" t="str">
            <v/>
          </cell>
          <cell r="G6156" t="str">
            <v>F</v>
          </cell>
          <cell r="H6156">
            <v>0</v>
          </cell>
        </row>
        <row r="6157">
          <cell r="A6157" t="str">
            <v>1;13;P;B;PAQ35a40</v>
          </cell>
          <cell r="B6157">
            <v>730069</v>
          </cell>
          <cell r="C6157" t="str">
            <v>P</v>
          </cell>
          <cell r="D6157" t="str">
            <v>PROVINCIAL</v>
          </cell>
          <cell r="E6157" t="str">
            <v>13</v>
          </cell>
          <cell r="F6157" t="str">
            <v>PAQ35a40</v>
          </cell>
          <cell r="G6157" t="str">
            <v>B</v>
          </cell>
          <cell r="H6157">
            <v>0</v>
          </cell>
        </row>
        <row r="6158">
          <cell r="A6158" t="str">
            <v>1;13;P;P;</v>
          </cell>
          <cell r="B6158">
            <v>730069</v>
          </cell>
          <cell r="C6158" t="str">
            <v>P</v>
          </cell>
          <cell r="D6158" t="str">
            <v>PROVINCIAL</v>
          </cell>
          <cell r="E6158" t="str">
            <v>13</v>
          </cell>
          <cell r="F6158" t="str">
            <v/>
          </cell>
          <cell r="G6158" t="str">
            <v>P</v>
          </cell>
          <cell r="H6158">
            <v>0</v>
          </cell>
        </row>
        <row r="6159">
          <cell r="A6159" t="str">
            <v>1;13;P;E;</v>
          </cell>
          <cell r="B6159">
            <v>730069</v>
          </cell>
          <cell r="C6159" t="str">
            <v>P</v>
          </cell>
          <cell r="D6159" t="str">
            <v>PROVINCIAL</v>
          </cell>
          <cell r="E6159" t="str">
            <v>13</v>
          </cell>
          <cell r="F6159" t="str">
            <v/>
          </cell>
          <cell r="G6159" t="str">
            <v>E</v>
          </cell>
          <cell r="H6159">
            <v>0</v>
          </cell>
        </row>
        <row r="6160">
          <cell r="A6160" t="str">
            <v>1;14;P;B;BAG</v>
          </cell>
          <cell r="B6160">
            <v>730069</v>
          </cell>
          <cell r="C6160" t="str">
            <v>P</v>
          </cell>
          <cell r="D6160" t="str">
            <v>PROVINCIAL</v>
          </cell>
          <cell r="E6160" t="str">
            <v>14</v>
          </cell>
          <cell r="F6160" t="str">
            <v>BAG</v>
          </cell>
          <cell r="G6160" t="str">
            <v>B</v>
          </cell>
          <cell r="H6160">
            <v>1.75</v>
          </cell>
        </row>
        <row r="6161">
          <cell r="A6161" t="str">
            <v>1;15;P;B;BAG</v>
          </cell>
          <cell r="B6161">
            <v>730069</v>
          </cell>
          <cell r="C6161" t="str">
            <v>P</v>
          </cell>
          <cell r="D6161" t="str">
            <v>PROVINCIAL</v>
          </cell>
          <cell r="E6161" t="str">
            <v>15</v>
          </cell>
          <cell r="F6161" t="str">
            <v>BAG</v>
          </cell>
          <cell r="G6161" t="str">
            <v>B</v>
          </cell>
          <cell r="H6161">
            <v>1.75</v>
          </cell>
        </row>
        <row r="6162">
          <cell r="A6162" t="str">
            <v>1;17;P;B;PAQ00a02</v>
          </cell>
          <cell r="B6162">
            <v>730069</v>
          </cell>
          <cell r="C6162" t="str">
            <v>P</v>
          </cell>
          <cell r="D6162" t="str">
            <v>PROVINCIAL</v>
          </cell>
          <cell r="E6162" t="str">
            <v>17</v>
          </cell>
          <cell r="F6162" t="str">
            <v>PAQ00a02</v>
          </cell>
          <cell r="G6162" t="str">
            <v>B</v>
          </cell>
          <cell r="H6162">
            <v>2.68</v>
          </cell>
        </row>
        <row r="6163">
          <cell r="A6163" t="str">
            <v>1;17;P;B;PAQ02a05</v>
          </cell>
          <cell r="B6163">
            <v>730069</v>
          </cell>
          <cell r="C6163" t="str">
            <v>P</v>
          </cell>
          <cell r="D6163" t="str">
            <v>PROVINCIAL</v>
          </cell>
          <cell r="E6163" t="str">
            <v>17</v>
          </cell>
          <cell r="F6163" t="str">
            <v>PAQ02a05</v>
          </cell>
          <cell r="G6163" t="str">
            <v>B</v>
          </cell>
          <cell r="H6163">
            <v>5.18</v>
          </cell>
        </row>
        <row r="6164">
          <cell r="A6164" t="str">
            <v>1;17;P;B;PAQ05a10</v>
          </cell>
          <cell r="B6164">
            <v>730069</v>
          </cell>
          <cell r="C6164" t="str">
            <v>P</v>
          </cell>
          <cell r="D6164" t="str">
            <v>PROVINCIAL</v>
          </cell>
          <cell r="E6164" t="str">
            <v>17</v>
          </cell>
          <cell r="F6164" t="str">
            <v>PAQ05a10</v>
          </cell>
          <cell r="G6164" t="str">
            <v>B</v>
          </cell>
          <cell r="H6164">
            <v>5.81</v>
          </cell>
        </row>
        <row r="6165">
          <cell r="A6165" t="str">
            <v>1;17;P;B;PAQ10a15</v>
          </cell>
          <cell r="B6165">
            <v>730069</v>
          </cell>
          <cell r="C6165" t="str">
            <v>P</v>
          </cell>
          <cell r="D6165" t="str">
            <v>PROVINCIAL</v>
          </cell>
          <cell r="E6165" t="str">
            <v>17</v>
          </cell>
          <cell r="F6165" t="str">
            <v>PAQ10a15</v>
          </cell>
          <cell r="G6165" t="str">
            <v>B</v>
          </cell>
          <cell r="H6165">
            <v>6.44</v>
          </cell>
        </row>
        <row r="6166">
          <cell r="A6166" t="str">
            <v>1;17;P;B;PAQ15a20</v>
          </cell>
          <cell r="B6166">
            <v>730069</v>
          </cell>
          <cell r="C6166" t="str">
            <v>P</v>
          </cell>
          <cell r="D6166" t="str">
            <v>PROVINCIAL</v>
          </cell>
          <cell r="E6166" t="str">
            <v>17</v>
          </cell>
          <cell r="F6166" t="str">
            <v>PAQ15a20</v>
          </cell>
          <cell r="G6166" t="str">
            <v>B</v>
          </cell>
          <cell r="H6166">
            <v>7.07</v>
          </cell>
        </row>
        <row r="6167">
          <cell r="A6167" t="str">
            <v>1;17;P;B;PAQ20a25</v>
          </cell>
          <cell r="B6167">
            <v>730069</v>
          </cell>
          <cell r="C6167" t="str">
            <v>P</v>
          </cell>
          <cell r="D6167" t="str">
            <v>PROVINCIAL</v>
          </cell>
          <cell r="E6167" t="str">
            <v>17</v>
          </cell>
          <cell r="F6167" t="str">
            <v>PAQ20a25</v>
          </cell>
          <cell r="G6167" t="str">
            <v>B</v>
          </cell>
          <cell r="H6167">
            <v>9.5299999999999994</v>
          </cell>
        </row>
        <row r="6168">
          <cell r="A6168" t="str">
            <v>1;17;P;B;PAQ25a30</v>
          </cell>
          <cell r="B6168">
            <v>730069</v>
          </cell>
          <cell r="C6168" t="str">
            <v>P</v>
          </cell>
          <cell r="D6168" t="str">
            <v>PROVINCIAL</v>
          </cell>
          <cell r="E6168" t="str">
            <v>17</v>
          </cell>
          <cell r="F6168" t="str">
            <v>PAQ25a30</v>
          </cell>
          <cell r="G6168" t="str">
            <v>B</v>
          </cell>
          <cell r="H6168">
            <v>12.01</v>
          </cell>
        </row>
        <row r="6169">
          <cell r="A6169" t="str">
            <v>1;17;P;B;PAQ30a35</v>
          </cell>
          <cell r="B6169">
            <v>730069</v>
          </cell>
          <cell r="C6169" t="str">
            <v>P</v>
          </cell>
          <cell r="D6169" t="str">
            <v>PROVINCIAL</v>
          </cell>
          <cell r="E6169" t="str">
            <v>17</v>
          </cell>
          <cell r="F6169" t="str">
            <v>PAQ30a35</v>
          </cell>
          <cell r="G6169" t="str">
            <v>B</v>
          </cell>
          <cell r="H6169">
            <v>14.49</v>
          </cell>
        </row>
        <row r="6170">
          <cell r="A6170" t="str">
            <v>1;17;P;B;PAQ35a40</v>
          </cell>
          <cell r="B6170">
            <v>730069</v>
          </cell>
          <cell r="C6170" t="str">
            <v>P</v>
          </cell>
          <cell r="D6170" t="str">
            <v>PROVINCIAL</v>
          </cell>
          <cell r="E6170" t="str">
            <v>17</v>
          </cell>
          <cell r="F6170" t="str">
            <v>PAQ35a40</v>
          </cell>
          <cell r="G6170" t="str">
            <v>B</v>
          </cell>
          <cell r="H6170">
            <v>16.97</v>
          </cell>
        </row>
        <row r="6171">
          <cell r="A6171" t="str">
            <v>1;17;P;F;</v>
          </cell>
          <cell r="B6171">
            <v>730069</v>
          </cell>
          <cell r="C6171" t="str">
            <v>P</v>
          </cell>
          <cell r="D6171" t="str">
            <v>PROVINCIAL</v>
          </cell>
          <cell r="E6171" t="str">
            <v>17</v>
          </cell>
          <cell r="F6171" t="str">
            <v/>
          </cell>
          <cell r="G6171" t="str">
            <v>F</v>
          </cell>
          <cell r="H6171">
            <v>2.48</v>
          </cell>
        </row>
        <row r="6172">
          <cell r="A6172" t="str">
            <v>1;17;P;E;</v>
          </cell>
          <cell r="B6172">
            <v>730069</v>
          </cell>
          <cell r="C6172" t="str">
            <v>P</v>
          </cell>
          <cell r="D6172" t="str">
            <v>PROVINCIAL</v>
          </cell>
          <cell r="E6172" t="str">
            <v>17</v>
          </cell>
          <cell r="F6172" t="str">
            <v/>
          </cell>
          <cell r="G6172" t="str">
            <v>E</v>
          </cell>
          <cell r="H6172">
            <v>2.48</v>
          </cell>
        </row>
        <row r="6173">
          <cell r="A6173" t="str">
            <v>1;17;P;P;</v>
          </cell>
          <cell r="B6173">
            <v>730069</v>
          </cell>
          <cell r="C6173" t="str">
            <v>P</v>
          </cell>
          <cell r="D6173" t="str">
            <v>PROVINCIAL</v>
          </cell>
          <cell r="E6173" t="str">
            <v>17</v>
          </cell>
          <cell r="F6173" t="str">
            <v/>
          </cell>
          <cell r="G6173" t="str">
            <v>P</v>
          </cell>
          <cell r="H6173">
            <v>0</v>
          </cell>
        </row>
        <row r="6174">
          <cell r="A6174" t="str">
            <v>1;18;P;B;BAG</v>
          </cell>
          <cell r="B6174">
            <v>730069</v>
          </cell>
          <cell r="C6174" t="str">
            <v>P</v>
          </cell>
          <cell r="D6174" t="str">
            <v>PROVINCIAL</v>
          </cell>
          <cell r="E6174" t="str">
            <v>18</v>
          </cell>
          <cell r="F6174" t="str">
            <v>BAG</v>
          </cell>
          <cell r="G6174" t="str">
            <v>B</v>
          </cell>
          <cell r="H6174">
            <v>2.42</v>
          </cell>
        </row>
        <row r="6175">
          <cell r="A6175" t="str">
            <v>1;18;P;B;PAQ00a02</v>
          </cell>
          <cell r="B6175">
            <v>730069</v>
          </cell>
          <cell r="C6175" t="str">
            <v>P</v>
          </cell>
          <cell r="D6175" t="str">
            <v>PROVINCIAL</v>
          </cell>
          <cell r="E6175" t="str">
            <v>18</v>
          </cell>
          <cell r="F6175" t="str">
            <v>PAQ00a02</v>
          </cell>
          <cell r="G6175" t="str">
            <v>B</v>
          </cell>
          <cell r="H6175">
            <v>2.42</v>
          </cell>
        </row>
        <row r="6176">
          <cell r="A6176" t="str">
            <v>1;18;P;B;PAQ02a05</v>
          </cell>
          <cell r="B6176">
            <v>730069</v>
          </cell>
          <cell r="C6176" t="str">
            <v>P</v>
          </cell>
          <cell r="D6176" t="str">
            <v>PROVINCIAL</v>
          </cell>
          <cell r="E6176" t="str">
            <v>18</v>
          </cell>
          <cell r="F6176" t="str">
            <v>PAQ02a05</v>
          </cell>
          <cell r="G6176" t="str">
            <v>B</v>
          </cell>
          <cell r="H6176">
            <v>3.74</v>
          </cell>
        </row>
        <row r="6177">
          <cell r="A6177" t="str">
            <v>1;18;P;B;PAQ05a10</v>
          </cell>
          <cell r="B6177">
            <v>730069</v>
          </cell>
          <cell r="C6177" t="str">
            <v>P</v>
          </cell>
          <cell r="D6177" t="str">
            <v>PROVINCIAL</v>
          </cell>
          <cell r="E6177" t="str">
            <v>18</v>
          </cell>
          <cell r="F6177" t="str">
            <v>PAQ05a10</v>
          </cell>
          <cell r="G6177" t="str">
            <v>B</v>
          </cell>
          <cell r="H6177">
            <v>4.55</v>
          </cell>
        </row>
        <row r="6178">
          <cell r="A6178" t="str">
            <v>1;18;P;B;PAQ10a15</v>
          </cell>
          <cell r="B6178">
            <v>730069</v>
          </cell>
          <cell r="C6178" t="str">
            <v>P</v>
          </cell>
          <cell r="D6178" t="str">
            <v>PROVINCIAL</v>
          </cell>
          <cell r="E6178" t="str">
            <v>18</v>
          </cell>
          <cell r="F6178" t="str">
            <v>PAQ10a15</v>
          </cell>
          <cell r="G6178" t="str">
            <v>B</v>
          </cell>
          <cell r="H6178">
            <v>5.38</v>
          </cell>
        </row>
        <row r="6179">
          <cell r="A6179" t="str">
            <v>1;18;P;B;PAQ15a20</v>
          </cell>
          <cell r="B6179">
            <v>730069</v>
          </cell>
          <cell r="C6179" t="str">
            <v>P</v>
          </cell>
          <cell r="D6179" t="str">
            <v>PROVINCIAL</v>
          </cell>
          <cell r="E6179" t="str">
            <v>18</v>
          </cell>
          <cell r="F6179" t="str">
            <v>PAQ15a20</v>
          </cell>
          <cell r="G6179" t="str">
            <v>B</v>
          </cell>
          <cell r="H6179">
            <v>6.18</v>
          </cell>
        </row>
        <row r="6180">
          <cell r="A6180" t="str">
            <v>1;21;P;B;BAG</v>
          </cell>
          <cell r="B6180">
            <v>730069</v>
          </cell>
          <cell r="C6180" t="str">
            <v>P</v>
          </cell>
          <cell r="D6180" t="str">
            <v>PROVINCIAL</v>
          </cell>
          <cell r="E6180" t="str">
            <v>21</v>
          </cell>
          <cell r="F6180" t="str">
            <v>BAG</v>
          </cell>
          <cell r="G6180" t="str">
            <v>B</v>
          </cell>
          <cell r="H6180">
            <v>17.36</v>
          </cell>
        </row>
        <row r="6181">
          <cell r="A6181" t="str">
            <v>1;21;P;B;DOCS</v>
          </cell>
          <cell r="B6181">
            <v>730069</v>
          </cell>
          <cell r="C6181" t="str">
            <v>P</v>
          </cell>
          <cell r="D6181" t="str">
            <v>PROVINCIAL</v>
          </cell>
          <cell r="E6181" t="str">
            <v>21</v>
          </cell>
          <cell r="F6181" t="str">
            <v>DOCS</v>
          </cell>
          <cell r="G6181" t="str">
            <v>B</v>
          </cell>
          <cell r="H6181">
            <v>17.36</v>
          </cell>
        </row>
        <row r="6182">
          <cell r="A6182" t="str">
            <v>1;21;P;B;PAQ00a02</v>
          </cell>
          <cell r="B6182">
            <v>730069</v>
          </cell>
          <cell r="C6182" t="str">
            <v>P</v>
          </cell>
          <cell r="D6182" t="str">
            <v>PROVINCIAL</v>
          </cell>
          <cell r="E6182" t="str">
            <v>21</v>
          </cell>
          <cell r="F6182" t="str">
            <v>PAQ00a02</v>
          </cell>
          <cell r="G6182" t="str">
            <v>B</v>
          </cell>
          <cell r="H6182">
            <v>19.12</v>
          </cell>
        </row>
        <row r="6183">
          <cell r="A6183" t="str">
            <v>1;21;P;B;PAQ02a05</v>
          </cell>
          <cell r="B6183">
            <v>730069</v>
          </cell>
          <cell r="C6183" t="str">
            <v>P</v>
          </cell>
          <cell r="D6183" t="str">
            <v>PROVINCIAL</v>
          </cell>
          <cell r="E6183" t="str">
            <v>21</v>
          </cell>
          <cell r="F6183" t="str">
            <v>PAQ02a05</v>
          </cell>
          <cell r="G6183" t="str">
            <v>B</v>
          </cell>
          <cell r="H6183">
            <v>19.12</v>
          </cell>
        </row>
        <row r="6184">
          <cell r="A6184" t="str">
            <v>1;21;P;B;PAQ05a10</v>
          </cell>
          <cell r="B6184">
            <v>730069</v>
          </cell>
          <cell r="C6184" t="str">
            <v>P</v>
          </cell>
          <cell r="D6184" t="str">
            <v>PROVINCIAL</v>
          </cell>
          <cell r="E6184" t="str">
            <v>21</v>
          </cell>
          <cell r="F6184" t="str">
            <v>PAQ05a10</v>
          </cell>
          <cell r="G6184" t="str">
            <v>B</v>
          </cell>
          <cell r="H6184">
            <v>20.34</v>
          </cell>
        </row>
        <row r="6185">
          <cell r="A6185" t="str">
            <v>1;21;P;B;PAQ10a15</v>
          </cell>
          <cell r="B6185">
            <v>730069</v>
          </cell>
          <cell r="C6185" t="str">
            <v>P</v>
          </cell>
          <cell r="D6185" t="str">
            <v>PROVINCIAL</v>
          </cell>
          <cell r="E6185" t="str">
            <v>21</v>
          </cell>
          <cell r="F6185" t="str">
            <v>PAQ10a15</v>
          </cell>
          <cell r="G6185" t="str">
            <v>B</v>
          </cell>
          <cell r="H6185">
            <v>23.22</v>
          </cell>
        </row>
        <row r="6186">
          <cell r="A6186" t="str">
            <v>1;21;P;B;PAQ15a20</v>
          </cell>
          <cell r="B6186">
            <v>730069</v>
          </cell>
          <cell r="C6186" t="str">
            <v>P</v>
          </cell>
          <cell r="D6186" t="str">
            <v>PROVINCIAL</v>
          </cell>
          <cell r="E6186" t="str">
            <v>21</v>
          </cell>
          <cell r="F6186" t="str">
            <v>PAQ15a20</v>
          </cell>
          <cell r="G6186" t="str">
            <v>B</v>
          </cell>
          <cell r="H6186">
            <v>26.09</v>
          </cell>
        </row>
        <row r="6187">
          <cell r="A6187" t="str">
            <v>1;21;P;B;PAQ20a25</v>
          </cell>
          <cell r="B6187">
            <v>730069</v>
          </cell>
          <cell r="C6187" t="str">
            <v>P</v>
          </cell>
          <cell r="D6187" t="str">
            <v>PROVINCIAL</v>
          </cell>
          <cell r="E6187" t="str">
            <v>21</v>
          </cell>
          <cell r="F6187" t="str">
            <v>PAQ20a25</v>
          </cell>
          <cell r="G6187" t="str">
            <v>B</v>
          </cell>
          <cell r="H6187">
            <v>28.97</v>
          </cell>
        </row>
        <row r="6188">
          <cell r="A6188" t="str">
            <v>1;21;P;B;PAQ25a30</v>
          </cell>
          <cell r="B6188">
            <v>730069</v>
          </cell>
          <cell r="C6188" t="str">
            <v>P</v>
          </cell>
          <cell r="D6188" t="str">
            <v>PROVINCIAL</v>
          </cell>
          <cell r="E6188" t="str">
            <v>21</v>
          </cell>
          <cell r="F6188" t="str">
            <v>PAQ25a30</v>
          </cell>
          <cell r="G6188" t="str">
            <v>B</v>
          </cell>
          <cell r="H6188">
            <v>31.85</v>
          </cell>
        </row>
        <row r="6189">
          <cell r="A6189" t="str">
            <v>1;21;P;B;PAQ30a35</v>
          </cell>
          <cell r="B6189">
            <v>730069</v>
          </cell>
          <cell r="C6189" t="str">
            <v>P</v>
          </cell>
          <cell r="D6189" t="str">
            <v>PROVINCIAL</v>
          </cell>
          <cell r="E6189" t="str">
            <v>21</v>
          </cell>
          <cell r="F6189" t="str">
            <v>PAQ30a35</v>
          </cell>
          <cell r="G6189" t="str">
            <v>B</v>
          </cell>
          <cell r="H6189">
            <v>34.72</v>
          </cell>
        </row>
        <row r="6190">
          <cell r="A6190" t="str">
            <v>1;21;P;F;</v>
          </cell>
          <cell r="B6190">
            <v>730069</v>
          </cell>
          <cell r="C6190" t="str">
            <v>P</v>
          </cell>
          <cell r="D6190" t="str">
            <v>PROVINCIAL</v>
          </cell>
          <cell r="E6190" t="str">
            <v>21</v>
          </cell>
          <cell r="F6190" t="str">
            <v/>
          </cell>
          <cell r="G6190" t="str">
            <v>F</v>
          </cell>
          <cell r="H6190">
            <v>2.88</v>
          </cell>
        </row>
        <row r="6191">
          <cell r="A6191" t="str">
            <v>1;21;P;B;PAQ35a40</v>
          </cell>
          <cell r="B6191">
            <v>730069</v>
          </cell>
          <cell r="C6191" t="str">
            <v>P</v>
          </cell>
          <cell r="D6191" t="str">
            <v>PROVINCIAL</v>
          </cell>
          <cell r="E6191" t="str">
            <v>21</v>
          </cell>
          <cell r="F6191" t="str">
            <v>PAQ35a40</v>
          </cell>
          <cell r="G6191" t="str">
            <v>B</v>
          </cell>
          <cell r="H6191">
            <v>37.6</v>
          </cell>
        </row>
        <row r="6192">
          <cell r="A6192" t="str">
            <v>1;21;P;P;</v>
          </cell>
          <cell r="B6192">
            <v>730069</v>
          </cell>
          <cell r="C6192" t="str">
            <v>P</v>
          </cell>
          <cell r="D6192" t="str">
            <v>PROVINCIAL</v>
          </cell>
          <cell r="E6192" t="str">
            <v>21</v>
          </cell>
          <cell r="F6192" t="str">
            <v/>
          </cell>
          <cell r="G6192" t="str">
            <v>P</v>
          </cell>
          <cell r="H6192">
            <v>11.83</v>
          </cell>
        </row>
        <row r="6193">
          <cell r="A6193" t="str">
            <v>1;21;P;E;</v>
          </cell>
          <cell r="B6193">
            <v>730069</v>
          </cell>
          <cell r="C6193" t="str">
            <v>P</v>
          </cell>
          <cell r="D6193" t="str">
            <v>PROVINCIAL</v>
          </cell>
          <cell r="E6193" t="str">
            <v>21</v>
          </cell>
          <cell r="F6193" t="str">
            <v/>
          </cell>
          <cell r="G6193" t="str">
            <v>E</v>
          </cell>
          <cell r="H6193">
            <v>11.83</v>
          </cell>
        </row>
        <row r="6194">
          <cell r="A6194" t="str">
            <v>1;25;P;B;BICI</v>
          </cell>
          <cell r="B6194">
            <v>730069</v>
          </cell>
          <cell r="C6194" t="str">
            <v>P</v>
          </cell>
          <cell r="D6194" t="str">
            <v>PROVINCIAL</v>
          </cell>
          <cell r="E6194" t="str">
            <v>25</v>
          </cell>
          <cell r="F6194" t="str">
            <v>BICI</v>
          </cell>
          <cell r="G6194" t="str">
            <v>B</v>
          </cell>
          <cell r="H6194">
            <v>14.88</v>
          </cell>
        </row>
        <row r="6195">
          <cell r="A6195" t="str">
            <v>1;25;P;B;BIIV</v>
          </cell>
          <cell r="B6195">
            <v>730069</v>
          </cell>
          <cell r="C6195" t="str">
            <v>P</v>
          </cell>
          <cell r="D6195" t="str">
            <v>PROVINCIAL</v>
          </cell>
          <cell r="E6195" t="str">
            <v>25</v>
          </cell>
          <cell r="F6195" t="str">
            <v>BIIV</v>
          </cell>
          <cell r="G6195" t="str">
            <v>B</v>
          </cell>
          <cell r="H6195">
            <v>26.45</v>
          </cell>
        </row>
        <row r="6196">
          <cell r="A6196" t="str">
            <v>1;25;P;B;EQIV</v>
          </cell>
          <cell r="B6196">
            <v>730069</v>
          </cell>
          <cell r="C6196" t="str">
            <v>P</v>
          </cell>
          <cell r="D6196" t="str">
            <v>PROVINCIAL</v>
          </cell>
          <cell r="E6196" t="str">
            <v>25</v>
          </cell>
          <cell r="F6196" t="str">
            <v>EQIV</v>
          </cell>
          <cell r="G6196" t="str">
            <v>B</v>
          </cell>
          <cell r="H6196">
            <v>16.53</v>
          </cell>
        </row>
        <row r="6197">
          <cell r="A6197" t="str">
            <v>1;25;P;B;EQUI</v>
          </cell>
          <cell r="B6197">
            <v>730069</v>
          </cell>
          <cell r="C6197" t="str">
            <v>P</v>
          </cell>
          <cell r="D6197" t="str">
            <v>PROVINCIAL</v>
          </cell>
          <cell r="E6197" t="str">
            <v>25</v>
          </cell>
          <cell r="F6197" t="str">
            <v>EQUI</v>
          </cell>
          <cell r="G6197" t="str">
            <v>B</v>
          </cell>
          <cell r="H6197">
            <v>9.09</v>
          </cell>
        </row>
        <row r="6198">
          <cell r="A6198" t="str">
            <v>1;26;P;B;BAG</v>
          </cell>
          <cell r="B6198">
            <v>730069</v>
          </cell>
          <cell r="C6198" t="str">
            <v>P</v>
          </cell>
          <cell r="D6198" t="str">
            <v>PROVINCIAL</v>
          </cell>
          <cell r="E6198" t="str">
            <v>26</v>
          </cell>
          <cell r="F6198" t="str">
            <v>BAG</v>
          </cell>
          <cell r="G6198" t="str">
            <v>B</v>
          </cell>
          <cell r="H6198">
            <v>4.2</v>
          </cell>
        </row>
        <row r="6199">
          <cell r="A6199" t="str">
            <v>1;26;P;B;PAQ00a02</v>
          </cell>
          <cell r="B6199">
            <v>730069</v>
          </cell>
          <cell r="C6199" t="str">
            <v>P</v>
          </cell>
          <cell r="D6199" t="str">
            <v>PROVINCIAL</v>
          </cell>
          <cell r="E6199" t="str">
            <v>26</v>
          </cell>
          <cell r="F6199" t="str">
            <v>PAQ00a02</v>
          </cell>
          <cell r="G6199" t="str">
            <v>B</v>
          </cell>
          <cell r="H6199">
            <v>4.2</v>
          </cell>
        </row>
        <row r="6200">
          <cell r="A6200" t="str">
            <v>1;26;P;B;PAQ02a05</v>
          </cell>
          <cell r="B6200">
            <v>730069</v>
          </cell>
          <cell r="C6200" t="str">
            <v>P</v>
          </cell>
          <cell r="D6200" t="str">
            <v>PROVINCIAL</v>
          </cell>
          <cell r="E6200" t="str">
            <v>26</v>
          </cell>
          <cell r="F6200" t="str">
            <v>PAQ02a05</v>
          </cell>
          <cell r="G6200" t="str">
            <v>B</v>
          </cell>
          <cell r="H6200">
            <v>5.15</v>
          </cell>
        </row>
        <row r="6201">
          <cell r="A6201" t="str">
            <v>1;26;P;B;PAQ05a10</v>
          </cell>
          <cell r="B6201">
            <v>730069</v>
          </cell>
          <cell r="C6201" t="str">
            <v>P</v>
          </cell>
          <cell r="D6201" t="str">
            <v>PROVINCIAL</v>
          </cell>
          <cell r="E6201" t="str">
            <v>26</v>
          </cell>
          <cell r="F6201" t="str">
            <v>PAQ05a10</v>
          </cell>
          <cell r="G6201" t="str">
            <v>B</v>
          </cell>
          <cell r="H6201">
            <v>6.83</v>
          </cell>
        </row>
        <row r="6202">
          <cell r="A6202" t="str">
            <v>1;26;P;B;PAQ10a15</v>
          </cell>
          <cell r="B6202">
            <v>730069</v>
          </cell>
          <cell r="C6202" t="str">
            <v>P</v>
          </cell>
          <cell r="D6202" t="str">
            <v>PROVINCIAL</v>
          </cell>
          <cell r="E6202" t="str">
            <v>26</v>
          </cell>
          <cell r="F6202" t="str">
            <v>PAQ10a15</v>
          </cell>
          <cell r="G6202" t="str">
            <v>B</v>
          </cell>
          <cell r="H6202">
            <v>9.77</v>
          </cell>
        </row>
        <row r="6203">
          <cell r="A6203" t="str">
            <v>1;26;P;B;PAQ15a20</v>
          </cell>
          <cell r="B6203">
            <v>730069</v>
          </cell>
          <cell r="C6203" t="str">
            <v>P</v>
          </cell>
          <cell r="D6203" t="str">
            <v>PROVINCIAL</v>
          </cell>
          <cell r="E6203" t="str">
            <v>26</v>
          </cell>
          <cell r="F6203" t="str">
            <v>PAQ15a20</v>
          </cell>
          <cell r="G6203" t="str">
            <v>B</v>
          </cell>
          <cell r="H6203">
            <v>10.53</v>
          </cell>
        </row>
        <row r="6204">
          <cell r="A6204" t="str">
            <v>1;27;P;B;PAQ00a02</v>
          </cell>
          <cell r="B6204">
            <v>730069</v>
          </cell>
          <cell r="C6204" t="str">
            <v>P</v>
          </cell>
          <cell r="D6204" t="str">
            <v>PROVINCIAL</v>
          </cell>
          <cell r="E6204" t="str">
            <v>27</v>
          </cell>
          <cell r="F6204" t="str">
            <v>PAQ00a02</v>
          </cell>
          <cell r="G6204" t="str">
            <v>B</v>
          </cell>
          <cell r="H6204">
            <v>6.53</v>
          </cell>
        </row>
        <row r="6205">
          <cell r="A6205" t="str">
            <v>1;27;P;B;PAQ02a05</v>
          </cell>
          <cell r="B6205">
            <v>730069</v>
          </cell>
          <cell r="C6205" t="str">
            <v>P</v>
          </cell>
          <cell r="D6205" t="str">
            <v>PROVINCIAL</v>
          </cell>
          <cell r="E6205" t="str">
            <v>27</v>
          </cell>
          <cell r="F6205" t="str">
            <v>PAQ02a05</v>
          </cell>
          <cell r="G6205" t="str">
            <v>B</v>
          </cell>
          <cell r="H6205">
            <v>8.27</v>
          </cell>
        </row>
        <row r="6206">
          <cell r="A6206" t="str">
            <v>1;27;P;B;PAQ05a10</v>
          </cell>
          <cell r="B6206">
            <v>730069</v>
          </cell>
          <cell r="C6206" t="str">
            <v>P</v>
          </cell>
          <cell r="D6206" t="str">
            <v>PROVINCIAL</v>
          </cell>
          <cell r="E6206" t="str">
            <v>27</v>
          </cell>
          <cell r="F6206" t="str">
            <v>PAQ05a10</v>
          </cell>
          <cell r="G6206" t="str">
            <v>B</v>
          </cell>
          <cell r="H6206">
            <v>9.58</v>
          </cell>
        </row>
        <row r="6207">
          <cell r="A6207" t="str">
            <v>1;27;P;B;PAQ10a15</v>
          </cell>
          <cell r="B6207">
            <v>730069</v>
          </cell>
          <cell r="C6207" t="str">
            <v>P</v>
          </cell>
          <cell r="D6207" t="str">
            <v>PROVINCIAL</v>
          </cell>
          <cell r="E6207" t="str">
            <v>27</v>
          </cell>
          <cell r="F6207" t="str">
            <v>PAQ10a15</v>
          </cell>
          <cell r="G6207" t="str">
            <v>B</v>
          </cell>
          <cell r="H6207">
            <v>10.66</v>
          </cell>
        </row>
        <row r="6208">
          <cell r="A6208" t="str">
            <v>1;27;P;B;PAQ15a20</v>
          </cell>
          <cell r="B6208">
            <v>730069</v>
          </cell>
          <cell r="C6208" t="str">
            <v>P</v>
          </cell>
          <cell r="D6208" t="str">
            <v>PROVINCIAL</v>
          </cell>
          <cell r="E6208" t="str">
            <v>27</v>
          </cell>
          <cell r="F6208" t="str">
            <v>PAQ15a20</v>
          </cell>
          <cell r="G6208" t="str">
            <v>B</v>
          </cell>
          <cell r="H6208">
            <v>11.91</v>
          </cell>
        </row>
        <row r="6209">
          <cell r="A6209" t="str">
            <v>1;27;P;B;PAQ20a25</v>
          </cell>
          <cell r="B6209">
            <v>730069</v>
          </cell>
          <cell r="C6209" t="str">
            <v>P</v>
          </cell>
          <cell r="D6209" t="str">
            <v>PROVINCIAL</v>
          </cell>
          <cell r="E6209" t="str">
            <v>27</v>
          </cell>
          <cell r="F6209" t="str">
            <v>PAQ20a25</v>
          </cell>
          <cell r="G6209" t="str">
            <v>B</v>
          </cell>
          <cell r="H6209">
            <v>14.39</v>
          </cell>
        </row>
        <row r="6210">
          <cell r="A6210" t="str">
            <v>1;27;P;B;PAQ25a30</v>
          </cell>
          <cell r="B6210">
            <v>730069</v>
          </cell>
          <cell r="C6210" t="str">
            <v>P</v>
          </cell>
          <cell r="D6210" t="str">
            <v>PROVINCIAL</v>
          </cell>
          <cell r="E6210" t="str">
            <v>27</v>
          </cell>
          <cell r="F6210" t="str">
            <v>PAQ25a30</v>
          </cell>
          <cell r="G6210" t="str">
            <v>B</v>
          </cell>
          <cell r="H6210">
            <v>16.86</v>
          </cell>
        </row>
        <row r="6211">
          <cell r="A6211" t="str">
            <v>1;27;P;B;PAQ30a35</v>
          </cell>
          <cell r="B6211">
            <v>730069</v>
          </cell>
          <cell r="C6211" t="str">
            <v>P</v>
          </cell>
          <cell r="D6211" t="str">
            <v>PROVINCIAL</v>
          </cell>
          <cell r="E6211" t="str">
            <v>27</v>
          </cell>
          <cell r="F6211" t="str">
            <v>PAQ30a35</v>
          </cell>
          <cell r="G6211" t="str">
            <v>B</v>
          </cell>
          <cell r="H6211">
            <v>19.34</v>
          </cell>
        </row>
        <row r="6212">
          <cell r="A6212" t="str">
            <v>1;27;P;B;PAQ35a40</v>
          </cell>
          <cell r="B6212">
            <v>730069</v>
          </cell>
          <cell r="C6212" t="str">
            <v>P</v>
          </cell>
          <cell r="D6212" t="str">
            <v>PROVINCIAL</v>
          </cell>
          <cell r="E6212" t="str">
            <v>27</v>
          </cell>
          <cell r="F6212" t="str">
            <v>PAQ35a40</v>
          </cell>
          <cell r="G6212" t="str">
            <v>B</v>
          </cell>
          <cell r="H6212">
            <v>21.82</v>
          </cell>
        </row>
        <row r="6213">
          <cell r="A6213" t="str">
            <v>1;27;P;F;</v>
          </cell>
          <cell r="B6213">
            <v>730069</v>
          </cell>
          <cell r="C6213" t="str">
            <v>P</v>
          </cell>
          <cell r="D6213" t="str">
            <v>PROVINCIAL</v>
          </cell>
          <cell r="E6213" t="str">
            <v>27</v>
          </cell>
          <cell r="F6213" t="str">
            <v/>
          </cell>
          <cell r="G6213" t="str">
            <v>F</v>
          </cell>
          <cell r="H6213">
            <v>2.79</v>
          </cell>
        </row>
        <row r="6214">
          <cell r="A6214" t="str">
            <v>1;27;P;E;</v>
          </cell>
          <cell r="B6214">
            <v>730069</v>
          </cell>
          <cell r="C6214" t="str">
            <v>P</v>
          </cell>
          <cell r="D6214" t="str">
            <v>PROVINCIAL</v>
          </cell>
          <cell r="E6214" t="str">
            <v>27</v>
          </cell>
          <cell r="F6214" t="str">
            <v/>
          </cell>
          <cell r="G6214" t="str">
            <v>E</v>
          </cell>
          <cell r="H6214">
            <v>2.79</v>
          </cell>
        </row>
        <row r="6215">
          <cell r="A6215" t="str">
            <v>1;27;P;P;</v>
          </cell>
          <cell r="B6215">
            <v>730069</v>
          </cell>
          <cell r="C6215" t="str">
            <v>P</v>
          </cell>
          <cell r="D6215" t="str">
            <v>PROVINCIAL</v>
          </cell>
          <cell r="E6215" t="str">
            <v>27</v>
          </cell>
          <cell r="F6215" t="str">
            <v/>
          </cell>
          <cell r="G6215" t="str">
            <v>P</v>
          </cell>
          <cell r="H6215">
            <v>0</v>
          </cell>
        </row>
        <row r="6216">
          <cell r="A6216" t="str">
            <v>1;31;P;B;PAQ00a02</v>
          </cell>
          <cell r="B6216">
            <v>730069</v>
          </cell>
          <cell r="C6216" t="str">
            <v>P</v>
          </cell>
          <cell r="D6216" t="str">
            <v>PROVINCIAL</v>
          </cell>
          <cell r="E6216" t="str">
            <v>31</v>
          </cell>
          <cell r="F6216" t="str">
            <v>PAQ00a02</v>
          </cell>
          <cell r="G6216" t="str">
            <v>B</v>
          </cell>
          <cell r="H6216">
            <v>4.84</v>
          </cell>
        </row>
        <row r="6217">
          <cell r="A6217" t="str">
            <v>1;31;P;B;PAQ02a05</v>
          </cell>
          <cell r="B6217">
            <v>730069</v>
          </cell>
          <cell r="C6217" t="str">
            <v>P</v>
          </cell>
          <cell r="D6217" t="str">
            <v>PROVINCIAL</v>
          </cell>
          <cell r="E6217" t="str">
            <v>31</v>
          </cell>
          <cell r="F6217" t="str">
            <v>PAQ02a05</v>
          </cell>
          <cell r="G6217" t="str">
            <v>B</v>
          </cell>
          <cell r="H6217">
            <v>6.05</v>
          </cell>
        </row>
        <row r="6218">
          <cell r="A6218" t="str">
            <v>1;31;P;B;PAQ05a10</v>
          </cell>
          <cell r="B6218">
            <v>730069</v>
          </cell>
          <cell r="C6218" t="str">
            <v>P</v>
          </cell>
          <cell r="D6218" t="str">
            <v>PROVINCIAL</v>
          </cell>
          <cell r="E6218" t="str">
            <v>31</v>
          </cell>
          <cell r="F6218" t="str">
            <v>PAQ05a10</v>
          </cell>
          <cell r="G6218" t="str">
            <v>B</v>
          </cell>
          <cell r="H6218">
            <v>6.62</v>
          </cell>
        </row>
        <row r="6219">
          <cell r="A6219" t="str">
            <v>1;31;P;B;PAQ10a15</v>
          </cell>
          <cell r="B6219">
            <v>730069</v>
          </cell>
          <cell r="C6219" t="str">
            <v>P</v>
          </cell>
          <cell r="D6219" t="str">
            <v>PROVINCIAL</v>
          </cell>
          <cell r="E6219" t="str">
            <v>31</v>
          </cell>
          <cell r="F6219" t="str">
            <v>PAQ10a15</v>
          </cell>
          <cell r="G6219" t="str">
            <v>B</v>
          </cell>
          <cell r="H6219">
            <v>7.63</v>
          </cell>
        </row>
        <row r="6220">
          <cell r="A6220" t="str">
            <v>1;31;P;B;PAQ15a20</v>
          </cell>
          <cell r="B6220">
            <v>730069</v>
          </cell>
          <cell r="C6220" t="str">
            <v>P</v>
          </cell>
          <cell r="D6220" t="str">
            <v>PROVINCIAL</v>
          </cell>
          <cell r="E6220" t="str">
            <v>31</v>
          </cell>
          <cell r="F6220" t="str">
            <v>PAQ15a20</v>
          </cell>
          <cell r="G6220" t="str">
            <v>B</v>
          </cell>
          <cell r="H6220">
            <v>8.74</v>
          </cell>
        </row>
        <row r="6221">
          <cell r="A6221" t="str">
            <v>1;33;P;B;PAQ00a02</v>
          </cell>
          <cell r="B6221">
            <v>730069</v>
          </cell>
          <cell r="C6221" t="str">
            <v>P</v>
          </cell>
          <cell r="D6221" t="str">
            <v>PROVINCIAL</v>
          </cell>
          <cell r="E6221" t="str">
            <v>33</v>
          </cell>
          <cell r="F6221" t="str">
            <v>PAQ00a02</v>
          </cell>
          <cell r="G6221" t="str">
            <v>B</v>
          </cell>
          <cell r="H6221">
            <v>9.15</v>
          </cell>
        </row>
        <row r="6222">
          <cell r="A6222" t="str">
            <v>1;33;P;B;PAQ02a05</v>
          </cell>
          <cell r="B6222">
            <v>730069</v>
          </cell>
          <cell r="C6222" t="str">
            <v>P</v>
          </cell>
          <cell r="D6222" t="str">
            <v>PROVINCIAL</v>
          </cell>
          <cell r="E6222" t="str">
            <v>33</v>
          </cell>
          <cell r="F6222" t="str">
            <v>PAQ02a05</v>
          </cell>
          <cell r="G6222" t="str">
            <v>B</v>
          </cell>
          <cell r="H6222">
            <v>12.02</v>
          </cell>
        </row>
        <row r="6223">
          <cell r="A6223" t="str">
            <v>1;33;P;B;PAQ05a10</v>
          </cell>
          <cell r="B6223">
            <v>730069</v>
          </cell>
          <cell r="C6223" t="str">
            <v>P</v>
          </cell>
          <cell r="D6223" t="str">
            <v>PROVINCIAL</v>
          </cell>
          <cell r="E6223" t="str">
            <v>33</v>
          </cell>
          <cell r="F6223" t="str">
            <v>PAQ05a10</v>
          </cell>
          <cell r="G6223" t="str">
            <v>B</v>
          </cell>
          <cell r="H6223">
            <v>13.35</v>
          </cell>
        </row>
        <row r="6224">
          <cell r="A6224" t="str">
            <v>1;33;P;B;PAQ10a15</v>
          </cell>
          <cell r="B6224">
            <v>730069</v>
          </cell>
          <cell r="C6224" t="str">
            <v>P</v>
          </cell>
          <cell r="D6224" t="str">
            <v>PROVINCIAL</v>
          </cell>
          <cell r="E6224" t="str">
            <v>33</v>
          </cell>
          <cell r="F6224" t="str">
            <v>PAQ10a15</v>
          </cell>
          <cell r="G6224" t="str">
            <v>B</v>
          </cell>
          <cell r="H6224">
            <v>14.72</v>
          </cell>
        </row>
        <row r="6225">
          <cell r="A6225" t="str">
            <v>1;33;P;B;PAQ15a20</v>
          </cell>
          <cell r="B6225">
            <v>730069</v>
          </cell>
          <cell r="C6225" t="str">
            <v>P</v>
          </cell>
          <cell r="D6225" t="str">
            <v>PROVINCIAL</v>
          </cell>
          <cell r="E6225" t="str">
            <v>33</v>
          </cell>
          <cell r="F6225" t="str">
            <v>PAQ15a20</v>
          </cell>
          <cell r="G6225" t="str">
            <v>B</v>
          </cell>
          <cell r="H6225">
            <v>16.100000000000001</v>
          </cell>
        </row>
        <row r="6226">
          <cell r="A6226" t="str">
            <v>1;33;P;B;PAQ20a25</v>
          </cell>
          <cell r="B6226">
            <v>730069</v>
          </cell>
          <cell r="C6226" t="str">
            <v>P</v>
          </cell>
          <cell r="D6226" t="str">
            <v>PROVINCIAL</v>
          </cell>
          <cell r="E6226" t="str">
            <v>33</v>
          </cell>
          <cell r="F6226" t="str">
            <v>PAQ20a25</v>
          </cell>
          <cell r="G6226" t="str">
            <v>B</v>
          </cell>
          <cell r="H6226">
            <v>19.8</v>
          </cell>
        </row>
        <row r="6227">
          <cell r="A6227" t="str">
            <v>1;33;P;B;PAQ25a30</v>
          </cell>
          <cell r="B6227">
            <v>730069</v>
          </cell>
          <cell r="C6227" t="str">
            <v>P</v>
          </cell>
          <cell r="D6227" t="str">
            <v>PROVINCIAL</v>
          </cell>
          <cell r="E6227" t="str">
            <v>33</v>
          </cell>
          <cell r="F6227" t="str">
            <v>PAQ25a30</v>
          </cell>
          <cell r="G6227" t="str">
            <v>B</v>
          </cell>
          <cell r="H6227">
            <v>23.51</v>
          </cell>
        </row>
        <row r="6228">
          <cell r="A6228" t="str">
            <v>1;33;P;B;PAQ30a35</v>
          </cell>
          <cell r="B6228">
            <v>730069</v>
          </cell>
          <cell r="C6228" t="str">
            <v>P</v>
          </cell>
          <cell r="D6228" t="str">
            <v>PROVINCIAL</v>
          </cell>
          <cell r="E6228" t="str">
            <v>33</v>
          </cell>
          <cell r="F6228" t="str">
            <v>PAQ30a35</v>
          </cell>
          <cell r="G6228" t="str">
            <v>B</v>
          </cell>
          <cell r="H6228">
            <v>27.23</v>
          </cell>
        </row>
        <row r="6229">
          <cell r="A6229" t="str">
            <v>1;33;P;B;PAQ35a40</v>
          </cell>
          <cell r="B6229">
            <v>730069</v>
          </cell>
          <cell r="C6229" t="str">
            <v>P</v>
          </cell>
          <cell r="D6229" t="str">
            <v>PROVINCIAL</v>
          </cell>
          <cell r="E6229" t="str">
            <v>33</v>
          </cell>
          <cell r="F6229" t="str">
            <v>PAQ35a40</v>
          </cell>
          <cell r="G6229" t="str">
            <v>B</v>
          </cell>
          <cell r="H6229">
            <v>30.93</v>
          </cell>
        </row>
        <row r="6230">
          <cell r="A6230" t="str">
            <v>1;33;P;F;</v>
          </cell>
          <cell r="B6230">
            <v>730069</v>
          </cell>
          <cell r="C6230" t="str">
            <v>P</v>
          </cell>
          <cell r="D6230" t="str">
            <v>PROVINCIAL</v>
          </cell>
          <cell r="E6230" t="str">
            <v>33</v>
          </cell>
          <cell r="F6230" t="str">
            <v/>
          </cell>
          <cell r="G6230" t="str">
            <v>F</v>
          </cell>
          <cell r="H6230">
            <v>3.71</v>
          </cell>
        </row>
        <row r="6231">
          <cell r="A6231" t="str">
            <v>1;33;P;P;</v>
          </cell>
          <cell r="B6231">
            <v>730069</v>
          </cell>
          <cell r="C6231" t="str">
            <v>P</v>
          </cell>
          <cell r="D6231" t="str">
            <v>PROVINCIAL</v>
          </cell>
          <cell r="E6231" t="str">
            <v>33</v>
          </cell>
          <cell r="F6231" t="str">
            <v/>
          </cell>
          <cell r="G6231" t="str">
            <v>P</v>
          </cell>
          <cell r="H6231">
            <v>0</v>
          </cell>
        </row>
        <row r="6232">
          <cell r="A6232" t="str">
            <v>1;33;P;E;</v>
          </cell>
          <cell r="B6232">
            <v>730069</v>
          </cell>
          <cell r="C6232" t="str">
            <v>P</v>
          </cell>
          <cell r="D6232" t="str">
            <v>PROVINCIAL</v>
          </cell>
          <cell r="E6232" t="str">
            <v>33</v>
          </cell>
          <cell r="F6232" t="str">
            <v/>
          </cell>
          <cell r="G6232" t="str">
            <v>E</v>
          </cell>
          <cell r="H6232">
            <v>3.71</v>
          </cell>
        </row>
        <row r="6233">
          <cell r="A6233" t="str">
            <v>1;34;P;B;DOCS</v>
          </cell>
          <cell r="B6233">
            <v>730069</v>
          </cell>
          <cell r="C6233" t="str">
            <v>P</v>
          </cell>
          <cell r="D6233" t="str">
            <v>PROVINCIAL</v>
          </cell>
          <cell r="E6233" t="str">
            <v>34</v>
          </cell>
          <cell r="F6233" t="str">
            <v>DOCS</v>
          </cell>
          <cell r="G6233" t="str">
            <v>B</v>
          </cell>
          <cell r="H6233">
            <v>6.61</v>
          </cell>
        </row>
        <row r="6234">
          <cell r="A6234" t="str">
            <v>1;34;P;B;LAR</v>
          </cell>
          <cell r="B6234">
            <v>730069</v>
          </cell>
          <cell r="C6234" t="str">
            <v>P</v>
          </cell>
          <cell r="D6234" t="str">
            <v>PROVINCIAL</v>
          </cell>
          <cell r="E6234" t="str">
            <v>34</v>
          </cell>
          <cell r="F6234" t="str">
            <v>LAR</v>
          </cell>
          <cell r="G6234" t="str">
            <v>B</v>
          </cell>
          <cell r="H6234">
            <v>22.31</v>
          </cell>
        </row>
        <row r="6235">
          <cell r="A6235" t="str">
            <v>1;34;P;B;MED</v>
          </cell>
          <cell r="B6235">
            <v>730069</v>
          </cell>
          <cell r="C6235" t="str">
            <v>P</v>
          </cell>
          <cell r="D6235" t="str">
            <v>PROVINCIAL</v>
          </cell>
          <cell r="E6235" t="str">
            <v>34</v>
          </cell>
          <cell r="F6235" t="str">
            <v>MED</v>
          </cell>
          <cell r="G6235" t="str">
            <v>B</v>
          </cell>
          <cell r="H6235">
            <v>14.05</v>
          </cell>
        </row>
        <row r="6236">
          <cell r="A6236" t="str">
            <v>1;34;P;B;SMA</v>
          </cell>
          <cell r="B6236">
            <v>730069</v>
          </cell>
          <cell r="C6236" t="str">
            <v>P</v>
          </cell>
          <cell r="D6236" t="str">
            <v>PROVINCIAL</v>
          </cell>
          <cell r="E6236" t="str">
            <v>34</v>
          </cell>
          <cell r="F6236" t="str">
            <v>SMA</v>
          </cell>
          <cell r="G6236" t="str">
            <v>B</v>
          </cell>
          <cell r="H6236">
            <v>9.92</v>
          </cell>
        </row>
        <row r="6237">
          <cell r="A6237" t="str">
            <v>1;35;P;B;BAG</v>
          </cell>
          <cell r="B6237">
            <v>730069</v>
          </cell>
          <cell r="C6237" t="str">
            <v>P</v>
          </cell>
          <cell r="D6237" t="str">
            <v>PROVINCIAL</v>
          </cell>
          <cell r="E6237" t="str">
            <v>35</v>
          </cell>
          <cell r="F6237" t="str">
            <v>BAG</v>
          </cell>
          <cell r="G6237" t="str">
            <v>B</v>
          </cell>
          <cell r="H6237">
            <v>2.21</v>
          </cell>
        </row>
        <row r="6238">
          <cell r="A6238" t="str">
            <v>1;35;P;B;DOCS</v>
          </cell>
          <cell r="B6238">
            <v>730069</v>
          </cell>
          <cell r="C6238" t="str">
            <v>P</v>
          </cell>
          <cell r="D6238" t="str">
            <v>PROVINCIAL</v>
          </cell>
          <cell r="E6238" t="str">
            <v>35</v>
          </cell>
          <cell r="F6238" t="str">
            <v>DOCS</v>
          </cell>
          <cell r="G6238" t="str">
            <v>B</v>
          </cell>
          <cell r="H6238">
            <v>2.21</v>
          </cell>
        </row>
        <row r="6239">
          <cell r="A6239" t="str">
            <v>1;35;P;B;PAQ00a05</v>
          </cell>
          <cell r="B6239">
            <v>730069</v>
          </cell>
          <cell r="C6239" t="str">
            <v>P</v>
          </cell>
          <cell r="D6239" t="str">
            <v>PROVINCIAL</v>
          </cell>
          <cell r="E6239" t="str">
            <v>35</v>
          </cell>
          <cell r="F6239" t="str">
            <v>PAQ00a05</v>
          </cell>
          <cell r="G6239" t="str">
            <v>B</v>
          </cell>
          <cell r="H6239">
            <v>2.21</v>
          </cell>
        </row>
        <row r="6240">
          <cell r="A6240" t="str">
            <v>1;35;P;B;PAQ05a10</v>
          </cell>
          <cell r="B6240">
            <v>730069</v>
          </cell>
          <cell r="C6240" t="str">
            <v>P</v>
          </cell>
          <cell r="D6240" t="str">
            <v>PROVINCIAL</v>
          </cell>
          <cell r="E6240" t="str">
            <v>35</v>
          </cell>
          <cell r="F6240" t="str">
            <v>PAQ05a10</v>
          </cell>
          <cell r="G6240" t="str">
            <v>B</v>
          </cell>
          <cell r="H6240">
            <v>2.21</v>
          </cell>
        </row>
        <row r="6241">
          <cell r="A6241" t="str">
            <v>1;35;P;B;PAQ10a15</v>
          </cell>
          <cell r="B6241">
            <v>730069</v>
          </cell>
          <cell r="C6241" t="str">
            <v>P</v>
          </cell>
          <cell r="D6241" t="str">
            <v>PROVINCIAL</v>
          </cell>
          <cell r="E6241" t="str">
            <v>35</v>
          </cell>
          <cell r="F6241" t="str">
            <v>PAQ10a15</v>
          </cell>
          <cell r="G6241" t="str">
            <v>B</v>
          </cell>
          <cell r="H6241">
            <v>2.21</v>
          </cell>
        </row>
        <row r="6242">
          <cell r="A6242" t="str">
            <v>1;35;P;B;PAQ15a20</v>
          </cell>
          <cell r="B6242">
            <v>730069</v>
          </cell>
          <cell r="C6242" t="str">
            <v>P</v>
          </cell>
          <cell r="D6242" t="str">
            <v>PROVINCIAL</v>
          </cell>
          <cell r="E6242" t="str">
            <v>35</v>
          </cell>
          <cell r="F6242" t="str">
            <v>PAQ15a20</v>
          </cell>
          <cell r="G6242" t="str">
            <v>B</v>
          </cell>
          <cell r="H6242">
            <v>2.21</v>
          </cell>
        </row>
        <row r="6243">
          <cell r="A6243" t="str">
            <v>1;35;P;B;PAQ20a25</v>
          </cell>
          <cell r="B6243">
            <v>730069</v>
          </cell>
          <cell r="C6243" t="str">
            <v>P</v>
          </cell>
          <cell r="D6243" t="str">
            <v>PROVINCIAL</v>
          </cell>
          <cell r="E6243" t="str">
            <v>35</v>
          </cell>
          <cell r="F6243" t="str">
            <v>PAQ20a25</v>
          </cell>
          <cell r="G6243" t="str">
            <v>B</v>
          </cell>
          <cell r="H6243">
            <v>3.96</v>
          </cell>
        </row>
        <row r="6244">
          <cell r="A6244" t="str">
            <v>1;35;P;B;PAQ25a30</v>
          </cell>
          <cell r="B6244">
            <v>730069</v>
          </cell>
          <cell r="C6244" t="str">
            <v>P</v>
          </cell>
          <cell r="D6244" t="str">
            <v>PROVINCIAL</v>
          </cell>
          <cell r="E6244" t="str">
            <v>35</v>
          </cell>
          <cell r="F6244" t="str">
            <v>PAQ25a30</v>
          </cell>
          <cell r="G6244" t="str">
            <v>B</v>
          </cell>
          <cell r="H6244">
            <v>3.96</v>
          </cell>
        </row>
        <row r="6245">
          <cell r="A6245" t="str">
            <v>1;35;P;B;PAQ30a35</v>
          </cell>
          <cell r="B6245">
            <v>730069</v>
          </cell>
          <cell r="C6245" t="str">
            <v>P</v>
          </cell>
          <cell r="D6245" t="str">
            <v>PROVINCIAL</v>
          </cell>
          <cell r="E6245" t="str">
            <v>35</v>
          </cell>
          <cell r="F6245" t="str">
            <v>PAQ30a35</v>
          </cell>
          <cell r="G6245" t="str">
            <v>B</v>
          </cell>
          <cell r="H6245">
            <v>3.96</v>
          </cell>
        </row>
        <row r="6246">
          <cell r="A6246" t="str">
            <v>1;35;P;B;PAQ35a40</v>
          </cell>
          <cell r="B6246">
            <v>730069</v>
          </cell>
          <cell r="C6246" t="str">
            <v>P</v>
          </cell>
          <cell r="D6246" t="str">
            <v>PROVINCIAL</v>
          </cell>
          <cell r="E6246" t="str">
            <v>35</v>
          </cell>
          <cell r="F6246" t="str">
            <v>PAQ35a40</v>
          </cell>
          <cell r="G6246" t="str">
            <v>B</v>
          </cell>
          <cell r="H6246">
            <v>3.96</v>
          </cell>
        </row>
        <row r="6247">
          <cell r="A6247" t="str">
            <v>1;35;P;F;</v>
          </cell>
          <cell r="B6247">
            <v>730069</v>
          </cell>
          <cell r="C6247" t="str">
            <v>P</v>
          </cell>
          <cell r="D6247" t="str">
            <v>PROVINCIAL</v>
          </cell>
          <cell r="E6247" t="str">
            <v>35</v>
          </cell>
          <cell r="F6247" t="str">
            <v/>
          </cell>
          <cell r="G6247" t="str">
            <v>F</v>
          </cell>
          <cell r="H6247">
            <v>1.23</v>
          </cell>
        </row>
        <row r="6248">
          <cell r="A6248" t="str">
            <v>1;35;P;P;</v>
          </cell>
          <cell r="B6248">
            <v>730069</v>
          </cell>
          <cell r="C6248" t="str">
            <v>P</v>
          </cell>
          <cell r="D6248" t="str">
            <v>PROVINCIAL</v>
          </cell>
          <cell r="E6248" t="str">
            <v>35</v>
          </cell>
          <cell r="F6248" t="str">
            <v/>
          </cell>
          <cell r="G6248" t="str">
            <v>P</v>
          </cell>
          <cell r="H6248">
            <v>1.23</v>
          </cell>
        </row>
        <row r="6249">
          <cell r="A6249" t="str">
            <v>1;35;P;E;</v>
          </cell>
          <cell r="B6249">
            <v>730069</v>
          </cell>
          <cell r="C6249" t="str">
            <v>P</v>
          </cell>
          <cell r="D6249" t="str">
            <v>PROVINCIAL</v>
          </cell>
          <cell r="E6249" t="str">
            <v>35</v>
          </cell>
          <cell r="F6249" t="str">
            <v/>
          </cell>
          <cell r="G6249" t="str">
            <v>E</v>
          </cell>
          <cell r="H6249">
            <v>1.23</v>
          </cell>
        </row>
        <row r="6250">
          <cell r="A6250" t="str">
            <v>1;38;P;B;BAG</v>
          </cell>
          <cell r="B6250">
            <v>730069</v>
          </cell>
          <cell r="C6250" t="str">
            <v>P</v>
          </cell>
          <cell r="D6250" t="str">
            <v>PROVINCIAL</v>
          </cell>
          <cell r="E6250" t="str">
            <v>38</v>
          </cell>
          <cell r="F6250" t="str">
            <v>BAG</v>
          </cell>
          <cell r="G6250" t="str">
            <v>B</v>
          </cell>
          <cell r="H6250">
            <v>6.49</v>
          </cell>
        </row>
        <row r="6251">
          <cell r="A6251" t="str">
            <v>1;38;P;B;PAQ00a02</v>
          </cell>
          <cell r="B6251">
            <v>730069</v>
          </cell>
          <cell r="C6251" t="str">
            <v>P</v>
          </cell>
          <cell r="D6251" t="str">
            <v>PROVINCIAL</v>
          </cell>
          <cell r="E6251" t="str">
            <v>38</v>
          </cell>
          <cell r="F6251" t="str">
            <v>PAQ00a02</v>
          </cell>
          <cell r="G6251" t="str">
            <v>B</v>
          </cell>
          <cell r="H6251">
            <v>6.49</v>
          </cell>
        </row>
        <row r="6252">
          <cell r="A6252" t="str">
            <v>1;38;P;B;PAQ02a05</v>
          </cell>
          <cell r="B6252">
            <v>730069</v>
          </cell>
          <cell r="C6252" t="str">
            <v>P</v>
          </cell>
          <cell r="D6252" t="str">
            <v>PROVINCIAL</v>
          </cell>
          <cell r="E6252" t="str">
            <v>38</v>
          </cell>
          <cell r="F6252" t="str">
            <v>PAQ02a05</v>
          </cell>
          <cell r="G6252" t="str">
            <v>B</v>
          </cell>
          <cell r="H6252">
            <v>7.65</v>
          </cell>
        </row>
        <row r="6253">
          <cell r="A6253" t="str">
            <v>1;38;P;B;PAQ05a10</v>
          </cell>
          <cell r="B6253">
            <v>730069</v>
          </cell>
          <cell r="C6253" t="str">
            <v>P</v>
          </cell>
          <cell r="D6253" t="str">
            <v>PROVINCIAL</v>
          </cell>
          <cell r="E6253" t="str">
            <v>38</v>
          </cell>
          <cell r="F6253" t="str">
            <v>PAQ05a10</v>
          </cell>
          <cell r="G6253" t="str">
            <v>B</v>
          </cell>
          <cell r="H6253">
            <v>8.19</v>
          </cell>
        </row>
        <row r="6254">
          <cell r="A6254" t="str">
            <v>1;38;P;B;PAQ10a15</v>
          </cell>
          <cell r="B6254">
            <v>730069</v>
          </cell>
          <cell r="C6254" t="str">
            <v>P</v>
          </cell>
          <cell r="D6254" t="str">
            <v>PROVINCIAL</v>
          </cell>
          <cell r="E6254" t="str">
            <v>38</v>
          </cell>
          <cell r="F6254" t="str">
            <v>PAQ10a15</v>
          </cell>
          <cell r="G6254" t="str">
            <v>B</v>
          </cell>
          <cell r="H6254">
            <v>8.7799999999999994</v>
          </cell>
        </row>
        <row r="6255">
          <cell r="A6255" t="str">
            <v>1;38;P;B;PAQ15a20</v>
          </cell>
          <cell r="B6255">
            <v>730069</v>
          </cell>
          <cell r="C6255" t="str">
            <v>P</v>
          </cell>
          <cell r="D6255" t="str">
            <v>PROVINCIAL</v>
          </cell>
          <cell r="E6255" t="str">
            <v>38</v>
          </cell>
          <cell r="F6255" t="str">
            <v>PAQ15a20</v>
          </cell>
          <cell r="G6255" t="str">
            <v>B</v>
          </cell>
          <cell r="H6255">
            <v>9.2899999999999991</v>
          </cell>
        </row>
        <row r="6256">
          <cell r="A6256" t="str">
            <v>1;40;P;B;PAQ00a02</v>
          </cell>
          <cell r="B6256">
            <v>730069</v>
          </cell>
          <cell r="C6256" t="str">
            <v>P</v>
          </cell>
          <cell r="D6256" t="str">
            <v>PROVINCIAL</v>
          </cell>
          <cell r="E6256" t="str">
            <v>40</v>
          </cell>
          <cell r="F6256" t="str">
            <v>PAQ00a02</v>
          </cell>
          <cell r="G6256" t="str">
            <v>B</v>
          </cell>
          <cell r="H6256">
            <v>5.42</v>
          </cell>
        </row>
        <row r="6257">
          <cell r="A6257" t="str">
            <v>1;40;P;B;PAQ02a05</v>
          </cell>
          <cell r="B6257">
            <v>730069</v>
          </cell>
          <cell r="C6257" t="str">
            <v>P</v>
          </cell>
          <cell r="D6257" t="str">
            <v>PROVINCIAL</v>
          </cell>
          <cell r="E6257" t="str">
            <v>40</v>
          </cell>
          <cell r="F6257" t="str">
            <v>PAQ02a05</v>
          </cell>
          <cell r="G6257" t="str">
            <v>B</v>
          </cell>
          <cell r="H6257">
            <v>6.86</v>
          </cell>
        </row>
        <row r="6258">
          <cell r="A6258" t="str">
            <v>1;40;P;B;PAQ05a10</v>
          </cell>
          <cell r="B6258">
            <v>730069</v>
          </cell>
          <cell r="C6258" t="str">
            <v>P</v>
          </cell>
          <cell r="D6258" t="str">
            <v>PROVINCIAL</v>
          </cell>
          <cell r="E6258" t="str">
            <v>40</v>
          </cell>
          <cell r="F6258" t="str">
            <v>PAQ05a10</v>
          </cell>
          <cell r="G6258" t="str">
            <v>B</v>
          </cell>
          <cell r="H6258">
            <v>7.94</v>
          </cell>
        </row>
        <row r="6259">
          <cell r="A6259" t="str">
            <v>1;40;P;B;PAQ10a15</v>
          </cell>
          <cell r="B6259">
            <v>730069</v>
          </cell>
          <cell r="C6259" t="str">
            <v>P</v>
          </cell>
          <cell r="D6259" t="str">
            <v>PROVINCIAL</v>
          </cell>
          <cell r="E6259" t="str">
            <v>40</v>
          </cell>
          <cell r="F6259" t="str">
            <v>PAQ10a15</v>
          </cell>
          <cell r="G6259" t="str">
            <v>B</v>
          </cell>
          <cell r="H6259">
            <v>8.84</v>
          </cell>
        </row>
        <row r="6260">
          <cell r="A6260" t="str">
            <v>1;40;P;B;PAQ15a20</v>
          </cell>
          <cell r="B6260">
            <v>730069</v>
          </cell>
          <cell r="C6260" t="str">
            <v>P</v>
          </cell>
          <cell r="D6260" t="str">
            <v>PROVINCIAL</v>
          </cell>
          <cell r="E6260" t="str">
            <v>40</v>
          </cell>
          <cell r="F6260" t="str">
            <v>PAQ15a20</v>
          </cell>
          <cell r="G6260" t="str">
            <v>B</v>
          </cell>
          <cell r="H6260">
            <v>9.8800000000000008</v>
          </cell>
        </row>
        <row r="6261">
          <cell r="A6261" t="str">
            <v>1;41;P;B;PAQ00a02</v>
          </cell>
          <cell r="B6261">
            <v>730069</v>
          </cell>
          <cell r="C6261" t="str">
            <v>P</v>
          </cell>
          <cell r="D6261" t="str">
            <v>PROVINCIAL</v>
          </cell>
          <cell r="E6261" t="str">
            <v>41</v>
          </cell>
          <cell r="F6261" t="str">
            <v>PAQ00a02</v>
          </cell>
          <cell r="G6261" t="str">
            <v>B</v>
          </cell>
          <cell r="H6261">
            <v>2.61</v>
          </cell>
        </row>
        <row r="6262">
          <cell r="A6262" t="str">
            <v>1;41;P;B;PAQ02a05</v>
          </cell>
          <cell r="B6262">
            <v>730069</v>
          </cell>
          <cell r="C6262" t="str">
            <v>P</v>
          </cell>
          <cell r="D6262" t="str">
            <v>PROVINCIAL</v>
          </cell>
          <cell r="E6262" t="str">
            <v>41</v>
          </cell>
          <cell r="F6262" t="str">
            <v>PAQ02a05</v>
          </cell>
          <cell r="G6262" t="str">
            <v>B</v>
          </cell>
          <cell r="H6262">
            <v>4.57</v>
          </cell>
        </row>
        <row r="6263">
          <cell r="A6263" t="str">
            <v>1;41;P;B;PAQ05a10</v>
          </cell>
          <cell r="B6263">
            <v>730069</v>
          </cell>
          <cell r="C6263" t="str">
            <v>P</v>
          </cell>
          <cell r="D6263" t="str">
            <v>PROVINCIAL</v>
          </cell>
          <cell r="E6263" t="str">
            <v>41</v>
          </cell>
          <cell r="F6263" t="str">
            <v>PAQ05a10</v>
          </cell>
          <cell r="G6263" t="str">
            <v>B</v>
          </cell>
          <cell r="H6263">
            <v>5.67</v>
          </cell>
        </row>
        <row r="6264">
          <cell r="A6264" t="str">
            <v>1;41;P;B;PAQ10a15</v>
          </cell>
          <cell r="B6264">
            <v>730069</v>
          </cell>
          <cell r="C6264" t="str">
            <v>P</v>
          </cell>
          <cell r="D6264" t="str">
            <v>PROVINCIAL</v>
          </cell>
          <cell r="E6264" t="str">
            <v>41</v>
          </cell>
          <cell r="F6264" t="str">
            <v>PAQ10a15</v>
          </cell>
          <cell r="G6264" t="str">
            <v>B</v>
          </cell>
          <cell r="H6264">
            <v>6.28</v>
          </cell>
        </row>
        <row r="6265">
          <cell r="A6265" t="str">
            <v>1;41;P;B;PAQ15a20</v>
          </cell>
          <cell r="B6265">
            <v>730069</v>
          </cell>
          <cell r="C6265" t="str">
            <v>P</v>
          </cell>
          <cell r="D6265" t="str">
            <v>PROVINCIAL</v>
          </cell>
          <cell r="E6265" t="str">
            <v>41</v>
          </cell>
          <cell r="F6265" t="str">
            <v>PAQ15a20</v>
          </cell>
          <cell r="G6265" t="str">
            <v>B</v>
          </cell>
          <cell r="H6265">
            <v>6.89</v>
          </cell>
        </row>
        <row r="6266">
          <cell r="A6266" t="str">
            <v>1;44;P;B;PAQ00a02</v>
          </cell>
          <cell r="B6266">
            <v>730069</v>
          </cell>
          <cell r="C6266" t="str">
            <v>P</v>
          </cell>
          <cell r="D6266" t="str">
            <v>PROVINCIAL</v>
          </cell>
          <cell r="E6266" t="str">
            <v>44</v>
          </cell>
          <cell r="F6266" t="str">
            <v>PAQ00a02</v>
          </cell>
          <cell r="G6266" t="str">
            <v>B</v>
          </cell>
          <cell r="H6266">
            <v>3.68</v>
          </cell>
        </row>
        <row r="6267">
          <cell r="A6267" t="str">
            <v>1;44;P;B;PAQ02a05</v>
          </cell>
          <cell r="B6267">
            <v>730069</v>
          </cell>
          <cell r="C6267" t="str">
            <v>P</v>
          </cell>
          <cell r="D6267" t="str">
            <v>PROVINCIAL</v>
          </cell>
          <cell r="E6267" t="str">
            <v>44</v>
          </cell>
          <cell r="F6267" t="str">
            <v>PAQ02a05</v>
          </cell>
          <cell r="G6267" t="str">
            <v>B</v>
          </cell>
          <cell r="H6267">
            <v>4.8499999999999996</v>
          </cell>
        </row>
        <row r="6268">
          <cell r="A6268" t="str">
            <v>1;44;P;B;PAQ05a10</v>
          </cell>
          <cell r="B6268">
            <v>730069</v>
          </cell>
          <cell r="C6268" t="str">
            <v>P</v>
          </cell>
          <cell r="D6268" t="str">
            <v>PROVINCIAL</v>
          </cell>
          <cell r="E6268" t="str">
            <v>44</v>
          </cell>
          <cell r="F6268" t="str">
            <v>PAQ05a10</v>
          </cell>
          <cell r="G6268" t="str">
            <v>B</v>
          </cell>
          <cell r="H6268">
            <v>5.41</v>
          </cell>
        </row>
        <row r="6269">
          <cell r="A6269" t="str">
            <v>1;44;P;B;PAQ10a15</v>
          </cell>
          <cell r="B6269">
            <v>730069</v>
          </cell>
          <cell r="C6269" t="str">
            <v>P</v>
          </cell>
          <cell r="D6269" t="str">
            <v>PROVINCIAL</v>
          </cell>
          <cell r="E6269" t="str">
            <v>44</v>
          </cell>
          <cell r="F6269" t="str">
            <v>PAQ10a15</v>
          </cell>
          <cell r="G6269" t="str">
            <v>B</v>
          </cell>
          <cell r="H6269">
            <v>6.39</v>
          </cell>
        </row>
        <row r="6270">
          <cell r="A6270" t="str">
            <v>1;44;P;B;PAQ15a20</v>
          </cell>
          <cell r="B6270">
            <v>730069</v>
          </cell>
          <cell r="C6270" t="str">
            <v>P</v>
          </cell>
          <cell r="D6270" t="str">
            <v>PROVINCIAL</v>
          </cell>
          <cell r="E6270" t="str">
            <v>44</v>
          </cell>
          <cell r="F6270" t="str">
            <v>PAQ15a20</v>
          </cell>
          <cell r="G6270" t="str">
            <v>B</v>
          </cell>
          <cell r="H6270">
            <v>7.47</v>
          </cell>
        </row>
        <row r="6271">
          <cell r="A6271" t="str">
            <v>1;60;P;B;BAG</v>
          </cell>
          <cell r="B6271">
            <v>730069</v>
          </cell>
          <cell r="C6271" t="str">
            <v>P</v>
          </cell>
          <cell r="D6271" t="str">
            <v>PROVINCIAL</v>
          </cell>
          <cell r="E6271" t="str">
            <v>60</v>
          </cell>
          <cell r="F6271" t="str">
            <v>BAG</v>
          </cell>
          <cell r="G6271" t="str">
            <v>B</v>
          </cell>
          <cell r="H6271">
            <v>24.84</v>
          </cell>
        </row>
        <row r="6272">
          <cell r="A6272" t="str">
            <v>1;60;P;B;PAQ00a05</v>
          </cell>
          <cell r="B6272">
            <v>730069</v>
          </cell>
          <cell r="C6272" t="str">
            <v>P</v>
          </cell>
          <cell r="D6272" t="str">
            <v>PROVINCIAL</v>
          </cell>
          <cell r="E6272" t="str">
            <v>60</v>
          </cell>
          <cell r="F6272" t="str">
            <v>PAQ00a05</v>
          </cell>
          <cell r="G6272" t="str">
            <v>B</v>
          </cell>
          <cell r="H6272">
            <v>25.49</v>
          </cell>
        </row>
        <row r="6273">
          <cell r="A6273" t="str">
            <v>1;60;P;B;PAQ05a10</v>
          </cell>
          <cell r="B6273">
            <v>730069</v>
          </cell>
          <cell r="C6273" t="str">
            <v>P</v>
          </cell>
          <cell r="D6273" t="str">
            <v>PROVINCIAL</v>
          </cell>
          <cell r="E6273" t="str">
            <v>60</v>
          </cell>
          <cell r="F6273" t="str">
            <v>PAQ05a10</v>
          </cell>
          <cell r="G6273" t="str">
            <v>B</v>
          </cell>
          <cell r="H6273">
            <v>34.479999999999997</v>
          </cell>
        </row>
        <row r="6274">
          <cell r="A6274" t="str">
            <v>1;60;P;B;PAQ10a15</v>
          </cell>
          <cell r="B6274">
            <v>730069</v>
          </cell>
          <cell r="C6274" t="str">
            <v>P</v>
          </cell>
          <cell r="D6274" t="str">
            <v>PROVINCIAL</v>
          </cell>
          <cell r="E6274" t="str">
            <v>60</v>
          </cell>
          <cell r="F6274" t="str">
            <v>PAQ10a15</v>
          </cell>
          <cell r="G6274" t="str">
            <v>B</v>
          </cell>
          <cell r="H6274">
            <v>44.46</v>
          </cell>
        </row>
        <row r="6275">
          <cell r="A6275" t="str">
            <v>1;60;P;B;PAQ15a20</v>
          </cell>
          <cell r="B6275">
            <v>730069</v>
          </cell>
          <cell r="C6275" t="str">
            <v>P</v>
          </cell>
          <cell r="D6275" t="str">
            <v>PROVINCIAL</v>
          </cell>
          <cell r="E6275" t="str">
            <v>60</v>
          </cell>
          <cell r="F6275" t="str">
            <v>PAQ15a20</v>
          </cell>
          <cell r="G6275" t="str">
            <v>B</v>
          </cell>
          <cell r="H6275">
            <v>54.44</v>
          </cell>
        </row>
        <row r="6276">
          <cell r="A6276" t="str">
            <v>1;60;P;B;PAQ20a25</v>
          </cell>
          <cell r="B6276">
            <v>730069</v>
          </cell>
          <cell r="C6276" t="str">
            <v>P</v>
          </cell>
          <cell r="D6276" t="str">
            <v>PROVINCIAL</v>
          </cell>
          <cell r="E6276" t="str">
            <v>60</v>
          </cell>
          <cell r="F6276" t="str">
            <v>PAQ20a25</v>
          </cell>
          <cell r="G6276" t="str">
            <v>B</v>
          </cell>
          <cell r="H6276">
            <v>64.430000000000007</v>
          </cell>
        </row>
        <row r="6277">
          <cell r="A6277" t="str">
            <v>1;60;P;B;PAQ25a30</v>
          </cell>
          <cell r="B6277">
            <v>730069</v>
          </cell>
          <cell r="C6277" t="str">
            <v>P</v>
          </cell>
          <cell r="D6277" t="str">
            <v>PROVINCIAL</v>
          </cell>
          <cell r="E6277" t="str">
            <v>60</v>
          </cell>
          <cell r="F6277" t="str">
            <v>PAQ25a30</v>
          </cell>
          <cell r="G6277" t="str">
            <v>B</v>
          </cell>
          <cell r="H6277">
            <v>74.400000000000006</v>
          </cell>
        </row>
        <row r="6278">
          <cell r="A6278" t="str">
            <v>1;60;P;B;PAQ30a35</v>
          </cell>
          <cell r="B6278">
            <v>730069</v>
          </cell>
          <cell r="C6278" t="str">
            <v>P</v>
          </cell>
          <cell r="D6278" t="str">
            <v>PROVINCIAL</v>
          </cell>
          <cell r="E6278" t="str">
            <v>60</v>
          </cell>
          <cell r="F6278" t="str">
            <v>PAQ30a35</v>
          </cell>
          <cell r="G6278" t="str">
            <v>B</v>
          </cell>
          <cell r="H6278">
            <v>84.39</v>
          </cell>
        </row>
        <row r="6279">
          <cell r="A6279" t="str">
            <v>1;60;P;B;PAQ35a40</v>
          </cell>
          <cell r="B6279">
            <v>730069</v>
          </cell>
          <cell r="C6279" t="str">
            <v>P</v>
          </cell>
          <cell r="D6279" t="str">
            <v>PROVINCIAL</v>
          </cell>
          <cell r="E6279" t="str">
            <v>60</v>
          </cell>
          <cell r="F6279" t="str">
            <v>PAQ35a40</v>
          </cell>
          <cell r="G6279" t="str">
            <v>B</v>
          </cell>
          <cell r="H6279">
            <v>94.37</v>
          </cell>
        </row>
        <row r="6280">
          <cell r="A6280" t="str">
            <v>1;60;P;F;</v>
          </cell>
          <cell r="B6280">
            <v>730069</v>
          </cell>
          <cell r="C6280" t="str">
            <v>P</v>
          </cell>
          <cell r="D6280" t="str">
            <v>PROVINCIAL</v>
          </cell>
          <cell r="E6280" t="str">
            <v>60</v>
          </cell>
          <cell r="F6280" t="str">
            <v/>
          </cell>
          <cell r="G6280" t="str">
            <v>F</v>
          </cell>
          <cell r="H6280">
            <v>9.99</v>
          </cell>
        </row>
        <row r="6281">
          <cell r="A6281" t="str">
            <v>1;60;P;E;</v>
          </cell>
          <cell r="B6281">
            <v>730069</v>
          </cell>
          <cell r="C6281" t="str">
            <v>P</v>
          </cell>
          <cell r="D6281" t="str">
            <v>PROVINCIAL</v>
          </cell>
          <cell r="E6281" t="str">
            <v>60</v>
          </cell>
          <cell r="F6281" t="str">
            <v/>
          </cell>
          <cell r="G6281" t="str">
            <v>E</v>
          </cell>
          <cell r="H6281">
            <v>14.26</v>
          </cell>
        </row>
        <row r="6282">
          <cell r="A6282" t="str">
            <v>1;60;P;P;</v>
          </cell>
          <cell r="B6282">
            <v>730069</v>
          </cell>
          <cell r="C6282" t="str">
            <v>P</v>
          </cell>
          <cell r="D6282" t="str">
            <v>PROVINCIAL</v>
          </cell>
          <cell r="E6282" t="str">
            <v>60</v>
          </cell>
          <cell r="F6282" t="str">
            <v/>
          </cell>
          <cell r="G6282" t="str">
            <v>P</v>
          </cell>
          <cell r="H6282">
            <v>14.26</v>
          </cell>
        </row>
        <row r="6283">
          <cell r="A6283" t="str">
            <v>1;61;P;B;BAG</v>
          </cell>
          <cell r="B6283">
            <v>730069</v>
          </cell>
          <cell r="C6283" t="str">
            <v>P</v>
          </cell>
          <cell r="D6283" t="str">
            <v>PROVINCIAL</v>
          </cell>
          <cell r="E6283" t="str">
            <v>61</v>
          </cell>
          <cell r="F6283" t="str">
            <v>BAG</v>
          </cell>
          <cell r="G6283" t="str">
            <v>B</v>
          </cell>
          <cell r="H6283">
            <v>13.61</v>
          </cell>
        </row>
        <row r="6284">
          <cell r="A6284" t="str">
            <v>1;61;P;B;PAQ00a05</v>
          </cell>
          <cell r="B6284">
            <v>730069</v>
          </cell>
          <cell r="C6284" t="str">
            <v>P</v>
          </cell>
          <cell r="D6284" t="str">
            <v>PROVINCIAL</v>
          </cell>
          <cell r="E6284" t="str">
            <v>61</v>
          </cell>
          <cell r="F6284" t="str">
            <v>PAQ00a05</v>
          </cell>
          <cell r="G6284" t="str">
            <v>B</v>
          </cell>
          <cell r="H6284">
            <v>14.26</v>
          </cell>
        </row>
        <row r="6285">
          <cell r="A6285" t="str">
            <v>1;61;P;B;PAQ05a10</v>
          </cell>
          <cell r="B6285">
            <v>730069</v>
          </cell>
          <cell r="C6285" t="str">
            <v>P</v>
          </cell>
          <cell r="D6285" t="str">
            <v>PROVINCIAL</v>
          </cell>
          <cell r="E6285" t="str">
            <v>61</v>
          </cell>
          <cell r="F6285" t="str">
            <v>PAQ05a10</v>
          </cell>
          <cell r="G6285" t="str">
            <v>B</v>
          </cell>
          <cell r="H6285">
            <v>23.23</v>
          </cell>
        </row>
        <row r="6286">
          <cell r="A6286" t="str">
            <v>1;61;P;B;PAQ10a15</v>
          </cell>
          <cell r="B6286">
            <v>730069</v>
          </cell>
          <cell r="C6286" t="str">
            <v>P</v>
          </cell>
          <cell r="D6286" t="str">
            <v>PROVINCIAL</v>
          </cell>
          <cell r="E6286" t="str">
            <v>61</v>
          </cell>
          <cell r="F6286" t="str">
            <v>PAQ10a15</v>
          </cell>
          <cell r="G6286" t="str">
            <v>B</v>
          </cell>
          <cell r="H6286">
            <v>33.21</v>
          </cell>
        </row>
        <row r="6287">
          <cell r="A6287" t="str">
            <v>1;61;P;B;PAQ15a20</v>
          </cell>
          <cell r="B6287">
            <v>730069</v>
          </cell>
          <cell r="C6287" t="str">
            <v>P</v>
          </cell>
          <cell r="D6287" t="str">
            <v>PROVINCIAL</v>
          </cell>
          <cell r="E6287" t="str">
            <v>61</v>
          </cell>
          <cell r="F6287" t="str">
            <v>PAQ15a20</v>
          </cell>
          <cell r="G6287" t="str">
            <v>B</v>
          </cell>
          <cell r="H6287">
            <v>43.2</v>
          </cell>
        </row>
        <row r="6288">
          <cell r="A6288" t="str">
            <v>1;61;P;B;PAQ20a25</v>
          </cell>
          <cell r="B6288">
            <v>730069</v>
          </cell>
          <cell r="C6288" t="str">
            <v>P</v>
          </cell>
          <cell r="D6288" t="str">
            <v>PROVINCIAL</v>
          </cell>
          <cell r="E6288" t="str">
            <v>61</v>
          </cell>
          <cell r="F6288" t="str">
            <v>PAQ20a25</v>
          </cell>
          <cell r="G6288" t="str">
            <v>B</v>
          </cell>
          <cell r="H6288">
            <v>53.18</v>
          </cell>
        </row>
        <row r="6289">
          <cell r="A6289" t="str">
            <v>1;61;P;B;PAQ25a30</v>
          </cell>
          <cell r="B6289">
            <v>730069</v>
          </cell>
          <cell r="C6289" t="str">
            <v>P</v>
          </cell>
          <cell r="D6289" t="str">
            <v>PROVINCIAL</v>
          </cell>
          <cell r="E6289" t="str">
            <v>61</v>
          </cell>
          <cell r="F6289" t="str">
            <v>PAQ25a30</v>
          </cell>
          <cell r="G6289" t="str">
            <v>B</v>
          </cell>
          <cell r="H6289">
            <v>63.16</v>
          </cell>
        </row>
        <row r="6290">
          <cell r="A6290" t="str">
            <v>1;61;P;B;PAQ30a35</v>
          </cell>
          <cell r="B6290">
            <v>730069</v>
          </cell>
          <cell r="C6290" t="str">
            <v>P</v>
          </cell>
          <cell r="D6290" t="str">
            <v>PROVINCIAL</v>
          </cell>
          <cell r="E6290" t="str">
            <v>61</v>
          </cell>
          <cell r="F6290" t="str">
            <v>PAQ30a35</v>
          </cell>
          <cell r="G6290" t="str">
            <v>B</v>
          </cell>
          <cell r="H6290">
            <v>73.14</v>
          </cell>
        </row>
        <row r="6291">
          <cell r="A6291" t="str">
            <v>1;61;P;F;</v>
          </cell>
          <cell r="B6291">
            <v>730069</v>
          </cell>
          <cell r="C6291" t="str">
            <v>P</v>
          </cell>
          <cell r="D6291" t="str">
            <v>PROVINCIAL</v>
          </cell>
          <cell r="E6291" t="str">
            <v>61</v>
          </cell>
          <cell r="F6291" t="str">
            <v/>
          </cell>
          <cell r="G6291" t="str">
            <v>F</v>
          </cell>
          <cell r="H6291">
            <v>9.99</v>
          </cell>
        </row>
        <row r="6292">
          <cell r="A6292" t="str">
            <v>1;61;P;B;PAQ35a40</v>
          </cell>
          <cell r="B6292">
            <v>730069</v>
          </cell>
          <cell r="C6292" t="str">
            <v>P</v>
          </cell>
          <cell r="D6292" t="str">
            <v>PROVINCIAL</v>
          </cell>
          <cell r="E6292" t="str">
            <v>61</v>
          </cell>
          <cell r="F6292" t="str">
            <v>PAQ35a40</v>
          </cell>
          <cell r="G6292" t="str">
            <v>B</v>
          </cell>
          <cell r="H6292">
            <v>83.13</v>
          </cell>
        </row>
        <row r="6293">
          <cell r="A6293" t="str">
            <v>1;61;P;E;</v>
          </cell>
          <cell r="B6293">
            <v>730069</v>
          </cell>
          <cell r="C6293" t="str">
            <v>P</v>
          </cell>
          <cell r="D6293" t="str">
            <v>PROVINCIAL</v>
          </cell>
          <cell r="E6293" t="str">
            <v>61</v>
          </cell>
          <cell r="F6293" t="str">
            <v/>
          </cell>
          <cell r="G6293" t="str">
            <v>E</v>
          </cell>
          <cell r="H6293">
            <v>14.26</v>
          </cell>
        </row>
        <row r="6294">
          <cell r="A6294" t="str">
            <v>1;61;P;P;</v>
          </cell>
          <cell r="B6294">
            <v>730069</v>
          </cell>
          <cell r="C6294" t="str">
            <v>P</v>
          </cell>
          <cell r="D6294" t="str">
            <v>PROVINCIAL</v>
          </cell>
          <cell r="E6294" t="str">
            <v>61</v>
          </cell>
          <cell r="F6294" t="str">
            <v/>
          </cell>
          <cell r="G6294" t="str">
            <v>P</v>
          </cell>
          <cell r="H6294">
            <v>14.26</v>
          </cell>
        </row>
        <row r="6295">
          <cell r="A6295" t="str">
            <v>1;62;P;B;BAG</v>
          </cell>
          <cell r="B6295">
            <v>730069</v>
          </cell>
          <cell r="C6295" t="str">
            <v>P</v>
          </cell>
          <cell r="D6295" t="str">
            <v>PROVINCIAL</v>
          </cell>
          <cell r="E6295" t="str">
            <v>62</v>
          </cell>
          <cell r="F6295" t="str">
            <v>BAG</v>
          </cell>
          <cell r="G6295" t="str">
            <v>B</v>
          </cell>
          <cell r="H6295">
            <v>11.56</v>
          </cell>
        </row>
        <row r="6296">
          <cell r="A6296" t="str">
            <v>1;62;P;B;PAQ00a05</v>
          </cell>
          <cell r="B6296">
            <v>730069</v>
          </cell>
          <cell r="C6296" t="str">
            <v>P</v>
          </cell>
          <cell r="D6296" t="str">
            <v>PROVINCIAL</v>
          </cell>
          <cell r="E6296" t="str">
            <v>62</v>
          </cell>
          <cell r="F6296" t="str">
            <v>PAQ00a05</v>
          </cell>
          <cell r="G6296" t="str">
            <v>B</v>
          </cell>
          <cell r="H6296">
            <v>13.3</v>
          </cell>
        </row>
        <row r="6297">
          <cell r="A6297" t="str">
            <v>1;62;P;B;PAQ05a10</v>
          </cell>
          <cell r="B6297">
            <v>730069</v>
          </cell>
          <cell r="C6297" t="str">
            <v>P</v>
          </cell>
          <cell r="D6297" t="str">
            <v>PROVINCIAL</v>
          </cell>
          <cell r="E6297" t="str">
            <v>62</v>
          </cell>
          <cell r="F6297" t="str">
            <v>PAQ05a10</v>
          </cell>
          <cell r="G6297" t="str">
            <v>B</v>
          </cell>
          <cell r="H6297">
            <v>14.51</v>
          </cell>
        </row>
        <row r="6298">
          <cell r="A6298" t="str">
            <v>1;62;P;B;PAQ10a15</v>
          </cell>
          <cell r="B6298">
            <v>730069</v>
          </cell>
          <cell r="C6298" t="str">
            <v>P</v>
          </cell>
          <cell r="D6298" t="str">
            <v>PROVINCIAL</v>
          </cell>
          <cell r="E6298" t="str">
            <v>62</v>
          </cell>
          <cell r="F6298" t="str">
            <v>PAQ10a15</v>
          </cell>
          <cell r="G6298" t="str">
            <v>B</v>
          </cell>
          <cell r="H6298">
            <v>17.39</v>
          </cell>
        </row>
        <row r="6299">
          <cell r="A6299" t="str">
            <v>1;62;P;B;PAQ15a20</v>
          </cell>
          <cell r="B6299">
            <v>730069</v>
          </cell>
          <cell r="C6299" t="str">
            <v>P</v>
          </cell>
          <cell r="D6299" t="str">
            <v>PROVINCIAL</v>
          </cell>
          <cell r="E6299" t="str">
            <v>62</v>
          </cell>
          <cell r="F6299" t="str">
            <v>PAQ15a20</v>
          </cell>
          <cell r="G6299" t="str">
            <v>B</v>
          </cell>
          <cell r="H6299">
            <v>20.25</v>
          </cell>
        </row>
        <row r="6300">
          <cell r="A6300" t="str">
            <v>1;62;P;B;PAQ20a25</v>
          </cell>
          <cell r="B6300">
            <v>730069</v>
          </cell>
          <cell r="C6300" t="str">
            <v>P</v>
          </cell>
          <cell r="D6300" t="str">
            <v>PROVINCIAL</v>
          </cell>
          <cell r="E6300" t="str">
            <v>62</v>
          </cell>
          <cell r="F6300" t="str">
            <v>PAQ20a25</v>
          </cell>
          <cell r="G6300" t="str">
            <v>B</v>
          </cell>
          <cell r="H6300">
            <v>23.13</v>
          </cell>
        </row>
        <row r="6301">
          <cell r="A6301" t="str">
            <v>1;62;P;B;PAQ25a30</v>
          </cell>
          <cell r="B6301">
            <v>730069</v>
          </cell>
          <cell r="C6301" t="str">
            <v>P</v>
          </cell>
          <cell r="D6301" t="str">
            <v>PROVINCIAL</v>
          </cell>
          <cell r="E6301" t="str">
            <v>62</v>
          </cell>
          <cell r="F6301" t="str">
            <v>PAQ25a30</v>
          </cell>
          <cell r="G6301" t="str">
            <v>B</v>
          </cell>
          <cell r="H6301">
            <v>26.01</v>
          </cell>
        </row>
        <row r="6302">
          <cell r="A6302" t="str">
            <v>1;62;P;B;PAQ30a35</v>
          </cell>
          <cell r="B6302">
            <v>730069</v>
          </cell>
          <cell r="C6302" t="str">
            <v>P</v>
          </cell>
          <cell r="D6302" t="str">
            <v>PROVINCIAL</v>
          </cell>
          <cell r="E6302" t="str">
            <v>62</v>
          </cell>
          <cell r="F6302" t="str">
            <v>PAQ30a35</v>
          </cell>
          <cell r="G6302" t="str">
            <v>B</v>
          </cell>
          <cell r="H6302">
            <v>28.88</v>
          </cell>
        </row>
        <row r="6303">
          <cell r="A6303" t="str">
            <v>1;62;P;B;PAQ35a40</v>
          </cell>
          <cell r="B6303">
            <v>730069</v>
          </cell>
          <cell r="C6303" t="str">
            <v>P</v>
          </cell>
          <cell r="D6303" t="str">
            <v>PROVINCIAL</v>
          </cell>
          <cell r="E6303" t="str">
            <v>62</v>
          </cell>
          <cell r="F6303" t="str">
            <v>PAQ35a40</v>
          </cell>
          <cell r="G6303" t="str">
            <v>B</v>
          </cell>
          <cell r="H6303">
            <v>31.75</v>
          </cell>
        </row>
        <row r="6304">
          <cell r="A6304" t="str">
            <v>1;62;P;F;</v>
          </cell>
          <cell r="B6304">
            <v>730069</v>
          </cell>
          <cell r="C6304" t="str">
            <v>P</v>
          </cell>
          <cell r="D6304" t="str">
            <v>PROVINCIAL</v>
          </cell>
          <cell r="E6304" t="str">
            <v>62</v>
          </cell>
          <cell r="F6304" t="str">
            <v/>
          </cell>
          <cell r="G6304" t="str">
            <v>F</v>
          </cell>
          <cell r="H6304">
            <v>3.48</v>
          </cell>
        </row>
        <row r="6305">
          <cell r="A6305" t="str">
            <v>1;62;P;P;</v>
          </cell>
          <cell r="B6305">
            <v>730069</v>
          </cell>
          <cell r="C6305" t="str">
            <v>P</v>
          </cell>
          <cell r="D6305" t="str">
            <v>PROVINCIAL</v>
          </cell>
          <cell r="E6305" t="str">
            <v>62</v>
          </cell>
          <cell r="F6305" t="str">
            <v/>
          </cell>
          <cell r="G6305" t="str">
            <v>P</v>
          </cell>
          <cell r="H6305">
            <v>13.3</v>
          </cell>
        </row>
        <row r="6306">
          <cell r="A6306" t="str">
            <v>1;62;P;E;</v>
          </cell>
          <cell r="B6306">
            <v>730069</v>
          </cell>
          <cell r="C6306" t="str">
            <v>P</v>
          </cell>
          <cell r="D6306" t="str">
            <v>PROVINCIAL</v>
          </cell>
          <cell r="E6306" t="str">
            <v>62</v>
          </cell>
          <cell r="F6306" t="str">
            <v/>
          </cell>
          <cell r="G6306" t="str">
            <v>E</v>
          </cell>
          <cell r="H6306">
            <v>13.3</v>
          </cell>
        </row>
        <row r="6307">
          <cell r="A6307" t="str">
            <v>1;63;P;B;BAG</v>
          </cell>
          <cell r="B6307">
            <v>730069</v>
          </cell>
          <cell r="C6307" t="str">
            <v>P</v>
          </cell>
          <cell r="D6307" t="str">
            <v>PROVINCIAL</v>
          </cell>
          <cell r="E6307" t="str">
            <v>63</v>
          </cell>
          <cell r="F6307" t="str">
            <v>BAG</v>
          </cell>
          <cell r="G6307" t="str">
            <v>B</v>
          </cell>
          <cell r="H6307">
            <v>18.829999999999998</v>
          </cell>
        </row>
        <row r="6308">
          <cell r="A6308" t="str">
            <v>1;63;P;B;PAQ00a05</v>
          </cell>
          <cell r="B6308">
            <v>730069</v>
          </cell>
          <cell r="C6308" t="str">
            <v>P</v>
          </cell>
          <cell r="D6308" t="str">
            <v>PROVINCIAL</v>
          </cell>
          <cell r="E6308" t="str">
            <v>63</v>
          </cell>
          <cell r="F6308" t="str">
            <v>PAQ00a05</v>
          </cell>
          <cell r="G6308" t="str">
            <v>B</v>
          </cell>
          <cell r="H6308">
            <v>20.58</v>
          </cell>
        </row>
        <row r="6309">
          <cell r="A6309" t="str">
            <v>1;63;P;B;PAQ05a10</v>
          </cell>
          <cell r="B6309">
            <v>730069</v>
          </cell>
          <cell r="C6309" t="str">
            <v>P</v>
          </cell>
          <cell r="D6309" t="str">
            <v>PROVINCIAL</v>
          </cell>
          <cell r="E6309" t="str">
            <v>63</v>
          </cell>
          <cell r="F6309" t="str">
            <v>PAQ05a10</v>
          </cell>
          <cell r="G6309" t="str">
            <v>B</v>
          </cell>
          <cell r="H6309">
            <v>21.79</v>
          </cell>
        </row>
        <row r="6310">
          <cell r="A6310" t="str">
            <v>1;63;P;B;PAQ10a15</v>
          </cell>
          <cell r="B6310">
            <v>730069</v>
          </cell>
          <cell r="C6310" t="str">
            <v>P</v>
          </cell>
          <cell r="D6310" t="str">
            <v>PROVINCIAL</v>
          </cell>
          <cell r="E6310" t="str">
            <v>63</v>
          </cell>
          <cell r="F6310" t="str">
            <v>PAQ10a15</v>
          </cell>
          <cell r="G6310" t="str">
            <v>B</v>
          </cell>
          <cell r="H6310">
            <v>24.66</v>
          </cell>
        </row>
        <row r="6311">
          <cell r="A6311" t="str">
            <v>1;63;P;B;PAQ15a20</v>
          </cell>
          <cell r="B6311">
            <v>730069</v>
          </cell>
          <cell r="C6311" t="str">
            <v>P</v>
          </cell>
          <cell r="D6311" t="str">
            <v>PROVINCIAL</v>
          </cell>
          <cell r="E6311" t="str">
            <v>63</v>
          </cell>
          <cell r="F6311" t="str">
            <v>PAQ15a20</v>
          </cell>
          <cell r="G6311" t="str">
            <v>B</v>
          </cell>
          <cell r="H6311">
            <v>27.53</v>
          </cell>
        </row>
        <row r="6312">
          <cell r="A6312" t="str">
            <v>1;63;P;B;PAQ20a25</v>
          </cell>
          <cell r="B6312">
            <v>730069</v>
          </cell>
          <cell r="C6312" t="str">
            <v>P</v>
          </cell>
          <cell r="D6312" t="str">
            <v>PROVINCIAL</v>
          </cell>
          <cell r="E6312" t="str">
            <v>63</v>
          </cell>
          <cell r="F6312" t="str">
            <v>PAQ20a25</v>
          </cell>
          <cell r="G6312" t="str">
            <v>B</v>
          </cell>
          <cell r="H6312">
            <v>30.41</v>
          </cell>
        </row>
        <row r="6313">
          <cell r="A6313" t="str">
            <v>1;63;P;B;PAQ25a30</v>
          </cell>
          <cell r="B6313">
            <v>730069</v>
          </cell>
          <cell r="C6313" t="str">
            <v>P</v>
          </cell>
          <cell r="D6313" t="str">
            <v>PROVINCIAL</v>
          </cell>
          <cell r="E6313" t="str">
            <v>63</v>
          </cell>
          <cell r="F6313" t="str">
            <v>PAQ25a30</v>
          </cell>
          <cell r="G6313" t="str">
            <v>B</v>
          </cell>
          <cell r="H6313">
            <v>33.29</v>
          </cell>
        </row>
        <row r="6314">
          <cell r="A6314" t="str">
            <v>1;63;P;B;PAQ30a35</v>
          </cell>
          <cell r="B6314">
            <v>730069</v>
          </cell>
          <cell r="C6314" t="str">
            <v>P</v>
          </cell>
          <cell r="D6314" t="str">
            <v>PROVINCIAL</v>
          </cell>
          <cell r="E6314" t="str">
            <v>63</v>
          </cell>
          <cell r="F6314" t="str">
            <v>PAQ30a35</v>
          </cell>
          <cell r="G6314" t="str">
            <v>B</v>
          </cell>
          <cell r="H6314">
            <v>36.15</v>
          </cell>
        </row>
        <row r="6315">
          <cell r="A6315" t="str">
            <v>1;63;P;B;PAQ35a40</v>
          </cell>
          <cell r="B6315">
            <v>730069</v>
          </cell>
          <cell r="C6315" t="str">
            <v>P</v>
          </cell>
          <cell r="D6315" t="str">
            <v>PROVINCIAL</v>
          </cell>
          <cell r="E6315" t="str">
            <v>63</v>
          </cell>
          <cell r="F6315" t="str">
            <v>PAQ35a40</v>
          </cell>
          <cell r="G6315" t="str">
            <v>B</v>
          </cell>
          <cell r="H6315">
            <v>39.03</v>
          </cell>
        </row>
        <row r="6316">
          <cell r="A6316" t="str">
            <v>1;63;P;F;</v>
          </cell>
          <cell r="B6316">
            <v>730069</v>
          </cell>
          <cell r="C6316" t="str">
            <v>P</v>
          </cell>
          <cell r="D6316" t="str">
            <v>PROVINCIAL</v>
          </cell>
          <cell r="E6316" t="str">
            <v>63</v>
          </cell>
          <cell r="F6316" t="str">
            <v/>
          </cell>
          <cell r="G6316" t="str">
            <v>F</v>
          </cell>
          <cell r="H6316">
            <v>3.48</v>
          </cell>
        </row>
        <row r="6317">
          <cell r="A6317" t="str">
            <v>1;63;P;E;</v>
          </cell>
          <cell r="B6317">
            <v>730069</v>
          </cell>
          <cell r="C6317" t="str">
            <v>P</v>
          </cell>
          <cell r="D6317" t="str">
            <v>PROVINCIAL</v>
          </cell>
          <cell r="E6317" t="str">
            <v>63</v>
          </cell>
          <cell r="F6317" t="str">
            <v/>
          </cell>
          <cell r="G6317" t="str">
            <v>E</v>
          </cell>
          <cell r="H6317">
            <v>13.3</v>
          </cell>
        </row>
        <row r="6318">
          <cell r="A6318" t="str">
            <v>1;63;P;P;</v>
          </cell>
          <cell r="B6318">
            <v>730069</v>
          </cell>
          <cell r="C6318" t="str">
            <v>P</v>
          </cell>
          <cell r="D6318" t="str">
            <v>PROVINCIAL</v>
          </cell>
          <cell r="E6318" t="str">
            <v>63</v>
          </cell>
          <cell r="F6318" t="str">
            <v/>
          </cell>
          <cell r="G6318" t="str">
            <v>P</v>
          </cell>
          <cell r="H6318">
            <v>13.3</v>
          </cell>
        </row>
        <row r="6319">
          <cell r="A6319" t="str">
            <v>1;65;P;B;BAG</v>
          </cell>
          <cell r="B6319">
            <v>730069</v>
          </cell>
          <cell r="C6319" t="str">
            <v>P</v>
          </cell>
          <cell r="D6319" t="str">
            <v>PROVINCIAL</v>
          </cell>
          <cell r="E6319" t="str">
            <v>65</v>
          </cell>
          <cell r="F6319" t="str">
            <v>BAG</v>
          </cell>
          <cell r="G6319" t="str">
            <v>B</v>
          </cell>
          <cell r="H6319">
            <v>11.56</v>
          </cell>
        </row>
        <row r="6320">
          <cell r="A6320" t="str">
            <v>1;65;P;B;PAQ00a05</v>
          </cell>
          <cell r="B6320">
            <v>730069</v>
          </cell>
          <cell r="C6320" t="str">
            <v>P</v>
          </cell>
          <cell r="D6320" t="str">
            <v>PROVINCIAL</v>
          </cell>
          <cell r="E6320" t="str">
            <v>65</v>
          </cell>
          <cell r="F6320" t="str">
            <v>PAQ00a05</v>
          </cell>
          <cell r="G6320" t="str">
            <v>B</v>
          </cell>
          <cell r="H6320">
            <v>13.3</v>
          </cell>
        </row>
        <row r="6321">
          <cell r="A6321" t="str">
            <v>1;65;P;B;PAQ05a10</v>
          </cell>
          <cell r="B6321">
            <v>730069</v>
          </cell>
          <cell r="C6321" t="str">
            <v>P</v>
          </cell>
          <cell r="D6321" t="str">
            <v>PROVINCIAL</v>
          </cell>
          <cell r="E6321" t="str">
            <v>65</v>
          </cell>
          <cell r="F6321" t="str">
            <v>PAQ05a10</v>
          </cell>
          <cell r="G6321" t="str">
            <v>B</v>
          </cell>
          <cell r="H6321">
            <v>14.51</v>
          </cell>
        </row>
        <row r="6322">
          <cell r="A6322" t="str">
            <v>1;65;P;B;PAQ10a15</v>
          </cell>
          <cell r="B6322">
            <v>730069</v>
          </cell>
          <cell r="C6322" t="str">
            <v>P</v>
          </cell>
          <cell r="D6322" t="str">
            <v>PROVINCIAL</v>
          </cell>
          <cell r="E6322" t="str">
            <v>65</v>
          </cell>
          <cell r="F6322" t="str">
            <v>PAQ10a15</v>
          </cell>
          <cell r="G6322" t="str">
            <v>B</v>
          </cell>
          <cell r="H6322">
            <v>17.989999999999998</v>
          </cell>
        </row>
        <row r="6323">
          <cell r="A6323" t="str">
            <v>1;65;P;B;PAQ15a20</v>
          </cell>
          <cell r="B6323">
            <v>730069</v>
          </cell>
          <cell r="C6323" t="str">
            <v>P</v>
          </cell>
          <cell r="D6323" t="str">
            <v>PROVINCIAL</v>
          </cell>
          <cell r="E6323" t="str">
            <v>65</v>
          </cell>
          <cell r="F6323" t="str">
            <v>PAQ15a20</v>
          </cell>
          <cell r="G6323" t="str">
            <v>B</v>
          </cell>
          <cell r="H6323">
            <v>21.46</v>
          </cell>
        </row>
        <row r="6324">
          <cell r="A6324" t="str">
            <v>1;65;P;B;PAQ20a25</v>
          </cell>
          <cell r="B6324">
            <v>730069</v>
          </cell>
          <cell r="C6324" t="str">
            <v>P</v>
          </cell>
          <cell r="D6324" t="str">
            <v>PROVINCIAL</v>
          </cell>
          <cell r="E6324" t="str">
            <v>65</v>
          </cell>
          <cell r="F6324" t="str">
            <v>PAQ20a25</v>
          </cell>
          <cell r="G6324" t="str">
            <v>B</v>
          </cell>
          <cell r="H6324">
            <v>24.93</v>
          </cell>
        </row>
        <row r="6325">
          <cell r="A6325" t="str">
            <v>1;65;P;B;PAQ25a30</v>
          </cell>
          <cell r="B6325">
            <v>730069</v>
          </cell>
          <cell r="C6325" t="str">
            <v>P</v>
          </cell>
          <cell r="D6325" t="str">
            <v>PROVINCIAL</v>
          </cell>
          <cell r="E6325" t="str">
            <v>65</v>
          </cell>
          <cell r="F6325" t="str">
            <v>PAQ25a30</v>
          </cell>
          <cell r="G6325" t="str">
            <v>B</v>
          </cell>
          <cell r="H6325">
            <v>28.4</v>
          </cell>
        </row>
        <row r="6326">
          <cell r="A6326" t="str">
            <v>1;65;P;B;PAQ30a35</v>
          </cell>
          <cell r="B6326">
            <v>730069</v>
          </cell>
          <cell r="C6326" t="str">
            <v>P</v>
          </cell>
          <cell r="D6326" t="str">
            <v>PROVINCIAL</v>
          </cell>
          <cell r="E6326" t="str">
            <v>65</v>
          </cell>
          <cell r="F6326" t="str">
            <v>PAQ30a35</v>
          </cell>
          <cell r="G6326" t="str">
            <v>B</v>
          </cell>
          <cell r="H6326">
            <v>31.87</v>
          </cell>
        </row>
        <row r="6327">
          <cell r="A6327" t="str">
            <v>1;65;P;B;PAQ35a40</v>
          </cell>
          <cell r="B6327">
            <v>730069</v>
          </cell>
          <cell r="C6327" t="str">
            <v>P</v>
          </cell>
          <cell r="D6327" t="str">
            <v>PROVINCIAL</v>
          </cell>
          <cell r="E6327" t="str">
            <v>65</v>
          </cell>
          <cell r="F6327" t="str">
            <v>PAQ35a40</v>
          </cell>
          <cell r="G6327" t="str">
            <v>B</v>
          </cell>
          <cell r="H6327">
            <v>35.340000000000003</v>
          </cell>
        </row>
        <row r="6328">
          <cell r="A6328" t="str">
            <v>1;65;P;F;</v>
          </cell>
          <cell r="B6328">
            <v>730069</v>
          </cell>
          <cell r="C6328" t="str">
            <v>P</v>
          </cell>
          <cell r="D6328" t="str">
            <v>PROVINCIAL</v>
          </cell>
          <cell r="E6328" t="str">
            <v>65</v>
          </cell>
          <cell r="F6328" t="str">
            <v/>
          </cell>
          <cell r="G6328" t="str">
            <v>F</v>
          </cell>
          <cell r="H6328">
            <v>3.48</v>
          </cell>
        </row>
        <row r="6329">
          <cell r="A6329" t="str">
            <v>1;65;P;E;</v>
          </cell>
          <cell r="B6329">
            <v>730069</v>
          </cell>
          <cell r="C6329" t="str">
            <v>P</v>
          </cell>
          <cell r="D6329" t="str">
            <v>PROVINCIAL</v>
          </cell>
          <cell r="E6329" t="str">
            <v>65</v>
          </cell>
          <cell r="F6329" t="str">
            <v/>
          </cell>
          <cell r="G6329" t="str">
            <v>E</v>
          </cell>
          <cell r="H6329">
            <v>13.3</v>
          </cell>
        </row>
        <row r="6330">
          <cell r="A6330" t="str">
            <v>1;65;P;P;</v>
          </cell>
          <cell r="B6330">
            <v>730069</v>
          </cell>
          <cell r="C6330" t="str">
            <v>P</v>
          </cell>
          <cell r="D6330" t="str">
            <v>PROVINCIAL</v>
          </cell>
          <cell r="E6330" t="str">
            <v>65</v>
          </cell>
          <cell r="F6330" t="str">
            <v/>
          </cell>
          <cell r="G6330" t="str">
            <v>P</v>
          </cell>
          <cell r="H6330">
            <v>13.3</v>
          </cell>
        </row>
        <row r="6331">
          <cell r="A6331" t="str">
            <v>1;70;P;B;48L 15-25</v>
          </cell>
          <cell r="B6331">
            <v>730069</v>
          </cell>
          <cell r="C6331" t="str">
            <v>P</v>
          </cell>
          <cell r="D6331" t="str">
            <v>PROVINCIAL</v>
          </cell>
          <cell r="E6331" t="str">
            <v>70</v>
          </cell>
          <cell r="F6331" t="str">
            <v>48L 15-25</v>
          </cell>
          <cell r="G6331" t="str">
            <v>B</v>
          </cell>
          <cell r="H6331">
            <v>58.24</v>
          </cell>
        </row>
        <row r="6332">
          <cell r="A6332" t="str">
            <v>1;70;P;B;48LAR</v>
          </cell>
          <cell r="B6332">
            <v>730069</v>
          </cell>
          <cell r="C6332" t="str">
            <v>P</v>
          </cell>
          <cell r="D6332" t="str">
            <v>PROVINCIAL</v>
          </cell>
          <cell r="E6332" t="str">
            <v>70</v>
          </cell>
          <cell r="F6332" t="str">
            <v>48LAR</v>
          </cell>
          <cell r="G6332" t="str">
            <v>B</v>
          </cell>
          <cell r="H6332">
            <v>57.55</v>
          </cell>
        </row>
        <row r="6333">
          <cell r="A6333" t="str">
            <v>1;70;P;B;48M 15-25</v>
          </cell>
          <cell r="B6333">
            <v>730069</v>
          </cell>
          <cell r="C6333" t="str">
            <v>P</v>
          </cell>
          <cell r="D6333" t="str">
            <v>PROVINCIAL</v>
          </cell>
          <cell r="E6333" t="str">
            <v>70</v>
          </cell>
          <cell r="F6333" t="str">
            <v>48M 15-25</v>
          </cell>
          <cell r="G6333" t="str">
            <v>B</v>
          </cell>
          <cell r="H6333">
            <v>48.42</v>
          </cell>
        </row>
        <row r="6334">
          <cell r="A6334" t="str">
            <v>1;70;P;B;48MED</v>
          </cell>
          <cell r="B6334">
            <v>730069</v>
          </cell>
          <cell r="C6334" t="str">
            <v>P</v>
          </cell>
          <cell r="D6334" t="str">
            <v>PROVINCIAL</v>
          </cell>
          <cell r="E6334" t="str">
            <v>70</v>
          </cell>
          <cell r="F6334" t="str">
            <v>48MED</v>
          </cell>
          <cell r="G6334" t="str">
            <v>B</v>
          </cell>
          <cell r="H6334">
            <v>50.51</v>
          </cell>
        </row>
        <row r="6335">
          <cell r="A6335" t="str">
            <v>1;70;P;B;48S 15-25</v>
          </cell>
          <cell r="B6335">
            <v>730069</v>
          </cell>
          <cell r="C6335" t="str">
            <v>P</v>
          </cell>
          <cell r="D6335" t="str">
            <v>PROVINCIAL</v>
          </cell>
          <cell r="E6335" t="str">
            <v>70</v>
          </cell>
          <cell r="F6335" t="str">
            <v>48S 15-25</v>
          </cell>
          <cell r="G6335" t="str">
            <v>B</v>
          </cell>
          <cell r="H6335">
            <v>44.49</v>
          </cell>
        </row>
        <row r="6336">
          <cell r="A6336" t="str">
            <v>1;70;P;B;48SMA</v>
          </cell>
          <cell r="B6336">
            <v>730069</v>
          </cell>
          <cell r="C6336" t="str">
            <v>P</v>
          </cell>
          <cell r="D6336" t="str">
            <v>PROVINCIAL</v>
          </cell>
          <cell r="E6336" t="str">
            <v>70</v>
          </cell>
          <cell r="F6336" t="str">
            <v>48SMA</v>
          </cell>
          <cell r="G6336" t="str">
            <v>B</v>
          </cell>
          <cell r="H6336">
            <v>48.29</v>
          </cell>
        </row>
        <row r="6337">
          <cell r="A6337" t="str">
            <v>1;70;P;B;96M 15-25</v>
          </cell>
          <cell r="B6337">
            <v>730069</v>
          </cell>
          <cell r="C6337" t="str">
            <v>P</v>
          </cell>
          <cell r="D6337" t="str">
            <v>PROVINCIAL</v>
          </cell>
          <cell r="E6337" t="str">
            <v>70</v>
          </cell>
          <cell r="F6337" t="str">
            <v>96M 15-25</v>
          </cell>
          <cell r="G6337" t="str">
            <v>B</v>
          </cell>
          <cell r="H6337">
            <v>63.1</v>
          </cell>
        </row>
        <row r="6338">
          <cell r="A6338" t="str">
            <v>1;70;P;B;96MED</v>
          </cell>
          <cell r="B6338">
            <v>730069</v>
          </cell>
          <cell r="C6338" t="str">
            <v>P</v>
          </cell>
          <cell r="D6338" t="str">
            <v>PROVINCIAL</v>
          </cell>
          <cell r="E6338" t="str">
            <v>70</v>
          </cell>
          <cell r="F6338" t="str">
            <v>96MED</v>
          </cell>
          <cell r="G6338" t="str">
            <v>B</v>
          </cell>
          <cell r="H6338">
            <v>62.54</v>
          </cell>
        </row>
        <row r="6339">
          <cell r="A6339" t="str">
            <v>1;70;P;B;96S 15-25</v>
          </cell>
          <cell r="B6339">
            <v>730069</v>
          </cell>
          <cell r="C6339" t="str">
            <v>P</v>
          </cell>
          <cell r="D6339" t="str">
            <v>PROVINCIAL</v>
          </cell>
          <cell r="E6339" t="str">
            <v>70</v>
          </cell>
          <cell r="F6339" t="str">
            <v>96S 15-25</v>
          </cell>
          <cell r="G6339" t="str">
            <v>B</v>
          </cell>
          <cell r="H6339">
            <v>53.85</v>
          </cell>
        </row>
        <row r="6340">
          <cell r="A6340" t="str">
            <v>1;70;P;B;96SMA</v>
          </cell>
          <cell r="B6340">
            <v>730069</v>
          </cell>
          <cell r="C6340" t="str">
            <v>P</v>
          </cell>
          <cell r="D6340" t="str">
            <v>PROVINCIAL</v>
          </cell>
          <cell r="E6340" t="str">
            <v>70</v>
          </cell>
          <cell r="F6340" t="str">
            <v>96SMA</v>
          </cell>
          <cell r="G6340" t="str">
            <v>B</v>
          </cell>
          <cell r="H6340">
            <v>56.91</v>
          </cell>
        </row>
        <row r="6341">
          <cell r="A6341" t="str">
            <v>1;72;P;B;48L 15-25</v>
          </cell>
          <cell r="B6341">
            <v>730069</v>
          </cell>
          <cell r="C6341" t="str">
            <v>P</v>
          </cell>
          <cell r="D6341" t="str">
            <v>PROVINCIAL</v>
          </cell>
          <cell r="E6341" t="str">
            <v>72</v>
          </cell>
          <cell r="F6341" t="str">
            <v>48L 15-25</v>
          </cell>
          <cell r="G6341" t="str">
            <v>B</v>
          </cell>
          <cell r="H6341">
            <v>40.03</v>
          </cell>
        </row>
        <row r="6342">
          <cell r="A6342" t="str">
            <v>1;72;P;B;48LAR</v>
          </cell>
          <cell r="B6342">
            <v>730069</v>
          </cell>
          <cell r="C6342" t="str">
            <v>P</v>
          </cell>
          <cell r="D6342" t="str">
            <v>PROVINCIAL</v>
          </cell>
          <cell r="E6342" t="str">
            <v>72</v>
          </cell>
          <cell r="F6342" t="str">
            <v>48LAR</v>
          </cell>
          <cell r="G6342" t="str">
            <v>B</v>
          </cell>
          <cell r="H6342">
            <v>37.33</v>
          </cell>
        </row>
        <row r="6343">
          <cell r="A6343" t="str">
            <v>1;72;P;B;48M 15-25</v>
          </cell>
          <cell r="B6343">
            <v>730069</v>
          </cell>
          <cell r="C6343" t="str">
            <v>P</v>
          </cell>
          <cell r="D6343" t="str">
            <v>PROVINCIAL</v>
          </cell>
          <cell r="E6343" t="str">
            <v>72</v>
          </cell>
          <cell r="F6343" t="str">
            <v>48M 15-25</v>
          </cell>
          <cell r="G6343" t="str">
            <v>B</v>
          </cell>
          <cell r="H6343">
            <v>33.69</v>
          </cell>
        </row>
        <row r="6344">
          <cell r="A6344" t="str">
            <v>1;72;P;B;48MED</v>
          </cell>
          <cell r="B6344">
            <v>730069</v>
          </cell>
          <cell r="C6344" t="str">
            <v>P</v>
          </cell>
          <cell r="D6344" t="str">
            <v>PROVINCIAL</v>
          </cell>
          <cell r="E6344" t="str">
            <v>72</v>
          </cell>
          <cell r="F6344" t="str">
            <v>48MED</v>
          </cell>
          <cell r="G6344" t="str">
            <v>B</v>
          </cell>
          <cell r="H6344">
            <v>34.380000000000003</v>
          </cell>
        </row>
        <row r="6345">
          <cell r="A6345" t="str">
            <v>1;72;P;B;48S 15-25</v>
          </cell>
          <cell r="B6345">
            <v>730069</v>
          </cell>
          <cell r="C6345" t="str">
            <v>P</v>
          </cell>
          <cell r="D6345" t="str">
            <v>PROVINCIAL</v>
          </cell>
          <cell r="E6345" t="str">
            <v>72</v>
          </cell>
          <cell r="F6345" t="str">
            <v>48S 15-25</v>
          </cell>
          <cell r="G6345" t="str">
            <v>B</v>
          </cell>
          <cell r="H6345">
            <v>29.83</v>
          </cell>
        </row>
        <row r="6346">
          <cell r="A6346" t="str">
            <v>1;72;P;B;48SMA</v>
          </cell>
          <cell r="B6346">
            <v>730069</v>
          </cell>
          <cell r="C6346" t="str">
            <v>P</v>
          </cell>
          <cell r="D6346" t="str">
            <v>PROVINCIAL</v>
          </cell>
          <cell r="E6346" t="str">
            <v>72</v>
          </cell>
          <cell r="F6346" t="str">
            <v>48SMA</v>
          </cell>
          <cell r="G6346" t="str">
            <v>B</v>
          </cell>
          <cell r="H6346">
            <v>32.159999999999997</v>
          </cell>
        </row>
        <row r="6347">
          <cell r="A6347" t="str">
            <v>1;72;P;B;96M 15-25</v>
          </cell>
          <cell r="B6347">
            <v>730069</v>
          </cell>
          <cell r="C6347" t="str">
            <v>P</v>
          </cell>
          <cell r="D6347" t="str">
            <v>PROVINCIAL</v>
          </cell>
          <cell r="E6347" t="str">
            <v>72</v>
          </cell>
          <cell r="F6347" t="str">
            <v>96M 15-25</v>
          </cell>
          <cell r="G6347" t="str">
            <v>B</v>
          </cell>
          <cell r="H6347">
            <v>44.71</v>
          </cell>
        </row>
        <row r="6348">
          <cell r="A6348" t="str">
            <v>1;72;P;B;96MED</v>
          </cell>
          <cell r="B6348">
            <v>730069</v>
          </cell>
          <cell r="C6348" t="str">
            <v>P</v>
          </cell>
          <cell r="D6348" t="str">
            <v>PROVINCIAL</v>
          </cell>
          <cell r="E6348" t="str">
            <v>72</v>
          </cell>
          <cell r="F6348" t="str">
            <v>96MED</v>
          </cell>
          <cell r="G6348" t="str">
            <v>B</v>
          </cell>
          <cell r="H6348">
            <v>42.11</v>
          </cell>
        </row>
        <row r="6349">
          <cell r="A6349" t="str">
            <v>1;72;P;B;96S 15-25</v>
          </cell>
          <cell r="B6349">
            <v>730069</v>
          </cell>
          <cell r="C6349" t="str">
            <v>P</v>
          </cell>
          <cell r="D6349" t="str">
            <v>PROVINCIAL</v>
          </cell>
          <cell r="E6349" t="str">
            <v>72</v>
          </cell>
          <cell r="F6349" t="str">
            <v>96S 15-25</v>
          </cell>
          <cell r="G6349" t="str">
            <v>B</v>
          </cell>
          <cell r="H6349">
            <v>34.78</v>
          </cell>
        </row>
        <row r="6350">
          <cell r="A6350" t="str">
            <v>1;72;P;B;96SMA</v>
          </cell>
          <cell r="B6350">
            <v>730069</v>
          </cell>
          <cell r="C6350" t="str">
            <v>P</v>
          </cell>
          <cell r="D6350" t="str">
            <v>PROVINCIAL</v>
          </cell>
          <cell r="E6350" t="str">
            <v>72</v>
          </cell>
          <cell r="F6350" t="str">
            <v>96SMA</v>
          </cell>
          <cell r="G6350" t="str">
            <v>B</v>
          </cell>
          <cell r="H6350">
            <v>36.29</v>
          </cell>
        </row>
        <row r="6351">
          <cell r="A6351" t="str">
            <v>1;73;P;B;48L 15-25</v>
          </cell>
          <cell r="B6351">
            <v>730069</v>
          </cell>
          <cell r="C6351" t="str">
            <v>P</v>
          </cell>
          <cell r="D6351" t="str">
            <v>PROVINCIAL</v>
          </cell>
          <cell r="E6351" t="str">
            <v>73</v>
          </cell>
          <cell r="F6351" t="str">
            <v>48L 15-25</v>
          </cell>
          <cell r="G6351" t="str">
            <v>B</v>
          </cell>
          <cell r="H6351">
            <v>45.89</v>
          </cell>
        </row>
        <row r="6352">
          <cell r="A6352" t="str">
            <v>1;73;P;B;48LAR</v>
          </cell>
          <cell r="B6352">
            <v>730069</v>
          </cell>
          <cell r="C6352" t="str">
            <v>P</v>
          </cell>
          <cell r="D6352" t="str">
            <v>PROVINCIAL</v>
          </cell>
          <cell r="E6352" t="str">
            <v>73</v>
          </cell>
          <cell r="F6352" t="str">
            <v>48LAR</v>
          </cell>
          <cell r="G6352" t="str">
            <v>B</v>
          </cell>
          <cell r="H6352">
            <v>45.11</v>
          </cell>
        </row>
        <row r="6353">
          <cell r="A6353" t="str">
            <v>1;73;P;B;48M 15-25</v>
          </cell>
          <cell r="B6353">
            <v>730069</v>
          </cell>
          <cell r="C6353" t="str">
            <v>P</v>
          </cell>
          <cell r="D6353" t="str">
            <v>PROVINCIAL</v>
          </cell>
          <cell r="E6353" t="str">
            <v>73</v>
          </cell>
          <cell r="F6353" t="str">
            <v>48M 15-25</v>
          </cell>
          <cell r="G6353" t="str">
            <v>B</v>
          </cell>
          <cell r="H6353">
            <v>40.47</v>
          </cell>
        </row>
        <row r="6354">
          <cell r="A6354" t="str">
            <v>1;73;P;B;48MED</v>
          </cell>
          <cell r="B6354">
            <v>730069</v>
          </cell>
          <cell r="C6354" t="str">
            <v>P</v>
          </cell>
          <cell r="D6354" t="str">
            <v>PROVINCIAL</v>
          </cell>
          <cell r="E6354" t="str">
            <v>73</v>
          </cell>
          <cell r="F6354" t="str">
            <v>48MED</v>
          </cell>
          <cell r="G6354" t="str">
            <v>B</v>
          </cell>
          <cell r="H6354">
            <v>42.16</v>
          </cell>
        </row>
        <row r="6355">
          <cell r="A6355" t="str">
            <v>1;73;P;B;48S 15-25</v>
          </cell>
          <cell r="B6355">
            <v>730069</v>
          </cell>
          <cell r="C6355" t="str">
            <v>P</v>
          </cell>
          <cell r="D6355" t="str">
            <v>PROVINCIAL</v>
          </cell>
          <cell r="E6355" t="str">
            <v>73</v>
          </cell>
          <cell r="F6355" t="str">
            <v>48S 15-25</v>
          </cell>
          <cell r="G6355" t="str">
            <v>B</v>
          </cell>
          <cell r="H6355">
            <v>36.57</v>
          </cell>
        </row>
        <row r="6356">
          <cell r="A6356" t="str">
            <v>1;73;P;B;48SMA</v>
          </cell>
          <cell r="B6356">
            <v>730069</v>
          </cell>
          <cell r="C6356" t="str">
            <v>P</v>
          </cell>
          <cell r="D6356" t="str">
            <v>PROVINCIAL</v>
          </cell>
          <cell r="E6356" t="str">
            <v>73</v>
          </cell>
          <cell r="F6356" t="str">
            <v>48SMA</v>
          </cell>
          <cell r="G6356" t="str">
            <v>B</v>
          </cell>
          <cell r="H6356">
            <v>39.94</v>
          </cell>
        </row>
        <row r="6357">
          <cell r="A6357" t="str">
            <v>1;73;P;B;96M 15-25</v>
          </cell>
          <cell r="B6357">
            <v>730069</v>
          </cell>
          <cell r="C6357" t="str">
            <v>P</v>
          </cell>
          <cell r="D6357" t="str">
            <v>PROVINCIAL</v>
          </cell>
          <cell r="E6357" t="str">
            <v>73</v>
          </cell>
          <cell r="F6357" t="str">
            <v>96M 15-25</v>
          </cell>
          <cell r="G6357" t="str">
            <v>B</v>
          </cell>
          <cell r="H6357">
            <v>51.02</v>
          </cell>
        </row>
        <row r="6358">
          <cell r="A6358" t="str">
            <v>1;73;P;B;96MED</v>
          </cell>
          <cell r="B6358">
            <v>730069</v>
          </cell>
          <cell r="C6358" t="str">
            <v>P</v>
          </cell>
          <cell r="D6358" t="str">
            <v>PROVINCIAL</v>
          </cell>
          <cell r="E6358" t="str">
            <v>73</v>
          </cell>
          <cell r="F6358" t="str">
            <v>96MED</v>
          </cell>
          <cell r="G6358" t="str">
            <v>B</v>
          </cell>
          <cell r="H6358">
            <v>49.88</v>
          </cell>
        </row>
        <row r="6359">
          <cell r="A6359" t="str">
            <v>1;73;P;B;96S 15-25</v>
          </cell>
          <cell r="B6359">
            <v>730069</v>
          </cell>
          <cell r="C6359" t="str">
            <v>P</v>
          </cell>
          <cell r="D6359" t="str">
            <v>PROVINCIAL</v>
          </cell>
          <cell r="E6359" t="str">
            <v>73</v>
          </cell>
          <cell r="F6359" t="str">
            <v>96S 15-25</v>
          </cell>
          <cell r="G6359" t="str">
            <v>B</v>
          </cell>
          <cell r="H6359">
            <v>41.6</v>
          </cell>
        </row>
        <row r="6360">
          <cell r="A6360" t="str">
            <v>1;73;P;B;96SMA</v>
          </cell>
          <cell r="B6360">
            <v>730069</v>
          </cell>
          <cell r="C6360" t="str">
            <v>P</v>
          </cell>
          <cell r="D6360" t="str">
            <v>PROVINCIAL</v>
          </cell>
          <cell r="E6360" t="str">
            <v>73</v>
          </cell>
          <cell r="F6360" t="str">
            <v>96SMA</v>
          </cell>
          <cell r="G6360" t="str">
            <v>B</v>
          </cell>
          <cell r="H6360">
            <v>44.06</v>
          </cell>
        </row>
        <row r="6361">
          <cell r="A6361" t="str">
            <v>1;78;P;B;48L 15-25</v>
          </cell>
          <cell r="B6361">
            <v>730069</v>
          </cell>
          <cell r="C6361" t="str">
            <v>P</v>
          </cell>
          <cell r="D6361" t="str">
            <v>PROVINCIAL</v>
          </cell>
          <cell r="E6361" t="str">
            <v>78</v>
          </cell>
          <cell r="F6361" t="str">
            <v>48L 15-25</v>
          </cell>
          <cell r="G6361" t="str">
            <v>B</v>
          </cell>
          <cell r="H6361">
            <v>5</v>
          </cell>
        </row>
        <row r="6362">
          <cell r="A6362" t="str">
            <v>1;78;P;B;48LAR</v>
          </cell>
          <cell r="B6362">
            <v>730069</v>
          </cell>
          <cell r="C6362" t="str">
            <v>P</v>
          </cell>
          <cell r="D6362" t="str">
            <v>PROVINCIAL</v>
          </cell>
          <cell r="E6362" t="str">
            <v>78</v>
          </cell>
          <cell r="F6362" t="str">
            <v>48LAR</v>
          </cell>
          <cell r="G6362" t="str">
            <v>B</v>
          </cell>
          <cell r="H6362">
            <v>5</v>
          </cell>
        </row>
        <row r="6363">
          <cell r="A6363" t="str">
            <v>1;78;P;B;48M 15-25</v>
          </cell>
          <cell r="B6363">
            <v>730069</v>
          </cell>
          <cell r="C6363" t="str">
            <v>P</v>
          </cell>
          <cell r="D6363" t="str">
            <v>PROVINCIAL</v>
          </cell>
          <cell r="E6363" t="str">
            <v>78</v>
          </cell>
          <cell r="F6363" t="str">
            <v>48M 15-25</v>
          </cell>
          <cell r="G6363" t="str">
            <v>B</v>
          </cell>
          <cell r="H6363">
            <v>5</v>
          </cell>
        </row>
        <row r="6364">
          <cell r="A6364" t="str">
            <v>1;78;P;B;48MED</v>
          </cell>
          <cell r="B6364">
            <v>730069</v>
          </cell>
          <cell r="C6364" t="str">
            <v>P</v>
          </cell>
          <cell r="D6364" t="str">
            <v>PROVINCIAL</v>
          </cell>
          <cell r="E6364" t="str">
            <v>78</v>
          </cell>
          <cell r="F6364" t="str">
            <v>48MED</v>
          </cell>
          <cell r="G6364" t="str">
            <v>B</v>
          </cell>
          <cell r="H6364">
            <v>5</v>
          </cell>
        </row>
        <row r="6365">
          <cell r="A6365" t="str">
            <v>1;78;P;B;48S 15-25</v>
          </cell>
          <cell r="B6365">
            <v>730069</v>
          </cell>
          <cell r="C6365" t="str">
            <v>P</v>
          </cell>
          <cell r="D6365" t="str">
            <v>PROVINCIAL</v>
          </cell>
          <cell r="E6365" t="str">
            <v>78</v>
          </cell>
          <cell r="F6365" t="str">
            <v>48S 15-25</v>
          </cell>
          <cell r="G6365" t="str">
            <v>B</v>
          </cell>
          <cell r="H6365">
            <v>5</v>
          </cell>
        </row>
        <row r="6366">
          <cell r="A6366" t="str">
            <v>1;78;P;B;48SMA</v>
          </cell>
          <cell r="B6366">
            <v>730069</v>
          </cell>
          <cell r="C6366" t="str">
            <v>P</v>
          </cell>
          <cell r="D6366" t="str">
            <v>PROVINCIAL</v>
          </cell>
          <cell r="E6366" t="str">
            <v>78</v>
          </cell>
          <cell r="F6366" t="str">
            <v>48SMA</v>
          </cell>
          <cell r="G6366" t="str">
            <v>B</v>
          </cell>
          <cell r="H6366">
            <v>5</v>
          </cell>
        </row>
        <row r="6367">
          <cell r="A6367" t="str">
            <v>1;78;P;B;96M 15-25</v>
          </cell>
          <cell r="B6367">
            <v>730069</v>
          </cell>
          <cell r="C6367" t="str">
            <v>P</v>
          </cell>
          <cell r="D6367" t="str">
            <v>PROVINCIAL</v>
          </cell>
          <cell r="E6367" t="str">
            <v>78</v>
          </cell>
          <cell r="F6367" t="str">
            <v>96M 15-25</v>
          </cell>
          <cell r="G6367" t="str">
            <v>B</v>
          </cell>
          <cell r="H6367">
            <v>5</v>
          </cell>
        </row>
        <row r="6368">
          <cell r="A6368" t="str">
            <v>1;78;P;B;96MED</v>
          </cell>
          <cell r="B6368">
            <v>730069</v>
          </cell>
          <cell r="C6368" t="str">
            <v>P</v>
          </cell>
          <cell r="D6368" t="str">
            <v>PROVINCIAL</v>
          </cell>
          <cell r="E6368" t="str">
            <v>78</v>
          </cell>
          <cell r="F6368" t="str">
            <v>96MED</v>
          </cell>
          <cell r="G6368" t="str">
            <v>B</v>
          </cell>
          <cell r="H6368">
            <v>5</v>
          </cell>
        </row>
        <row r="6369">
          <cell r="A6369" t="str">
            <v>1;78;P;B;96S 15-25</v>
          </cell>
          <cell r="B6369">
            <v>730069</v>
          </cell>
          <cell r="C6369" t="str">
            <v>P</v>
          </cell>
          <cell r="D6369" t="str">
            <v>PROVINCIAL</v>
          </cell>
          <cell r="E6369" t="str">
            <v>78</v>
          </cell>
          <cell r="F6369" t="str">
            <v>96S 15-25</v>
          </cell>
          <cell r="G6369" t="str">
            <v>B</v>
          </cell>
          <cell r="H6369">
            <v>5</v>
          </cell>
        </row>
        <row r="6370">
          <cell r="A6370" t="str">
            <v>1;78;P;B;96SMA</v>
          </cell>
          <cell r="B6370">
            <v>730069</v>
          </cell>
          <cell r="C6370" t="str">
            <v>P</v>
          </cell>
          <cell r="D6370" t="str">
            <v>PROVINCIAL</v>
          </cell>
          <cell r="E6370" t="str">
            <v>78</v>
          </cell>
          <cell r="F6370" t="str">
            <v>96SMA</v>
          </cell>
          <cell r="G6370" t="str">
            <v>B</v>
          </cell>
          <cell r="H6370">
            <v>5</v>
          </cell>
        </row>
        <row r="6371">
          <cell r="A6371" t="str">
            <v>1;79;P;B;48L 15-25</v>
          </cell>
          <cell r="B6371">
            <v>730069</v>
          </cell>
          <cell r="C6371" t="str">
            <v>P</v>
          </cell>
          <cell r="D6371" t="str">
            <v>PROVINCIAL</v>
          </cell>
          <cell r="E6371" t="str">
            <v>79</v>
          </cell>
          <cell r="F6371" t="str">
            <v>48L 15-25</v>
          </cell>
          <cell r="G6371" t="str">
            <v>B</v>
          </cell>
          <cell r="H6371">
            <v>0</v>
          </cell>
        </row>
        <row r="6372">
          <cell r="A6372" t="str">
            <v>1;79;P;B;48LAR</v>
          </cell>
          <cell r="B6372">
            <v>730069</v>
          </cell>
          <cell r="C6372" t="str">
            <v>P</v>
          </cell>
          <cell r="D6372" t="str">
            <v>PROVINCIAL</v>
          </cell>
          <cell r="E6372" t="str">
            <v>79</v>
          </cell>
          <cell r="F6372" t="str">
            <v>48LAR</v>
          </cell>
          <cell r="G6372" t="str">
            <v>B</v>
          </cell>
          <cell r="H6372">
            <v>0</v>
          </cell>
        </row>
        <row r="6373">
          <cell r="A6373" t="str">
            <v>1;79;P;B;48M 15-25</v>
          </cell>
          <cell r="B6373">
            <v>730069</v>
          </cell>
          <cell r="C6373" t="str">
            <v>P</v>
          </cell>
          <cell r="D6373" t="str">
            <v>PROVINCIAL</v>
          </cell>
          <cell r="E6373" t="str">
            <v>79</v>
          </cell>
          <cell r="F6373" t="str">
            <v>48M 15-25</v>
          </cell>
          <cell r="G6373" t="str">
            <v>B</v>
          </cell>
          <cell r="H6373">
            <v>0</v>
          </cell>
        </row>
        <row r="6374">
          <cell r="A6374" t="str">
            <v>1;79;P;B;48MED</v>
          </cell>
          <cell r="B6374">
            <v>730069</v>
          </cell>
          <cell r="C6374" t="str">
            <v>P</v>
          </cell>
          <cell r="D6374" t="str">
            <v>PROVINCIAL</v>
          </cell>
          <cell r="E6374" t="str">
            <v>79</v>
          </cell>
          <cell r="F6374" t="str">
            <v>48MED</v>
          </cell>
          <cell r="G6374" t="str">
            <v>B</v>
          </cell>
          <cell r="H6374">
            <v>0</v>
          </cell>
        </row>
        <row r="6375">
          <cell r="A6375" t="str">
            <v>1;79;P;B;48S 15-25</v>
          </cell>
          <cell r="B6375">
            <v>730069</v>
          </cell>
          <cell r="C6375" t="str">
            <v>P</v>
          </cell>
          <cell r="D6375" t="str">
            <v>PROVINCIAL</v>
          </cell>
          <cell r="E6375" t="str">
            <v>79</v>
          </cell>
          <cell r="F6375" t="str">
            <v>48S 15-25</v>
          </cell>
          <cell r="G6375" t="str">
            <v>B</v>
          </cell>
          <cell r="H6375">
            <v>0</v>
          </cell>
        </row>
        <row r="6376">
          <cell r="A6376" t="str">
            <v>1;79;P;B;48SMA</v>
          </cell>
          <cell r="B6376">
            <v>730069</v>
          </cell>
          <cell r="C6376" t="str">
            <v>P</v>
          </cell>
          <cell r="D6376" t="str">
            <v>PROVINCIAL</v>
          </cell>
          <cell r="E6376" t="str">
            <v>79</v>
          </cell>
          <cell r="F6376" t="str">
            <v>48SMA</v>
          </cell>
          <cell r="G6376" t="str">
            <v>B</v>
          </cell>
          <cell r="H6376">
            <v>0</v>
          </cell>
        </row>
        <row r="6377">
          <cell r="A6377" t="str">
            <v>1;79;P;B;96M 15-25</v>
          </cell>
          <cell r="B6377">
            <v>730069</v>
          </cell>
          <cell r="C6377" t="str">
            <v>P</v>
          </cell>
          <cell r="D6377" t="str">
            <v>PROVINCIAL</v>
          </cell>
          <cell r="E6377" t="str">
            <v>79</v>
          </cell>
          <cell r="F6377" t="str">
            <v>96M 15-25</v>
          </cell>
          <cell r="G6377" t="str">
            <v>B</v>
          </cell>
          <cell r="H6377">
            <v>0</v>
          </cell>
        </row>
        <row r="6378">
          <cell r="A6378" t="str">
            <v>1;79;P;B;96MED</v>
          </cell>
          <cell r="B6378">
            <v>730069</v>
          </cell>
          <cell r="C6378" t="str">
            <v>P</v>
          </cell>
          <cell r="D6378" t="str">
            <v>PROVINCIAL</v>
          </cell>
          <cell r="E6378" t="str">
            <v>79</v>
          </cell>
          <cell r="F6378" t="str">
            <v>96MED</v>
          </cell>
          <cell r="G6378" t="str">
            <v>B</v>
          </cell>
          <cell r="H6378">
            <v>0</v>
          </cell>
        </row>
        <row r="6379">
          <cell r="A6379" t="str">
            <v>1;79;P;B;96S 15-25</v>
          </cell>
          <cell r="B6379">
            <v>730069</v>
          </cell>
          <cell r="C6379" t="str">
            <v>P</v>
          </cell>
          <cell r="D6379" t="str">
            <v>PROVINCIAL</v>
          </cell>
          <cell r="E6379" t="str">
            <v>79</v>
          </cell>
          <cell r="F6379" t="str">
            <v>96S 15-25</v>
          </cell>
          <cell r="G6379" t="str">
            <v>B</v>
          </cell>
          <cell r="H6379">
            <v>0</v>
          </cell>
        </row>
        <row r="6380">
          <cell r="A6380" t="str">
            <v>1;79;P;B;96SMA</v>
          </cell>
          <cell r="B6380">
            <v>730069</v>
          </cell>
          <cell r="C6380" t="str">
            <v>P</v>
          </cell>
          <cell r="D6380" t="str">
            <v>PROVINCIAL</v>
          </cell>
          <cell r="E6380" t="str">
            <v>79</v>
          </cell>
          <cell r="F6380" t="str">
            <v>96SMA</v>
          </cell>
          <cell r="G6380" t="str">
            <v>B</v>
          </cell>
          <cell r="H6380">
            <v>0</v>
          </cell>
        </row>
        <row r="6381">
          <cell r="A6381" t="str">
            <v>1;90;P;B;PAQ00a20</v>
          </cell>
          <cell r="B6381">
            <v>730069</v>
          </cell>
          <cell r="C6381" t="str">
            <v>P</v>
          </cell>
          <cell r="D6381" t="str">
            <v>PROVINCIAL</v>
          </cell>
          <cell r="E6381" t="str">
            <v>90</v>
          </cell>
          <cell r="F6381" t="str">
            <v>PAQ00a20</v>
          </cell>
          <cell r="G6381" t="str">
            <v>B</v>
          </cell>
          <cell r="H6381">
            <v>4.4400000000000004</v>
          </cell>
        </row>
        <row r="6382">
          <cell r="A6382" t="str">
            <v>1;91;P;B;PAQ00a20</v>
          </cell>
          <cell r="B6382">
            <v>730069</v>
          </cell>
          <cell r="C6382" t="str">
            <v>P</v>
          </cell>
          <cell r="D6382" t="str">
            <v>PROVINCIAL</v>
          </cell>
          <cell r="E6382" t="str">
            <v>91</v>
          </cell>
          <cell r="F6382" t="str">
            <v>PAQ00a20</v>
          </cell>
          <cell r="G6382" t="str">
            <v>B</v>
          </cell>
          <cell r="H6382">
            <v>4.4400000000000004</v>
          </cell>
        </row>
        <row r="6383">
          <cell r="A6383" t="str">
            <v>1;95;P;B;PAQ00a20</v>
          </cell>
          <cell r="B6383">
            <v>730069</v>
          </cell>
          <cell r="C6383" t="str">
            <v>P</v>
          </cell>
          <cell r="D6383" t="str">
            <v>PROVINCIAL</v>
          </cell>
          <cell r="E6383" t="str">
            <v>95</v>
          </cell>
          <cell r="F6383" t="str">
            <v>PAQ00a20</v>
          </cell>
          <cell r="G6383" t="str">
            <v>B</v>
          </cell>
          <cell r="H6383">
            <v>4.4400000000000004</v>
          </cell>
        </row>
        <row r="6384">
          <cell r="A6384" t="str">
            <v>1;96;P;B;PAQ00a20</v>
          </cell>
          <cell r="B6384">
            <v>730069</v>
          </cell>
          <cell r="C6384" t="str">
            <v>P</v>
          </cell>
          <cell r="D6384" t="str">
            <v>PROVINCIAL</v>
          </cell>
          <cell r="E6384" t="str">
            <v>96</v>
          </cell>
          <cell r="F6384" t="str">
            <v>PAQ00a20</v>
          </cell>
          <cell r="G6384" t="str">
            <v>B</v>
          </cell>
          <cell r="H6384">
            <v>2.2000000000000002</v>
          </cell>
        </row>
        <row r="6385">
          <cell r="A6385" t="str">
            <v>1;01;PI;B;BAG</v>
          </cell>
          <cell r="B6385">
            <v>730069</v>
          </cell>
          <cell r="C6385" t="str">
            <v>PI</v>
          </cell>
          <cell r="D6385" t="str">
            <v>PENINSULA ISLAS PORTUGAL</v>
          </cell>
          <cell r="E6385" t="str">
            <v>01</v>
          </cell>
          <cell r="F6385" t="str">
            <v>BAG</v>
          </cell>
          <cell r="G6385" t="str">
            <v>B</v>
          </cell>
          <cell r="H6385">
            <v>41.67</v>
          </cell>
        </row>
        <row r="6386">
          <cell r="A6386" t="str">
            <v>1;01;PI;B;DOCS</v>
          </cell>
          <cell r="B6386">
            <v>730069</v>
          </cell>
          <cell r="C6386" t="str">
            <v>PI</v>
          </cell>
          <cell r="D6386" t="str">
            <v>PENINSULA ISLAS PORTUGAL</v>
          </cell>
          <cell r="E6386" t="str">
            <v>01</v>
          </cell>
          <cell r="F6386" t="str">
            <v>DOCS</v>
          </cell>
          <cell r="G6386" t="str">
            <v>B</v>
          </cell>
          <cell r="H6386">
            <v>36.200000000000003</v>
          </cell>
        </row>
        <row r="6387">
          <cell r="A6387" t="str">
            <v>1;01;PI;B;PAQ00a02</v>
          </cell>
          <cell r="B6387">
            <v>730069</v>
          </cell>
          <cell r="C6387" t="str">
            <v>PI</v>
          </cell>
          <cell r="D6387" t="str">
            <v>PENINSULA ISLAS PORTUGAL</v>
          </cell>
          <cell r="E6387" t="str">
            <v>01</v>
          </cell>
          <cell r="F6387" t="str">
            <v>PAQ00a02</v>
          </cell>
          <cell r="G6387" t="str">
            <v>B</v>
          </cell>
          <cell r="H6387">
            <v>46.69</v>
          </cell>
        </row>
        <row r="6388">
          <cell r="A6388" t="str">
            <v>1;01;PI;B;PAQ02a04</v>
          </cell>
          <cell r="B6388">
            <v>730069</v>
          </cell>
          <cell r="C6388" t="str">
            <v>PI</v>
          </cell>
          <cell r="D6388" t="str">
            <v>PENINSULA ISLAS PORTUGAL</v>
          </cell>
          <cell r="E6388" t="str">
            <v>01</v>
          </cell>
          <cell r="F6388" t="str">
            <v>PAQ02a04</v>
          </cell>
          <cell r="G6388" t="str">
            <v>B</v>
          </cell>
          <cell r="H6388">
            <v>62.79</v>
          </cell>
        </row>
        <row r="6389">
          <cell r="A6389" t="str">
            <v>1;01;PI;B;PAQ04a06</v>
          </cell>
          <cell r="B6389">
            <v>730069</v>
          </cell>
          <cell r="C6389" t="str">
            <v>PI</v>
          </cell>
          <cell r="D6389" t="str">
            <v>PENINSULA ISLAS PORTUGAL</v>
          </cell>
          <cell r="E6389" t="str">
            <v>01</v>
          </cell>
          <cell r="F6389" t="str">
            <v>PAQ04a06</v>
          </cell>
          <cell r="G6389" t="str">
            <v>B</v>
          </cell>
          <cell r="H6389">
            <v>77.400000000000006</v>
          </cell>
        </row>
        <row r="6390">
          <cell r="A6390" t="str">
            <v>1;01;PI;B;PAQ06a08</v>
          </cell>
          <cell r="B6390">
            <v>730069</v>
          </cell>
          <cell r="C6390" t="str">
            <v>PI</v>
          </cell>
          <cell r="D6390" t="str">
            <v>PENINSULA ISLAS PORTUGAL</v>
          </cell>
          <cell r="E6390" t="str">
            <v>01</v>
          </cell>
          <cell r="F6390" t="str">
            <v>PAQ06a08</v>
          </cell>
          <cell r="G6390" t="str">
            <v>B</v>
          </cell>
          <cell r="H6390">
            <v>92.03</v>
          </cell>
        </row>
        <row r="6391">
          <cell r="A6391" t="str">
            <v>1;01;PI;B;PAQ08a10</v>
          </cell>
          <cell r="B6391">
            <v>730069</v>
          </cell>
          <cell r="C6391" t="str">
            <v>PI</v>
          </cell>
          <cell r="D6391" t="str">
            <v>PENINSULA ISLAS PORTUGAL</v>
          </cell>
          <cell r="E6391" t="str">
            <v>01</v>
          </cell>
          <cell r="F6391" t="str">
            <v>PAQ08a10</v>
          </cell>
          <cell r="G6391" t="str">
            <v>B</v>
          </cell>
          <cell r="H6391">
            <v>106.68</v>
          </cell>
        </row>
        <row r="6392">
          <cell r="A6392" t="str">
            <v>1;01;PI;B;PAQ10a12</v>
          </cell>
          <cell r="B6392">
            <v>730069</v>
          </cell>
          <cell r="C6392" t="str">
            <v>PI</v>
          </cell>
          <cell r="D6392" t="str">
            <v>PENINSULA ISLAS PORTUGAL</v>
          </cell>
          <cell r="E6392" t="str">
            <v>01</v>
          </cell>
          <cell r="F6392" t="str">
            <v>PAQ10a12</v>
          </cell>
          <cell r="G6392" t="str">
            <v>B</v>
          </cell>
          <cell r="H6392">
            <v>120.24</v>
          </cell>
        </row>
        <row r="6393">
          <cell r="A6393" t="str">
            <v>1;01;PI;B;PAQ12a14</v>
          </cell>
          <cell r="B6393">
            <v>730069</v>
          </cell>
          <cell r="C6393" t="str">
            <v>PI</v>
          </cell>
          <cell r="D6393" t="str">
            <v>PENINSULA ISLAS PORTUGAL</v>
          </cell>
          <cell r="E6393" t="str">
            <v>01</v>
          </cell>
          <cell r="F6393" t="str">
            <v>PAQ12a14</v>
          </cell>
          <cell r="G6393" t="str">
            <v>B</v>
          </cell>
          <cell r="H6393">
            <v>133.80000000000001</v>
          </cell>
        </row>
        <row r="6394">
          <cell r="A6394" t="str">
            <v>1;01;PI;B;PAQ14a16</v>
          </cell>
          <cell r="B6394">
            <v>730069</v>
          </cell>
          <cell r="C6394" t="str">
            <v>PI</v>
          </cell>
          <cell r="D6394" t="str">
            <v>PENINSULA ISLAS PORTUGAL</v>
          </cell>
          <cell r="E6394" t="str">
            <v>01</v>
          </cell>
          <cell r="F6394" t="str">
            <v>PAQ14a16</v>
          </cell>
          <cell r="G6394" t="str">
            <v>B</v>
          </cell>
          <cell r="H6394">
            <v>147.36000000000001</v>
          </cell>
        </row>
        <row r="6395">
          <cell r="A6395" t="str">
            <v>1;01;PI;B;PAQ16a18</v>
          </cell>
          <cell r="B6395">
            <v>730069</v>
          </cell>
          <cell r="C6395" t="str">
            <v>PI</v>
          </cell>
          <cell r="D6395" t="str">
            <v>PENINSULA ISLAS PORTUGAL</v>
          </cell>
          <cell r="E6395" t="str">
            <v>01</v>
          </cell>
          <cell r="F6395" t="str">
            <v>PAQ16a18</v>
          </cell>
          <cell r="G6395" t="str">
            <v>B</v>
          </cell>
          <cell r="H6395">
            <v>160.91999999999999</v>
          </cell>
        </row>
        <row r="6396">
          <cell r="A6396" t="str">
            <v>1;01;PI;B;PAQ18a20</v>
          </cell>
          <cell r="B6396">
            <v>730069</v>
          </cell>
          <cell r="C6396" t="str">
            <v>PI</v>
          </cell>
          <cell r="D6396" t="str">
            <v>PENINSULA ISLAS PORTUGAL</v>
          </cell>
          <cell r="E6396" t="str">
            <v>01</v>
          </cell>
          <cell r="F6396" t="str">
            <v>PAQ18a20</v>
          </cell>
          <cell r="G6396" t="str">
            <v>B</v>
          </cell>
          <cell r="H6396">
            <v>174.48</v>
          </cell>
        </row>
        <row r="6397">
          <cell r="A6397" t="str">
            <v>1;01;PI;B;PAQ20a22</v>
          </cell>
          <cell r="B6397">
            <v>730069</v>
          </cell>
          <cell r="C6397" t="str">
            <v>PI</v>
          </cell>
          <cell r="D6397" t="str">
            <v>PENINSULA ISLAS PORTUGAL</v>
          </cell>
          <cell r="E6397" t="str">
            <v>01</v>
          </cell>
          <cell r="F6397" t="str">
            <v>PAQ20a22</v>
          </cell>
          <cell r="G6397" t="str">
            <v>B</v>
          </cell>
          <cell r="H6397">
            <v>188.04</v>
          </cell>
        </row>
        <row r="6398">
          <cell r="A6398" t="str">
            <v>1;01;PI;B;PAQ22a24</v>
          </cell>
          <cell r="B6398">
            <v>730069</v>
          </cell>
          <cell r="C6398" t="str">
            <v>PI</v>
          </cell>
          <cell r="D6398" t="str">
            <v>PENINSULA ISLAS PORTUGAL</v>
          </cell>
          <cell r="E6398" t="str">
            <v>01</v>
          </cell>
          <cell r="F6398" t="str">
            <v>PAQ22a24</v>
          </cell>
          <cell r="G6398" t="str">
            <v>B</v>
          </cell>
          <cell r="H6398">
            <v>201.6</v>
          </cell>
        </row>
        <row r="6399">
          <cell r="A6399" t="str">
            <v>1;01;PI;B;PAQ24a26</v>
          </cell>
          <cell r="B6399">
            <v>730069</v>
          </cell>
          <cell r="C6399" t="str">
            <v>PI</v>
          </cell>
          <cell r="D6399" t="str">
            <v>PENINSULA ISLAS PORTUGAL</v>
          </cell>
          <cell r="E6399" t="str">
            <v>01</v>
          </cell>
          <cell r="F6399" t="str">
            <v>PAQ24a26</v>
          </cell>
          <cell r="G6399" t="str">
            <v>B</v>
          </cell>
          <cell r="H6399">
            <v>215.17</v>
          </cell>
        </row>
        <row r="6400">
          <cell r="A6400" t="str">
            <v>1;01;PI;B;PAQ26a28</v>
          </cell>
          <cell r="B6400">
            <v>730069</v>
          </cell>
          <cell r="C6400" t="str">
            <v>PI</v>
          </cell>
          <cell r="D6400" t="str">
            <v>PENINSULA ISLAS PORTUGAL</v>
          </cell>
          <cell r="E6400" t="str">
            <v>01</v>
          </cell>
          <cell r="F6400" t="str">
            <v>PAQ26a28</v>
          </cell>
          <cell r="G6400" t="str">
            <v>B</v>
          </cell>
          <cell r="H6400">
            <v>228.72</v>
          </cell>
        </row>
        <row r="6401">
          <cell r="A6401" t="str">
            <v>1;01;PI;B;PAQ28a30</v>
          </cell>
          <cell r="B6401">
            <v>730069</v>
          </cell>
          <cell r="C6401" t="str">
            <v>PI</v>
          </cell>
          <cell r="D6401" t="str">
            <v>PENINSULA ISLAS PORTUGAL</v>
          </cell>
          <cell r="E6401" t="str">
            <v>01</v>
          </cell>
          <cell r="F6401" t="str">
            <v>PAQ28a30</v>
          </cell>
          <cell r="G6401" t="str">
            <v>B</v>
          </cell>
          <cell r="H6401">
            <v>242.29</v>
          </cell>
        </row>
        <row r="6402">
          <cell r="A6402" t="str">
            <v>1;01;PI;B;PAQ30a32</v>
          </cell>
          <cell r="B6402">
            <v>730069</v>
          </cell>
          <cell r="C6402" t="str">
            <v>PI</v>
          </cell>
          <cell r="D6402" t="str">
            <v>PENINSULA ISLAS PORTUGAL</v>
          </cell>
          <cell r="E6402" t="str">
            <v>01</v>
          </cell>
          <cell r="F6402" t="str">
            <v>PAQ30a32</v>
          </cell>
          <cell r="G6402" t="str">
            <v>B</v>
          </cell>
          <cell r="H6402">
            <v>255.84</v>
          </cell>
        </row>
        <row r="6403">
          <cell r="A6403" t="str">
            <v>1;01;PI;B;PAQ32a34</v>
          </cell>
          <cell r="B6403">
            <v>730069</v>
          </cell>
          <cell r="C6403" t="str">
            <v>PI</v>
          </cell>
          <cell r="D6403" t="str">
            <v>PENINSULA ISLAS PORTUGAL</v>
          </cell>
          <cell r="E6403" t="str">
            <v>01</v>
          </cell>
          <cell r="F6403" t="str">
            <v>PAQ32a34</v>
          </cell>
          <cell r="G6403" t="str">
            <v>B</v>
          </cell>
          <cell r="H6403">
            <v>269.41000000000003</v>
          </cell>
        </row>
        <row r="6404">
          <cell r="A6404" t="str">
            <v>1;01;PI;B;PAQ34a36</v>
          </cell>
          <cell r="B6404">
            <v>730069</v>
          </cell>
          <cell r="C6404" t="str">
            <v>PI</v>
          </cell>
          <cell r="D6404" t="str">
            <v>PENINSULA ISLAS PORTUGAL</v>
          </cell>
          <cell r="E6404" t="str">
            <v>01</v>
          </cell>
          <cell r="F6404" t="str">
            <v>PAQ34a36</v>
          </cell>
          <cell r="G6404" t="str">
            <v>B</v>
          </cell>
          <cell r="H6404">
            <v>282.95999999999998</v>
          </cell>
        </row>
        <row r="6405">
          <cell r="A6405" t="str">
            <v>1;01;PI;B;PAQ36a38</v>
          </cell>
          <cell r="B6405">
            <v>730069</v>
          </cell>
          <cell r="C6405" t="str">
            <v>PI</v>
          </cell>
          <cell r="D6405" t="str">
            <v>PENINSULA ISLAS PORTUGAL</v>
          </cell>
          <cell r="E6405" t="str">
            <v>01</v>
          </cell>
          <cell r="F6405" t="str">
            <v>PAQ36a38</v>
          </cell>
          <cell r="G6405" t="str">
            <v>B</v>
          </cell>
          <cell r="H6405">
            <v>296.52999999999997</v>
          </cell>
        </row>
        <row r="6406">
          <cell r="A6406" t="str">
            <v>1;01;PI;F;</v>
          </cell>
          <cell r="B6406">
            <v>730069</v>
          </cell>
          <cell r="C6406" t="str">
            <v>PI</v>
          </cell>
          <cell r="D6406" t="str">
            <v>PENINSULA ISLAS PORTUGAL</v>
          </cell>
          <cell r="E6406" t="str">
            <v>01</v>
          </cell>
          <cell r="F6406" t="str">
            <v/>
          </cell>
          <cell r="G6406" t="str">
            <v>F</v>
          </cell>
          <cell r="H6406">
            <v>13.57</v>
          </cell>
        </row>
        <row r="6407">
          <cell r="A6407" t="str">
            <v>1;01;PI;B;PAQ38a40</v>
          </cell>
          <cell r="B6407">
            <v>730069</v>
          </cell>
          <cell r="C6407" t="str">
            <v>PI</v>
          </cell>
          <cell r="D6407" t="str">
            <v>PENINSULA ISLAS PORTUGAL</v>
          </cell>
          <cell r="E6407" t="str">
            <v>01</v>
          </cell>
          <cell r="F6407" t="str">
            <v>PAQ38a40</v>
          </cell>
          <cell r="G6407" t="str">
            <v>B</v>
          </cell>
          <cell r="H6407">
            <v>310.08999999999997</v>
          </cell>
        </row>
        <row r="6408">
          <cell r="A6408" t="str">
            <v>1;01;PI;P;</v>
          </cell>
          <cell r="B6408">
            <v>730069</v>
          </cell>
          <cell r="C6408" t="str">
            <v>PI</v>
          </cell>
          <cell r="D6408" t="str">
            <v>PENINSULA ISLAS PORTUGAL</v>
          </cell>
          <cell r="E6408" t="str">
            <v>01</v>
          </cell>
          <cell r="F6408" t="str">
            <v/>
          </cell>
          <cell r="G6408" t="str">
            <v>P</v>
          </cell>
          <cell r="H6408">
            <v>0</v>
          </cell>
        </row>
        <row r="6409">
          <cell r="A6409" t="str">
            <v>1;01;PI;E;</v>
          </cell>
          <cell r="B6409">
            <v>730069</v>
          </cell>
          <cell r="C6409" t="str">
            <v>PI</v>
          </cell>
          <cell r="D6409" t="str">
            <v>PENINSULA ISLAS PORTUGAL</v>
          </cell>
          <cell r="E6409" t="str">
            <v>01</v>
          </cell>
          <cell r="F6409" t="str">
            <v/>
          </cell>
          <cell r="G6409" t="str">
            <v>E</v>
          </cell>
          <cell r="H6409">
            <v>0</v>
          </cell>
        </row>
        <row r="6410">
          <cell r="A6410" t="str">
            <v>1;04;PI;B;BAG</v>
          </cell>
          <cell r="B6410">
            <v>730069</v>
          </cell>
          <cell r="C6410" t="str">
            <v>PI</v>
          </cell>
          <cell r="D6410" t="str">
            <v>PENINSULA ISLAS PORTUGAL</v>
          </cell>
          <cell r="E6410" t="str">
            <v>04</v>
          </cell>
          <cell r="F6410" t="str">
            <v>BAG</v>
          </cell>
          <cell r="G6410" t="str">
            <v>B</v>
          </cell>
          <cell r="H6410">
            <v>5.76</v>
          </cell>
        </row>
        <row r="6411">
          <cell r="A6411" t="str">
            <v>1;05;PI;B;BAG</v>
          </cell>
          <cell r="B6411">
            <v>730069</v>
          </cell>
          <cell r="C6411" t="str">
            <v>PI</v>
          </cell>
          <cell r="D6411" t="str">
            <v>PENINSULA ISLAS PORTUGAL</v>
          </cell>
          <cell r="E6411" t="str">
            <v>05</v>
          </cell>
          <cell r="F6411" t="str">
            <v>BAG</v>
          </cell>
          <cell r="G6411" t="str">
            <v>B</v>
          </cell>
          <cell r="H6411">
            <v>5.76</v>
          </cell>
        </row>
        <row r="6412">
          <cell r="A6412" t="str">
            <v>1;06;PI;B;BAG</v>
          </cell>
          <cell r="B6412">
            <v>730069</v>
          </cell>
          <cell r="C6412" t="str">
            <v>PI</v>
          </cell>
          <cell r="D6412" t="str">
            <v>PENINSULA ISLAS PORTUGAL</v>
          </cell>
          <cell r="E6412" t="str">
            <v>06</v>
          </cell>
          <cell r="F6412" t="str">
            <v>BAG</v>
          </cell>
          <cell r="G6412" t="str">
            <v>B</v>
          </cell>
          <cell r="H6412">
            <v>0</v>
          </cell>
        </row>
        <row r="6413">
          <cell r="A6413" t="str">
            <v>1;06;PI;B;DOCS</v>
          </cell>
          <cell r="B6413">
            <v>730069</v>
          </cell>
          <cell r="C6413" t="str">
            <v>PI</v>
          </cell>
          <cell r="D6413" t="str">
            <v>PENINSULA ISLAS PORTUGAL</v>
          </cell>
          <cell r="E6413" t="str">
            <v>06</v>
          </cell>
          <cell r="F6413" t="str">
            <v>DOCS</v>
          </cell>
          <cell r="G6413" t="str">
            <v>B</v>
          </cell>
          <cell r="H6413">
            <v>0</v>
          </cell>
        </row>
        <row r="6414">
          <cell r="A6414" t="str">
            <v>1;07;PI;B;BAG</v>
          </cell>
          <cell r="B6414">
            <v>730069</v>
          </cell>
          <cell r="C6414" t="str">
            <v>PI</v>
          </cell>
          <cell r="D6414" t="str">
            <v>PENINSULA ISLAS PORTUGAL</v>
          </cell>
          <cell r="E6414" t="str">
            <v>07</v>
          </cell>
          <cell r="F6414" t="str">
            <v>BAG</v>
          </cell>
          <cell r="G6414" t="str">
            <v>B</v>
          </cell>
          <cell r="H6414">
            <v>0</v>
          </cell>
        </row>
        <row r="6415">
          <cell r="A6415" t="str">
            <v>1;07;PI;B;DOCS</v>
          </cell>
          <cell r="B6415">
            <v>730069</v>
          </cell>
          <cell r="C6415" t="str">
            <v>PI</v>
          </cell>
          <cell r="D6415" t="str">
            <v>PENINSULA ISLAS PORTUGAL</v>
          </cell>
          <cell r="E6415" t="str">
            <v>07</v>
          </cell>
          <cell r="F6415" t="str">
            <v>DOCS</v>
          </cell>
          <cell r="G6415" t="str">
            <v>B</v>
          </cell>
          <cell r="H6415">
            <v>0</v>
          </cell>
        </row>
        <row r="6416">
          <cell r="A6416" t="str">
            <v>1;10;PI;B;BAG</v>
          </cell>
          <cell r="B6416">
            <v>730069</v>
          </cell>
          <cell r="C6416" t="str">
            <v>PI</v>
          </cell>
          <cell r="D6416" t="str">
            <v>PENINSULA ISLAS PORTUGAL</v>
          </cell>
          <cell r="E6416" t="str">
            <v>10</v>
          </cell>
          <cell r="F6416" t="str">
            <v>BAG</v>
          </cell>
          <cell r="G6416" t="str">
            <v>B</v>
          </cell>
          <cell r="H6416">
            <v>1.7</v>
          </cell>
        </row>
        <row r="6417">
          <cell r="A6417" t="str">
            <v>1;10;PI;B;DOCS</v>
          </cell>
          <cell r="B6417">
            <v>730069</v>
          </cell>
          <cell r="C6417" t="str">
            <v>PI</v>
          </cell>
          <cell r="D6417" t="str">
            <v>PENINSULA ISLAS PORTUGAL</v>
          </cell>
          <cell r="E6417" t="str">
            <v>10</v>
          </cell>
          <cell r="F6417" t="str">
            <v>DOCS</v>
          </cell>
          <cell r="G6417" t="str">
            <v>B</v>
          </cell>
          <cell r="H6417">
            <v>1.7</v>
          </cell>
        </row>
        <row r="6418">
          <cell r="A6418" t="str">
            <v>1;14;PI;B;BAG</v>
          </cell>
          <cell r="B6418">
            <v>730069</v>
          </cell>
          <cell r="C6418" t="str">
            <v>PI</v>
          </cell>
          <cell r="D6418" t="str">
            <v>PENINSULA ISLAS PORTUGAL</v>
          </cell>
          <cell r="E6418" t="str">
            <v>14</v>
          </cell>
          <cell r="F6418" t="str">
            <v>BAG</v>
          </cell>
          <cell r="G6418" t="str">
            <v>B</v>
          </cell>
          <cell r="H6418">
            <v>1.79</v>
          </cell>
        </row>
        <row r="6419">
          <cell r="A6419" t="str">
            <v>1;15;PI;B;BAG</v>
          </cell>
          <cell r="B6419">
            <v>730069</v>
          </cell>
          <cell r="C6419" t="str">
            <v>PI</v>
          </cell>
          <cell r="D6419" t="str">
            <v>PENINSULA ISLAS PORTUGAL</v>
          </cell>
          <cell r="E6419" t="str">
            <v>15</v>
          </cell>
          <cell r="F6419" t="str">
            <v>BAG</v>
          </cell>
          <cell r="G6419" t="str">
            <v>B</v>
          </cell>
          <cell r="H6419">
            <v>1.79</v>
          </cell>
        </row>
        <row r="6420">
          <cell r="A6420" t="str">
            <v>1;61;PI;B;BAG</v>
          </cell>
          <cell r="B6420">
            <v>730069</v>
          </cell>
          <cell r="C6420" t="str">
            <v>PI</v>
          </cell>
          <cell r="D6420" t="str">
            <v>PENINSULA ISLAS PORTUGAL</v>
          </cell>
          <cell r="E6420" t="str">
            <v>61</v>
          </cell>
          <cell r="F6420" t="str">
            <v>BAG</v>
          </cell>
          <cell r="G6420" t="str">
            <v>B</v>
          </cell>
          <cell r="H6420">
            <v>43.16</v>
          </cell>
        </row>
        <row r="6421">
          <cell r="A6421" t="str">
            <v>1;61;PI;B;PAQ00a02</v>
          </cell>
          <cell r="B6421">
            <v>730069</v>
          </cell>
          <cell r="C6421" t="str">
            <v>PI</v>
          </cell>
          <cell r="D6421" t="str">
            <v>PENINSULA ISLAS PORTUGAL</v>
          </cell>
          <cell r="E6421" t="str">
            <v>61</v>
          </cell>
          <cell r="F6421" t="str">
            <v>PAQ00a02</v>
          </cell>
          <cell r="G6421" t="str">
            <v>B</v>
          </cell>
          <cell r="H6421">
            <v>48.15</v>
          </cell>
        </row>
        <row r="6422">
          <cell r="A6422" t="str">
            <v>1;61;PI;B;PAQ02a04</v>
          </cell>
          <cell r="B6422">
            <v>730069</v>
          </cell>
          <cell r="C6422" t="str">
            <v>PI</v>
          </cell>
          <cell r="D6422" t="str">
            <v>PENINSULA ISLAS PORTUGAL</v>
          </cell>
          <cell r="E6422" t="str">
            <v>61</v>
          </cell>
          <cell r="F6422" t="str">
            <v>PAQ02a04</v>
          </cell>
          <cell r="G6422" t="str">
            <v>B</v>
          </cell>
          <cell r="H6422">
            <v>64.28</v>
          </cell>
        </row>
        <row r="6423">
          <cell r="A6423" t="str">
            <v>1;61;PI;B;PAQ04a06</v>
          </cell>
          <cell r="B6423">
            <v>730069</v>
          </cell>
          <cell r="C6423" t="str">
            <v>PI</v>
          </cell>
          <cell r="D6423" t="str">
            <v>PENINSULA ISLAS PORTUGAL</v>
          </cell>
          <cell r="E6423" t="str">
            <v>61</v>
          </cell>
          <cell r="F6423" t="str">
            <v>PAQ04a06</v>
          </cell>
          <cell r="G6423" t="str">
            <v>B</v>
          </cell>
          <cell r="H6423">
            <v>78.900000000000006</v>
          </cell>
        </row>
        <row r="6424">
          <cell r="A6424" t="str">
            <v>1;61;PI;B;PAQ06a08</v>
          </cell>
          <cell r="B6424">
            <v>730069</v>
          </cell>
          <cell r="C6424" t="str">
            <v>PI</v>
          </cell>
          <cell r="D6424" t="str">
            <v>PENINSULA ISLAS PORTUGAL</v>
          </cell>
          <cell r="E6424" t="str">
            <v>61</v>
          </cell>
          <cell r="F6424" t="str">
            <v>PAQ06a08</v>
          </cell>
          <cell r="G6424" t="str">
            <v>B</v>
          </cell>
          <cell r="H6424">
            <v>93.5</v>
          </cell>
        </row>
        <row r="6425">
          <cell r="A6425" t="str">
            <v>1;61;PI;B;PAQ08a10</v>
          </cell>
          <cell r="B6425">
            <v>730069</v>
          </cell>
          <cell r="C6425" t="str">
            <v>PI</v>
          </cell>
          <cell r="D6425" t="str">
            <v>PENINSULA ISLAS PORTUGAL</v>
          </cell>
          <cell r="E6425" t="str">
            <v>61</v>
          </cell>
          <cell r="F6425" t="str">
            <v>PAQ08a10</v>
          </cell>
          <cell r="G6425" t="str">
            <v>B</v>
          </cell>
          <cell r="H6425">
            <v>108.16</v>
          </cell>
        </row>
        <row r="6426">
          <cell r="A6426" t="str">
            <v>1;61;PI;B;PAQ10a12</v>
          </cell>
          <cell r="B6426">
            <v>730069</v>
          </cell>
          <cell r="C6426" t="str">
            <v>PI</v>
          </cell>
          <cell r="D6426" t="str">
            <v>PENINSULA ISLAS PORTUGAL</v>
          </cell>
          <cell r="E6426" t="str">
            <v>61</v>
          </cell>
          <cell r="F6426" t="str">
            <v>PAQ10a12</v>
          </cell>
          <cell r="G6426" t="str">
            <v>B</v>
          </cell>
          <cell r="H6426">
            <v>121.72</v>
          </cell>
        </row>
        <row r="6427">
          <cell r="A6427" t="str">
            <v>1;61;PI;B;PAQ12a14</v>
          </cell>
          <cell r="B6427">
            <v>730069</v>
          </cell>
          <cell r="C6427" t="str">
            <v>PI</v>
          </cell>
          <cell r="D6427" t="str">
            <v>PENINSULA ISLAS PORTUGAL</v>
          </cell>
          <cell r="E6427" t="str">
            <v>61</v>
          </cell>
          <cell r="F6427" t="str">
            <v>PAQ12a14</v>
          </cell>
          <cell r="G6427" t="str">
            <v>B</v>
          </cell>
          <cell r="H6427">
            <v>135.28</v>
          </cell>
        </row>
        <row r="6428">
          <cell r="A6428" t="str">
            <v>1;61;PI;B;PAQ14a16</v>
          </cell>
          <cell r="B6428">
            <v>730069</v>
          </cell>
          <cell r="C6428" t="str">
            <v>PI</v>
          </cell>
          <cell r="D6428" t="str">
            <v>PENINSULA ISLAS PORTUGAL</v>
          </cell>
          <cell r="E6428" t="str">
            <v>61</v>
          </cell>
          <cell r="F6428" t="str">
            <v>PAQ14a16</v>
          </cell>
          <cell r="G6428" t="str">
            <v>B</v>
          </cell>
          <cell r="H6428">
            <v>148.84</v>
          </cell>
        </row>
        <row r="6429">
          <cell r="A6429" t="str">
            <v>1;61;PI;B;PAQ16a18</v>
          </cell>
          <cell r="B6429">
            <v>730069</v>
          </cell>
          <cell r="C6429" t="str">
            <v>PI</v>
          </cell>
          <cell r="D6429" t="str">
            <v>PENINSULA ISLAS PORTUGAL</v>
          </cell>
          <cell r="E6429" t="str">
            <v>61</v>
          </cell>
          <cell r="F6429" t="str">
            <v>PAQ16a18</v>
          </cell>
          <cell r="G6429" t="str">
            <v>B</v>
          </cell>
          <cell r="H6429">
            <v>162.4</v>
          </cell>
        </row>
        <row r="6430">
          <cell r="A6430" t="str">
            <v>1;61;PI;B;PAQ18a20</v>
          </cell>
          <cell r="B6430">
            <v>730069</v>
          </cell>
          <cell r="C6430" t="str">
            <v>PI</v>
          </cell>
          <cell r="D6430" t="str">
            <v>PENINSULA ISLAS PORTUGAL</v>
          </cell>
          <cell r="E6430" t="str">
            <v>61</v>
          </cell>
          <cell r="F6430" t="str">
            <v>PAQ18a20</v>
          </cell>
          <cell r="G6430" t="str">
            <v>B</v>
          </cell>
          <cell r="H6430">
            <v>175.96</v>
          </cell>
        </row>
        <row r="6431">
          <cell r="A6431" t="str">
            <v>1;61;PI;B;PAQ20a22</v>
          </cell>
          <cell r="B6431">
            <v>730069</v>
          </cell>
          <cell r="C6431" t="str">
            <v>PI</v>
          </cell>
          <cell r="D6431" t="str">
            <v>PENINSULA ISLAS PORTUGAL</v>
          </cell>
          <cell r="E6431" t="str">
            <v>61</v>
          </cell>
          <cell r="F6431" t="str">
            <v>PAQ20a22</v>
          </cell>
          <cell r="G6431" t="str">
            <v>B</v>
          </cell>
          <cell r="H6431">
            <v>189.53</v>
          </cell>
        </row>
        <row r="6432">
          <cell r="A6432" t="str">
            <v>1;61;PI;B;PAQ22a24</v>
          </cell>
          <cell r="B6432">
            <v>730069</v>
          </cell>
          <cell r="C6432" t="str">
            <v>PI</v>
          </cell>
          <cell r="D6432" t="str">
            <v>PENINSULA ISLAS PORTUGAL</v>
          </cell>
          <cell r="E6432" t="str">
            <v>61</v>
          </cell>
          <cell r="F6432" t="str">
            <v>PAQ22a24</v>
          </cell>
          <cell r="G6432" t="str">
            <v>B</v>
          </cell>
          <cell r="H6432">
            <v>203.08</v>
          </cell>
        </row>
        <row r="6433">
          <cell r="A6433" t="str">
            <v>1;61;PI;B;PAQ24a26</v>
          </cell>
          <cell r="B6433">
            <v>730069</v>
          </cell>
          <cell r="C6433" t="str">
            <v>PI</v>
          </cell>
          <cell r="D6433" t="str">
            <v>PENINSULA ISLAS PORTUGAL</v>
          </cell>
          <cell r="E6433" t="str">
            <v>61</v>
          </cell>
          <cell r="F6433" t="str">
            <v>PAQ24a26</v>
          </cell>
          <cell r="G6433" t="str">
            <v>B</v>
          </cell>
          <cell r="H6433">
            <v>216.65</v>
          </cell>
        </row>
        <row r="6434">
          <cell r="A6434" t="str">
            <v>1;61;PI;B;PAQ26a28</v>
          </cell>
          <cell r="B6434">
            <v>730069</v>
          </cell>
          <cell r="C6434" t="str">
            <v>PI</v>
          </cell>
          <cell r="D6434" t="str">
            <v>PENINSULA ISLAS PORTUGAL</v>
          </cell>
          <cell r="E6434" t="str">
            <v>61</v>
          </cell>
          <cell r="F6434" t="str">
            <v>PAQ26a28</v>
          </cell>
          <cell r="G6434" t="str">
            <v>B</v>
          </cell>
          <cell r="H6434">
            <v>230.2</v>
          </cell>
        </row>
        <row r="6435">
          <cell r="A6435" t="str">
            <v>1;61;PI;B;PAQ28a30</v>
          </cell>
          <cell r="B6435">
            <v>730069</v>
          </cell>
          <cell r="C6435" t="str">
            <v>PI</v>
          </cell>
          <cell r="D6435" t="str">
            <v>PENINSULA ISLAS PORTUGAL</v>
          </cell>
          <cell r="E6435" t="str">
            <v>61</v>
          </cell>
          <cell r="F6435" t="str">
            <v>PAQ28a30</v>
          </cell>
          <cell r="G6435" t="str">
            <v>B</v>
          </cell>
          <cell r="H6435">
            <v>243.77</v>
          </cell>
        </row>
        <row r="6436">
          <cell r="A6436" t="str">
            <v>1;61;PI;B;PAQ30a32</v>
          </cell>
          <cell r="B6436">
            <v>730069</v>
          </cell>
          <cell r="C6436" t="str">
            <v>PI</v>
          </cell>
          <cell r="D6436" t="str">
            <v>PENINSULA ISLAS PORTUGAL</v>
          </cell>
          <cell r="E6436" t="str">
            <v>61</v>
          </cell>
          <cell r="F6436" t="str">
            <v>PAQ30a32</v>
          </cell>
          <cell r="G6436" t="str">
            <v>B</v>
          </cell>
          <cell r="H6436">
            <v>257.32</v>
          </cell>
        </row>
        <row r="6437">
          <cell r="A6437" t="str">
            <v>1;61;PI;B;PAQ32a34</v>
          </cell>
          <cell r="B6437">
            <v>730069</v>
          </cell>
          <cell r="C6437" t="str">
            <v>PI</v>
          </cell>
          <cell r="D6437" t="str">
            <v>PENINSULA ISLAS PORTUGAL</v>
          </cell>
          <cell r="E6437" t="str">
            <v>61</v>
          </cell>
          <cell r="F6437" t="str">
            <v>PAQ32a34</v>
          </cell>
          <cell r="G6437" t="str">
            <v>B</v>
          </cell>
          <cell r="H6437">
            <v>270.89</v>
          </cell>
        </row>
        <row r="6438">
          <cell r="A6438" t="str">
            <v>1;61;PI;B;PAQ34a36</v>
          </cell>
          <cell r="B6438">
            <v>730069</v>
          </cell>
          <cell r="C6438" t="str">
            <v>PI</v>
          </cell>
          <cell r="D6438" t="str">
            <v>PENINSULA ISLAS PORTUGAL</v>
          </cell>
          <cell r="E6438" t="str">
            <v>61</v>
          </cell>
          <cell r="F6438" t="str">
            <v>PAQ34a36</v>
          </cell>
          <cell r="G6438" t="str">
            <v>B</v>
          </cell>
          <cell r="H6438">
            <v>284.45</v>
          </cell>
        </row>
        <row r="6439">
          <cell r="A6439" t="str">
            <v>1;61;PI;B;PAQ36a38</v>
          </cell>
          <cell r="B6439">
            <v>730069</v>
          </cell>
          <cell r="C6439" t="str">
            <v>PI</v>
          </cell>
          <cell r="D6439" t="str">
            <v>PENINSULA ISLAS PORTUGAL</v>
          </cell>
          <cell r="E6439" t="str">
            <v>61</v>
          </cell>
          <cell r="F6439" t="str">
            <v>PAQ36a38</v>
          </cell>
          <cell r="G6439" t="str">
            <v>B</v>
          </cell>
          <cell r="H6439">
            <v>298.01</v>
          </cell>
        </row>
        <row r="6440">
          <cell r="A6440" t="str">
            <v>1;61;PI;B;PAQ38a40</v>
          </cell>
          <cell r="B6440">
            <v>730069</v>
          </cell>
          <cell r="C6440" t="str">
            <v>PI</v>
          </cell>
          <cell r="D6440" t="str">
            <v>PENINSULA ISLAS PORTUGAL</v>
          </cell>
          <cell r="E6440" t="str">
            <v>61</v>
          </cell>
          <cell r="F6440" t="str">
            <v>PAQ38a40</v>
          </cell>
          <cell r="G6440" t="str">
            <v>B</v>
          </cell>
          <cell r="H6440">
            <v>311.57</v>
          </cell>
        </row>
        <row r="6441">
          <cell r="A6441" t="str">
            <v>1;61;PI;F;</v>
          </cell>
          <cell r="B6441">
            <v>730069</v>
          </cell>
          <cell r="C6441" t="str">
            <v>PI</v>
          </cell>
          <cell r="D6441" t="str">
            <v>PENINSULA ISLAS PORTUGAL</v>
          </cell>
          <cell r="E6441" t="str">
            <v>61</v>
          </cell>
          <cell r="F6441" t="str">
            <v/>
          </cell>
          <cell r="G6441" t="str">
            <v>F</v>
          </cell>
          <cell r="H6441">
            <v>13.57</v>
          </cell>
        </row>
        <row r="6442">
          <cell r="A6442" t="str">
            <v>1;61;PI;E;</v>
          </cell>
          <cell r="B6442">
            <v>730069</v>
          </cell>
          <cell r="C6442" t="str">
            <v>PI</v>
          </cell>
          <cell r="D6442" t="str">
            <v>PENINSULA ISLAS PORTUGAL</v>
          </cell>
          <cell r="E6442" t="str">
            <v>61</v>
          </cell>
          <cell r="F6442" t="str">
            <v/>
          </cell>
          <cell r="G6442" t="str">
            <v>E</v>
          </cell>
          <cell r="H6442">
            <v>0</v>
          </cell>
        </row>
        <row r="6443">
          <cell r="A6443" t="str">
            <v>1;61;PI;P;</v>
          </cell>
          <cell r="B6443">
            <v>730069</v>
          </cell>
          <cell r="C6443" t="str">
            <v>PI</v>
          </cell>
          <cell r="D6443" t="str">
            <v>PENINSULA ISLAS PORTUGAL</v>
          </cell>
          <cell r="E6443" t="str">
            <v>61</v>
          </cell>
          <cell r="F6443" t="str">
            <v/>
          </cell>
          <cell r="G6443" t="str">
            <v>P</v>
          </cell>
          <cell r="H6443">
            <v>0</v>
          </cell>
        </row>
        <row r="6444">
          <cell r="A6444" t="str">
            <v>1;01;Q1;B;BAG</v>
          </cell>
          <cell r="B6444">
            <v>730069</v>
          </cell>
          <cell r="C6444" t="str">
            <v>Q1</v>
          </cell>
          <cell r="D6444" t="str">
            <v>BALEARES PORTUGAL AÉREO 1</v>
          </cell>
          <cell r="E6444" t="str">
            <v>01</v>
          </cell>
          <cell r="F6444" t="str">
            <v>BAG</v>
          </cell>
          <cell r="G6444" t="str">
            <v>B</v>
          </cell>
          <cell r="H6444">
            <v>19.96</v>
          </cell>
        </row>
        <row r="6445">
          <cell r="A6445" t="str">
            <v>1;01;Q1;B;DOCS</v>
          </cell>
          <cell r="B6445">
            <v>730069</v>
          </cell>
          <cell r="C6445" t="str">
            <v>Q1</v>
          </cell>
          <cell r="D6445" t="str">
            <v>BALEARES PORTUGAL AÉREO 1</v>
          </cell>
          <cell r="E6445" t="str">
            <v>01</v>
          </cell>
          <cell r="F6445" t="str">
            <v>DOCS</v>
          </cell>
          <cell r="G6445" t="str">
            <v>B</v>
          </cell>
          <cell r="H6445">
            <v>14.63</v>
          </cell>
        </row>
        <row r="6446">
          <cell r="A6446" t="str">
            <v>1;01;Q1;B;PAQ00a02</v>
          </cell>
          <cell r="B6446">
            <v>730069</v>
          </cell>
          <cell r="C6446" t="str">
            <v>Q1</v>
          </cell>
          <cell r="D6446" t="str">
            <v>BALEARES PORTUGAL AÉREO 1</v>
          </cell>
          <cell r="E6446" t="str">
            <v>01</v>
          </cell>
          <cell r="F6446" t="str">
            <v>PAQ00a02</v>
          </cell>
          <cell r="G6446" t="str">
            <v>B</v>
          </cell>
          <cell r="H6446">
            <v>24.81</v>
          </cell>
        </row>
        <row r="6447">
          <cell r="A6447" t="str">
            <v>1;01;Q1;B;PAQ02a04</v>
          </cell>
          <cell r="B6447">
            <v>730069</v>
          </cell>
          <cell r="C6447" t="str">
            <v>Q1</v>
          </cell>
          <cell r="D6447" t="str">
            <v>BALEARES PORTUGAL AÉREO 1</v>
          </cell>
          <cell r="E6447" t="str">
            <v>01</v>
          </cell>
          <cell r="F6447" t="str">
            <v>PAQ02a04</v>
          </cell>
          <cell r="G6447" t="str">
            <v>B</v>
          </cell>
          <cell r="H6447">
            <v>43.3</v>
          </cell>
        </row>
        <row r="6448">
          <cell r="A6448" t="str">
            <v>1;01;Q1;B;PAQ04a06</v>
          </cell>
          <cell r="B6448">
            <v>730069</v>
          </cell>
          <cell r="C6448" t="str">
            <v>Q1</v>
          </cell>
          <cell r="D6448" t="str">
            <v>BALEARES PORTUGAL AÉREO 1</v>
          </cell>
          <cell r="E6448" t="str">
            <v>01</v>
          </cell>
          <cell r="F6448" t="str">
            <v>PAQ04a06</v>
          </cell>
          <cell r="G6448" t="str">
            <v>B</v>
          </cell>
          <cell r="H6448">
            <v>63.9</v>
          </cell>
        </row>
        <row r="6449">
          <cell r="A6449" t="str">
            <v>1;01;Q1;B;PAQ06a08</v>
          </cell>
          <cell r="B6449">
            <v>730069</v>
          </cell>
          <cell r="C6449" t="str">
            <v>Q1</v>
          </cell>
          <cell r="D6449" t="str">
            <v>BALEARES PORTUGAL AÉREO 1</v>
          </cell>
          <cell r="E6449" t="str">
            <v>01</v>
          </cell>
          <cell r="F6449" t="str">
            <v>PAQ06a08</v>
          </cell>
          <cell r="G6449" t="str">
            <v>B</v>
          </cell>
          <cell r="H6449">
            <v>84.52</v>
          </cell>
        </row>
        <row r="6450">
          <cell r="A6450" t="str">
            <v>1;01;Q1;B;PAQ08a10</v>
          </cell>
          <cell r="B6450">
            <v>730069</v>
          </cell>
          <cell r="C6450" t="str">
            <v>Q1</v>
          </cell>
          <cell r="D6450" t="str">
            <v>BALEARES PORTUGAL AÉREO 1</v>
          </cell>
          <cell r="E6450" t="str">
            <v>01</v>
          </cell>
          <cell r="F6450" t="str">
            <v>PAQ08a10</v>
          </cell>
          <cell r="G6450" t="str">
            <v>B</v>
          </cell>
          <cell r="H6450">
            <v>105.13</v>
          </cell>
        </row>
        <row r="6451">
          <cell r="A6451" t="str">
            <v>1;01;Q1;B;PAQ10a12</v>
          </cell>
          <cell r="B6451">
            <v>730069</v>
          </cell>
          <cell r="C6451" t="str">
            <v>Q1</v>
          </cell>
          <cell r="D6451" t="str">
            <v>BALEARES PORTUGAL AÉREO 1</v>
          </cell>
          <cell r="E6451" t="str">
            <v>01</v>
          </cell>
          <cell r="F6451" t="str">
            <v>PAQ10a12</v>
          </cell>
          <cell r="G6451" t="str">
            <v>B</v>
          </cell>
          <cell r="H6451">
            <v>125.74</v>
          </cell>
        </row>
        <row r="6452">
          <cell r="A6452" t="str">
            <v>1;01;Q1;B;PAQ12a14</v>
          </cell>
          <cell r="B6452">
            <v>730069</v>
          </cell>
          <cell r="C6452" t="str">
            <v>Q1</v>
          </cell>
          <cell r="D6452" t="str">
            <v>BALEARES PORTUGAL AÉREO 1</v>
          </cell>
          <cell r="E6452" t="str">
            <v>01</v>
          </cell>
          <cell r="F6452" t="str">
            <v>PAQ12a14</v>
          </cell>
          <cell r="G6452" t="str">
            <v>B</v>
          </cell>
          <cell r="H6452">
            <v>146.35</v>
          </cell>
        </row>
        <row r="6453">
          <cell r="A6453" t="str">
            <v>1;01;Q1;B;PAQ14a16</v>
          </cell>
          <cell r="B6453">
            <v>730069</v>
          </cell>
          <cell r="C6453" t="str">
            <v>Q1</v>
          </cell>
          <cell r="D6453" t="str">
            <v>BALEARES PORTUGAL AÉREO 1</v>
          </cell>
          <cell r="E6453" t="str">
            <v>01</v>
          </cell>
          <cell r="F6453" t="str">
            <v>PAQ14a16</v>
          </cell>
          <cell r="G6453" t="str">
            <v>B</v>
          </cell>
          <cell r="H6453">
            <v>166.96</v>
          </cell>
        </row>
        <row r="6454">
          <cell r="A6454" t="str">
            <v>1;01;Q1;B;PAQ16a18</v>
          </cell>
          <cell r="B6454">
            <v>730069</v>
          </cell>
          <cell r="C6454" t="str">
            <v>Q1</v>
          </cell>
          <cell r="D6454" t="str">
            <v>BALEARES PORTUGAL AÉREO 1</v>
          </cell>
          <cell r="E6454" t="str">
            <v>01</v>
          </cell>
          <cell r="F6454" t="str">
            <v>PAQ16a18</v>
          </cell>
          <cell r="G6454" t="str">
            <v>B</v>
          </cell>
          <cell r="H6454">
            <v>187.57</v>
          </cell>
        </row>
        <row r="6455">
          <cell r="A6455" t="str">
            <v>1;01;Q1;B;PAQ18a20</v>
          </cell>
          <cell r="B6455">
            <v>730069</v>
          </cell>
          <cell r="C6455" t="str">
            <v>Q1</v>
          </cell>
          <cell r="D6455" t="str">
            <v>BALEARES PORTUGAL AÉREO 1</v>
          </cell>
          <cell r="E6455" t="str">
            <v>01</v>
          </cell>
          <cell r="F6455" t="str">
            <v>PAQ18a20</v>
          </cell>
          <cell r="G6455" t="str">
            <v>B</v>
          </cell>
          <cell r="H6455">
            <v>208.19</v>
          </cell>
        </row>
        <row r="6456">
          <cell r="A6456" t="str">
            <v>1;01;Q1;B;PAQ20a22</v>
          </cell>
          <cell r="B6456">
            <v>730069</v>
          </cell>
          <cell r="C6456" t="str">
            <v>Q1</v>
          </cell>
          <cell r="D6456" t="str">
            <v>BALEARES PORTUGAL AÉREO 1</v>
          </cell>
          <cell r="E6456" t="str">
            <v>01</v>
          </cell>
          <cell r="F6456" t="str">
            <v>PAQ20a22</v>
          </cell>
          <cell r="G6456" t="str">
            <v>B</v>
          </cell>
          <cell r="H6456">
            <v>228.79</v>
          </cell>
        </row>
        <row r="6457">
          <cell r="A6457" t="str">
            <v>1;01;Q1;B;PAQ22a24</v>
          </cell>
          <cell r="B6457">
            <v>730069</v>
          </cell>
          <cell r="C6457" t="str">
            <v>Q1</v>
          </cell>
          <cell r="D6457" t="str">
            <v>BALEARES PORTUGAL AÉREO 1</v>
          </cell>
          <cell r="E6457" t="str">
            <v>01</v>
          </cell>
          <cell r="F6457" t="str">
            <v>PAQ22a24</v>
          </cell>
          <cell r="G6457" t="str">
            <v>B</v>
          </cell>
          <cell r="H6457">
            <v>249.4</v>
          </cell>
        </row>
        <row r="6458">
          <cell r="A6458" t="str">
            <v>1;01;Q1;B;PAQ24a26</v>
          </cell>
          <cell r="B6458">
            <v>730069</v>
          </cell>
          <cell r="C6458" t="str">
            <v>Q1</v>
          </cell>
          <cell r="D6458" t="str">
            <v>BALEARES PORTUGAL AÉREO 1</v>
          </cell>
          <cell r="E6458" t="str">
            <v>01</v>
          </cell>
          <cell r="F6458" t="str">
            <v>PAQ24a26</v>
          </cell>
          <cell r="G6458" t="str">
            <v>B</v>
          </cell>
          <cell r="H6458">
            <v>270.01</v>
          </cell>
        </row>
        <row r="6459">
          <cell r="A6459" t="str">
            <v>1;01;Q1;B;PAQ26a28</v>
          </cell>
          <cell r="B6459">
            <v>730069</v>
          </cell>
          <cell r="C6459" t="str">
            <v>Q1</v>
          </cell>
          <cell r="D6459" t="str">
            <v>BALEARES PORTUGAL AÉREO 1</v>
          </cell>
          <cell r="E6459" t="str">
            <v>01</v>
          </cell>
          <cell r="F6459" t="str">
            <v>PAQ26a28</v>
          </cell>
          <cell r="G6459" t="str">
            <v>B</v>
          </cell>
          <cell r="H6459">
            <v>290.64</v>
          </cell>
        </row>
        <row r="6460">
          <cell r="A6460" t="str">
            <v>1;01;Q1;B;PAQ28a30</v>
          </cell>
          <cell r="B6460">
            <v>730069</v>
          </cell>
          <cell r="C6460" t="str">
            <v>Q1</v>
          </cell>
          <cell r="D6460" t="str">
            <v>BALEARES PORTUGAL AÉREO 1</v>
          </cell>
          <cell r="E6460" t="str">
            <v>01</v>
          </cell>
          <cell r="F6460" t="str">
            <v>PAQ28a30</v>
          </cell>
          <cell r="G6460" t="str">
            <v>B</v>
          </cell>
          <cell r="H6460">
            <v>311.24</v>
          </cell>
        </row>
        <row r="6461">
          <cell r="A6461" t="str">
            <v>1;01;Q1;B;PAQ30a32</v>
          </cell>
          <cell r="B6461">
            <v>730069</v>
          </cell>
          <cell r="C6461" t="str">
            <v>Q1</v>
          </cell>
          <cell r="D6461" t="str">
            <v>BALEARES PORTUGAL AÉREO 1</v>
          </cell>
          <cell r="E6461" t="str">
            <v>01</v>
          </cell>
          <cell r="F6461" t="str">
            <v>PAQ30a32</v>
          </cell>
          <cell r="G6461" t="str">
            <v>B</v>
          </cell>
          <cell r="H6461">
            <v>331.85</v>
          </cell>
        </row>
        <row r="6462">
          <cell r="A6462" t="str">
            <v>1;01;Q1;B;PAQ32a34</v>
          </cell>
          <cell r="B6462">
            <v>730069</v>
          </cell>
          <cell r="C6462" t="str">
            <v>Q1</v>
          </cell>
          <cell r="D6462" t="str">
            <v>BALEARES PORTUGAL AÉREO 1</v>
          </cell>
          <cell r="E6462" t="str">
            <v>01</v>
          </cell>
          <cell r="F6462" t="str">
            <v>PAQ32a34</v>
          </cell>
          <cell r="G6462" t="str">
            <v>B</v>
          </cell>
          <cell r="H6462">
            <v>352.47</v>
          </cell>
        </row>
        <row r="6463">
          <cell r="A6463" t="str">
            <v>1;01;Q1;B;PAQ34a36</v>
          </cell>
          <cell r="B6463">
            <v>730069</v>
          </cell>
          <cell r="C6463" t="str">
            <v>Q1</v>
          </cell>
          <cell r="D6463" t="str">
            <v>BALEARES PORTUGAL AÉREO 1</v>
          </cell>
          <cell r="E6463" t="str">
            <v>01</v>
          </cell>
          <cell r="F6463" t="str">
            <v>PAQ34a36</v>
          </cell>
          <cell r="G6463" t="str">
            <v>B</v>
          </cell>
          <cell r="H6463">
            <v>373.08</v>
          </cell>
        </row>
        <row r="6464">
          <cell r="A6464" t="str">
            <v>1;01;Q1;B;PAQ36a38</v>
          </cell>
          <cell r="B6464">
            <v>730069</v>
          </cell>
          <cell r="C6464" t="str">
            <v>Q1</v>
          </cell>
          <cell r="D6464" t="str">
            <v>BALEARES PORTUGAL AÉREO 1</v>
          </cell>
          <cell r="E6464" t="str">
            <v>01</v>
          </cell>
          <cell r="F6464" t="str">
            <v>PAQ36a38</v>
          </cell>
          <cell r="G6464" t="str">
            <v>B</v>
          </cell>
          <cell r="H6464">
            <v>393.68</v>
          </cell>
        </row>
        <row r="6465">
          <cell r="A6465" t="str">
            <v>1;01;Q1;F;</v>
          </cell>
          <cell r="B6465">
            <v>730069</v>
          </cell>
          <cell r="C6465" t="str">
            <v>Q1</v>
          </cell>
          <cell r="D6465" t="str">
            <v>BALEARES PORTUGAL AÉREO 1</v>
          </cell>
          <cell r="E6465" t="str">
            <v>01</v>
          </cell>
          <cell r="F6465" t="str">
            <v/>
          </cell>
          <cell r="G6465" t="str">
            <v>F</v>
          </cell>
          <cell r="H6465">
            <v>20.61</v>
          </cell>
        </row>
        <row r="6466">
          <cell r="A6466" t="str">
            <v>1;01;Q1;B;PAQ38a40</v>
          </cell>
          <cell r="B6466">
            <v>730069</v>
          </cell>
          <cell r="C6466" t="str">
            <v>Q1</v>
          </cell>
          <cell r="D6466" t="str">
            <v>BALEARES PORTUGAL AÉREO 1</v>
          </cell>
          <cell r="E6466" t="str">
            <v>01</v>
          </cell>
          <cell r="F6466" t="str">
            <v>PAQ38a40</v>
          </cell>
          <cell r="G6466" t="str">
            <v>B</v>
          </cell>
          <cell r="H6466">
            <v>414.29</v>
          </cell>
        </row>
        <row r="6467">
          <cell r="A6467" t="str">
            <v>1;01;Q1;E;</v>
          </cell>
          <cell r="B6467">
            <v>730069</v>
          </cell>
          <cell r="C6467" t="str">
            <v>Q1</v>
          </cell>
          <cell r="D6467" t="str">
            <v>BALEARES PORTUGAL AÉREO 1</v>
          </cell>
          <cell r="E6467" t="str">
            <v>01</v>
          </cell>
          <cell r="F6467" t="str">
            <v/>
          </cell>
          <cell r="G6467" t="str">
            <v>E</v>
          </cell>
          <cell r="H6467">
            <v>0</v>
          </cell>
        </row>
        <row r="6468">
          <cell r="A6468" t="str">
            <v>1;01;Q1;P;</v>
          </cell>
          <cell r="B6468">
            <v>730069</v>
          </cell>
          <cell r="C6468" t="str">
            <v>Q1</v>
          </cell>
          <cell r="D6468" t="str">
            <v>BALEARES PORTUGAL AÉREO 1</v>
          </cell>
          <cell r="E6468" t="str">
            <v>01</v>
          </cell>
          <cell r="F6468" t="str">
            <v/>
          </cell>
          <cell r="G6468" t="str">
            <v>P</v>
          </cell>
          <cell r="H6468">
            <v>0</v>
          </cell>
        </row>
        <row r="6469">
          <cell r="A6469" t="str">
            <v>1;02;Q1;B;BAG</v>
          </cell>
          <cell r="B6469">
            <v>730069</v>
          </cell>
          <cell r="C6469" t="str">
            <v>Q1</v>
          </cell>
          <cell r="D6469" t="str">
            <v>BALEARES PORTUGAL AÉREO 1</v>
          </cell>
          <cell r="E6469" t="str">
            <v>02</v>
          </cell>
          <cell r="F6469" t="str">
            <v>BAG</v>
          </cell>
          <cell r="G6469" t="str">
            <v>B</v>
          </cell>
          <cell r="H6469">
            <v>15.67</v>
          </cell>
        </row>
        <row r="6470">
          <cell r="A6470" t="str">
            <v>1;02;Q1;B;DOCS</v>
          </cell>
          <cell r="B6470">
            <v>730069</v>
          </cell>
          <cell r="C6470" t="str">
            <v>Q1</v>
          </cell>
          <cell r="D6470" t="str">
            <v>BALEARES PORTUGAL AÉREO 1</v>
          </cell>
          <cell r="E6470" t="str">
            <v>02</v>
          </cell>
          <cell r="F6470" t="str">
            <v>DOCS</v>
          </cell>
          <cell r="G6470" t="str">
            <v>B</v>
          </cell>
          <cell r="H6470">
            <v>11.19</v>
          </cell>
        </row>
        <row r="6471">
          <cell r="A6471" t="str">
            <v>1;02;Q1;B;PAQ00a02</v>
          </cell>
          <cell r="B6471">
            <v>730069</v>
          </cell>
          <cell r="C6471" t="str">
            <v>Q1</v>
          </cell>
          <cell r="D6471" t="str">
            <v>BALEARES PORTUGAL AÉREO 1</v>
          </cell>
          <cell r="E6471" t="str">
            <v>02</v>
          </cell>
          <cell r="F6471" t="str">
            <v>PAQ00a02</v>
          </cell>
          <cell r="G6471" t="str">
            <v>B</v>
          </cell>
          <cell r="H6471">
            <v>18.66</v>
          </cell>
        </row>
        <row r="6472">
          <cell r="A6472" t="str">
            <v>1;02;Q1;B;PAQ02a04</v>
          </cell>
          <cell r="B6472">
            <v>730069</v>
          </cell>
          <cell r="C6472" t="str">
            <v>Q1</v>
          </cell>
          <cell r="D6472" t="str">
            <v>BALEARES PORTUGAL AÉREO 1</v>
          </cell>
          <cell r="E6472" t="str">
            <v>02</v>
          </cell>
          <cell r="F6472" t="str">
            <v>PAQ02a04</v>
          </cell>
          <cell r="G6472" t="str">
            <v>B</v>
          </cell>
          <cell r="H6472">
            <v>30.11</v>
          </cell>
        </row>
        <row r="6473">
          <cell r="A6473" t="str">
            <v>1;02;Q1;B;PAQ04a06</v>
          </cell>
          <cell r="B6473">
            <v>730069</v>
          </cell>
          <cell r="C6473" t="str">
            <v>Q1</v>
          </cell>
          <cell r="D6473" t="str">
            <v>BALEARES PORTUGAL AÉREO 1</v>
          </cell>
          <cell r="E6473" t="str">
            <v>02</v>
          </cell>
          <cell r="F6473" t="str">
            <v>PAQ04a06</v>
          </cell>
          <cell r="G6473" t="str">
            <v>B</v>
          </cell>
          <cell r="H6473">
            <v>41.86</v>
          </cell>
        </row>
        <row r="6474">
          <cell r="A6474" t="str">
            <v>1;02;Q1;B;PAQ06a08</v>
          </cell>
          <cell r="B6474">
            <v>730069</v>
          </cell>
          <cell r="C6474" t="str">
            <v>Q1</v>
          </cell>
          <cell r="D6474" t="str">
            <v>BALEARES PORTUGAL AÉREO 1</v>
          </cell>
          <cell r="E6474" t="str">
            <v>02</v>
          </cell>
          <cell r="F6474" t="str">
            <v>PAQ06a08</v>
          </cell>
          <cell r="G6474" t="str">
            <v>B</v>
          </cell>
          <cell r="H6474">
            <v>53.93</v>
          </cell>
        </row>
        <row r="6475">
          <cell r="A6475" t="str">
            <v>1;02;Q1;B;PAQ08a10</v>
          </cell>
          <cell r="B6475">
            <v>730069</v>
          </cell>
          <cell r="C6475" t="str">
            <v>Q1</v>
          </cell>
          <cell r="D6475" t="str">
            <v>BALEARES PORTUGAL AÉREO 1</v>
          </cell>
          <cell r="E6475" t="str">
            <v>02</v>
          </cell>
          <cell r="F6475" t="str">
            <v>PAQ08a10</v>
          </cell>
          <cell r="G6475" t="str">
            <v>B</v>
          </cell>
          <cell r="H6475">
            <v>66</v>
          </cell>
        </row>
        <row r="6476">
          <cell r="A6476" t="str">
            <v>1;02;Q1;B;PAQ10a12</v>
          </cell>
          <cell r="B6476">
            <v>730069</v>
          </cell>
          <cell r="C6476" t="str">
            <v>Q1</v>
          </cell>
          <cell r="D6476" t="str">
            <v>BALEARES PORTUGAL AÉREO 1</v>
          </cell>
          <cell r="E6476" t="str">
            <v>02</v>
          </cell>
          <cell r="F6476" t="str">
            <v>PAQ10a12</v>
          </cell>
          <cell r="G6476" t="str">
            <v>B</v>
          </cell>
          <cell r="H6476">
            <v>78.069999999999993</v>
          </cell>
        </row>
        <row r="6477">
          <cell r="A6477" t="str">
            <v>1;02;Q1;B;PAQ12a14</v>
          </cell>
          <cell r="B6477">
            <v>730069</v>
          </cell>
          <cell r="C6477" t="str">
            <v>Q1</v>
          </cell>
          <cell r="D6477" t="str">
            <v>BALEARES PORTUGAL AÉREO 1</v>
          </cell>
          <cell r="E6477" t="str">
            <v>02</v>
          </cell>
          <cell r="F6477" t="str">
            <v>PAQ12a14</v>
          </cell>
          <cell r="G6477" t="str">
            <v>B</v>
          </cell>
          <cell r="H6477">
            <v>90.15</v>
          </cell>
        </row>
        <row r="6478">
          <cell r="A6478" t="str">
            <v>1;02;Q1;B;PAQ14a16</v>
          </cell>
          <cell r="B6478">
            <v>730069</v>
          </cell>
          <cell r="C6478" t="str">
            <v>Q1</v>
          </cell>
          <cell r="D6478" t="str">
            <v>BALEARES PORTUGAL AÉREO 1</v>
          </cell>
          <cell r="E6478" t="str">
            <v>02</v>
          </cell>
          <cell r="F6478" t="str">
            <v>PAQ14a16</v>
          </cell>
          <cell r="G6478" t="str">
            <v>B</v>
          </cell>
          <cell r="H6478">
            <v>102.22</v>
          </cell>
        </row>
        <row r="6479">
          <cell r="A6479" t="str">
            <v>1;02;Q1;B;PAQ16a18</v>
          </cell>
          <cell r="B6479">
            <v>730069</v>
          </cell>
          <cell r="C6479" t="str">
            <v>Q1</v>
          </cell>
          <cell r="D6479" t="str">
            <v>BALEARES PORTUGAL AÉREO 1</v>
          </cell>
          <cell r="E6479" t="str">
            <v>02</v>
          </cell>
          <cell r="F6479" t="str">
            <v>PAQ16a18</v>
          </cell>
          <cell r="G6479" t="str">
            <v>B</v>
          </cell>
          <cell r="H6479">
            <v>114.29</v>
          </cell>
        </row>
        <row r="6480">
          <cell r="A6480" t="str">
            <v>1;02;Q1;B;PAQ18a20</v>
          </cell>
          <cell r="B6480">
            <v>730069</v>
          </cell>
          <cell r="C6480" t="str">
            <v>Q1</v>
          </cell>
          <cell r="D6480" t="str">
            <v>BALEARES PORTUGAL AÉREO 1</v>
          </cell>
          <cell r="E6480" t="str">
            <v>02</v>
          </cell>
          <cell r="F6480" t="str">
            <v>PAQ18a20</v>
          </cell>
          <cell r="G6480" t="str">
            <v>B</v>
          </cell>
          <cell r="H6480">
            <v>126.35</v>
          </cell>
        </row>
        <row r="6481">
          <cell r="A6481" t="str">
            <v>1;02;Q1;B;PAQ20a22</v>
          </cell>
          <cell r="B6481">
            <v>730069</v>
          </cell>
          <cell r="C6481" t="str">
            <v>Q1</v>
          </cell>
          <cell r="D6481" t="str">
            <v>BALEARES PORTUGAL AÉREO 1</v>
          </cell>
          <cell r="E6481" t="str">
            <v>02</v>
          </cell>
          <cell r="F6481" t="str">
            <v>PAQ20a22</v>
          </cell>
          <cell r="G6481" t="str">
            <v>B</v>
          </cell>
          <cell r="H6481">
            <v>138.41999999999999</v>
          </cell>
        </row>
        <row r="6482">
          <cell r="A6482" t="str">
            <v>1;02;Q1;B;PAQ22a24</v>
          </cell>
          <cell r="B6482">
            <v>730069</v>
          </cell>
          <cell r="C6482" t="str">
            <v>Q1</v>
          </cell>
          <cell r="D6482" t="str">
            <v>BALEARES PORTUGAL AÉREO 1</v>
          </cell>
          <cell r="E6482" t="str">
            <v>02</v>
          </cell>
          <cell r="F6482" t="str">
            <v>PAQ22a24</v>
          </cell>
          <cell r="G6482" t="str">
            <v>B</v>
          </cell>
          <cell r="H6482">
            <v>150.49</v>
          </cell>
        </row>
        <row r="6483">
          <cell r="A6483" t="str">
            <v>1;02;Q1;B;PAQ24a26</v>
          </cell>
          <cell r="B6483">
            <v>730069</v>
          </cell>
          <cell r="C6483" t="str">
            <v>Q1</v>
          </cell>
          <cell r="D6483" t="str">
            <v>BALEARES PORTUGAL AÉREO 1</v>
          </cell>
          <cell r="E6483" t="str">
            <v>02</v>
          </cell>
          <cell r="F6483" t="str">
            <v>PAQ24a26</v>
          </cell>
          <cell r="G6483" t="str">
            <v>B</v>
          </cell>
          <cell r="H6483">
            <v>162.56</v>
          </cell>
        </row>
        <row r="6484">
          <cell r="A6484" t="str">
            <v>1;02;Q1;B;PAQ26a28</v>
          </cell>
          <cell r="B6484">
            <v>730069</v>
          </cell>
          <cell r="C6484" t="str">
            <v>Q1</v>
          </cell>
          <cell r="D6484" t="str">
            <v>BALEARES PORTUGAL AÉREO 1</v>
          </cell>
          <cell r="E6484" t="str">
            <v>02</v>
          </cell>
          <cell r="F6484" t="str">
            <v>PAQ26a28</v>
          </cell>
          <cell r="G6484" t="str">
            <v>B</v>
          </cell>
          <cell r="H6484">
            <v>174.64</v>
          </cell>
        </row>
        <row r="6485">
          <cell r="A6485" t="str">
            <v>1;02;Q1;B;PAQ28a30</v>
          </cell>
          <cell r="B6485">
            <v>730069</v>
          </cell>
          <cell r="C6485" t="str">
            <v>Q1</v>
          </cell>
          <cell r="D6485" t="str">
            <v>BALEARES PORTUGAL AÉREO 1</v>
          </cell>
          <cell r="E6485" t="str">
            <v>02</v>
          </cell>
          <cell r="F6485" t="str">
            <v>PAQ28a30</v>
          </cell>
          <cell r="G6485" t="str">
            <v>B</v>
          </cell>
          <cell r="H6485">
            <v>186.71</v>
          </cell>
        </row>
        <row r="6486">
          <cell r="A6486" t="str">
            <v>1;02;Q1;B;PAQ30a32</v>
          </cell>
          <cell r="B6486">
            <v>730069</v>
          </cell>
          <cell r="C6486" t="str">
            <v>Q1</v>
          </cell>
          <cell r="D6486" t="str">
            <v>BALEARES PORTUGAL AÉREO 1</v>
          </cell>
          <cell r="E6486" t="str">
            <v>02</v>
          </cell>
          <cell r="F6486" t="str">
            <v>PAQ30a32</v>
          </cell>
          <cell r="G6486" t="str">
            <v>B</v>
          </cell>
          <cell r="H6486">
            <v>198.78</v>
          </cell>
        </row>
        <row r="6487">
          <cell r="A6487" t="str">
            <v>1;02;Q1;B;PAQ32a34</v>
          </cell>
          <cell r="B6487">
            <v>730069</v>
          </cell>
          <cell r="C6487" t="str">
            <v>Q1</v>
          </cell>
          <cell r="D6487" t="str">
            <v>BALEARES PORTUGAL AÉREO 1</v>
          </cell>
          <cell r="E6487" t="str">
            <v>02</v>
          </cell>
          <cell r="F6487" t="str">
            <v>PAQ32a34</v>
          </cell>
          <cell r="G6487" t="str">
            <v>B</v>
          </cell>
          <cell r="H6487">
            <v>210.84</v>
          </cell>
        </row>
        <row r="6488">
          <cell r="A6488" t="str">
            <v>1;02;Q1;B;PAQ34a36</v>
          </cell>
          <cell r="B6488">
            <v>730069</v>
          </cell>
          <cell r="C6488" t="str">
            <v>Q1</v>
          </cell>
          <cell r="D6488" t="str">
            <v>BALEARES PORTUGAL AÉREO 1</v>
          </cell>
          <cell r="E6488" t="str">
            <v>02</v>
          </cell>
          <cell r="F6488" t="str">
            <v>PAQ34a36</v>
          </cell>
          <cell r="G6488" t="str">
            <v>B</v>
          </cell>
          <cell r="H6488">
            <v>222.91</v>
          </cell>
        </row>
        <row r="6489">
          <cell r="A6489" t="str">
            <v>1;02;Q1;B;PAQ36a38</v>
          </cell>
          <cell r="B6489">
            <v>730069</v>
          </cell>
          <cell r="C6489" t="str">
            <v>Q1</v>
          </cell>
          <cell r="D6489" t="str">
            <v>BALEARES PORTUGAL AÉREO 1</v>
          </cell>
          <cell r="E6489" t="str">
            <v>02</v>
          </cell>
          <cell r="F6489" t="str">
            <v>PAQ36a38</v>
          </cell>
          <cell r="G6489" t="str">
            <v>B</v>
          </cell>
          <cell r="H6489">
            <v>234.98</v>
          </cell>
        </row>
        <row r="6490">
          <cell r="A6490" t="str">
            <v>1;02;Q1;B;PAQ38a40</v>
          </cell>
          <cell r="B6490">
            <v>730069</v>
          </cell>
          <cell r="C6490" t="str">
            <v>Q1</v>
          </cell>
          <cell r="D6490" t="str">
            <v>BALEARES PORTUGAL AÉREO 1</v>
          </cell>
          <cell r="E6490" t="str">
            <v>02</v>
          </cell>
          <cell r="F6490" t="str">
            <v>PAQ38a40</v>
          </cell>
          <cell r="G6490" t="str">
            <v>B</v>
          </cell>
          <cell r="H6490">
            <v>247.06</v>
          </cell>
        </row>
        <row r="6491">
          <cell r="A6491" t="str">
            <v>1;02;Q1;F;</v>
          </cell>
          <cell r="B6491">
            <v>730069</v>
          </cell>
          <cell r="C6491" t="str">
            <v>Q1</v>
          </cell>
          <cell r="D6491" t="str">
            <v>BALEARES PORTUGAL AÉREO 1</v>
          </cell>
          <cell r="E6491" t="str">
            <v>02</v>
          </cell>
          <cell r="F6491" t="str">
            <v/>
          </cell>
          <cell r="G6491" t="str">
            <v>F</v>
          </cell>
          <cell r="H6491">
            <v>12.07</v>
          </cell>
        </row>
        <row r="6492">
          <cell r="A6492" t="str">
            <v>1;02;Q1;P;</v>
          </cell>
          <cell r="B6492">
            <v>730069</v>
          </cell>
          <cell r="C6492" t="str">
            <v>Q1</v>
          </cell>
          <cell r="D6492" t="str">
            <v>BALEARES PORTUGAL AÉREO 1</v>
          </cell>
          <cell r="E6492" t="str">
            <v>02</v>
          </cell>
          <cell r="F6492" t="str">
            <v/>
          </cell>
          <cell r="G6492" t="str">
            <v>P</v>
          </cell>
          <cell r="H6492">
            <v>0</v>
          </cell>
        </row>
        <row r="6493">
          <cell r="A6493" t="str">
            <v>1;02;Q1;E;</v>
          </cell>
          <cell r="B6493">
            <v>730069</v>
          </cell>
          <cell r="C6493" t="str">
            <v>Q1</v>
          </cell>
          <cell r="D6493" t="str">
            <v>BALEARES PORTUGAL AÉREO 1</v>
          </cell>
          <cell r="E6493" t="str">
            <v>02</v>
          </cell>
          <cell r="F6493" t="str">
            <v/>
          </cell>
          <cell r="G6493" t="str">
            <v>E</v>
          </cell>
          <cell r="H6493">
            <v>0</v>
          </cell>
        </row>
        <row r="6494">
          <cell r="A6494" t="str">
            <v>1;08;Q1;B;BAG</v>
          </cell>
          <cell r="B6494">
            <v>730069</v>
          </cell>
          <cell r="C6494" t="str">
            <v>Q1</v>
          </cell>
          <cell r="D6494" t="str">
            <v>BALEARES PORTUGAL AÉREO 1</v>
          </cell>
          <cell r="E6494" t="str">
            <v>08</v>
          </cell>
          <cell r="F6494" t="str">
            <v>BAG</v>
          </cell>
          <cell r="G6494" t="str">
            <v>B</v>
          </cell>
          <cell r="H6494">
            <v>14.34</v>
          </cell>
        </row>
        <row r="6495">
          <cell r="A6495" t="str">
            <v>1;08;Q1;B;DOCS</v>
          </cell>
          <cell r="B6495">
            <v>730069</v>
          </cell>
          <cell r="C6495" t="str">
            <v>Q1</v>
          </cell>
          <cell r="D6495" t="str">
            <v>BALEARES PORTUGAL AÉREO 1</v>
          </cell>
          <cell r="E6495" t="str">
            <v>08</v>
          </cell>
          <cell r="F6495" t="str">
            <v>DOCS</v>
          </cell>
          <cell r="G6495" t="str">
            <v>B</v>
          </cell>
          <cell r="H6495">
            <v>8.7200000000000006</v>
          </cell>
        </row>
        <row r="6496">
          <cell r="A6496" t="str">
            <v>1;08;Q1;B;PAQ00a02</v>
          </cell>
          <cell r="B6496">
            <v>730069</v>
          </cell>
          <cell r="C6496" t="str">
            <v>Q1</v>
          </cell>
          <cell r="D6496" t="str">
            <v>BALEARES PORTUGAL AÉREO 1</v>
          </cell>
          <cell r="E6496" t="str">
            <v>08</v>
          </cell>
          <cell r="F6496" t="str">
            <v>PAQ00a02</v>
          </cell>
          <cell r="G6496" t="str">
            <v>B</v>
          </cell>
          <cell r="H6496">
            <v>16.96</v>
          </cell>
        </row>
        <row r="6497">
          <cell r="A6497" t="str">
            <v>1;08;Q1;B;PAQ02a04</v>
          </cell>
          <cell r="B6497">
            <v>730069</v>
          </cell>
          <cell r="C6497" t="str">
            <v>Q1</v>
          </cell>
          <cell r="D6497" t="str">
            <v>BALEARES PORTUGAL AÉREO 1</v>
          </cell>
          <cell r="E6497" t="str">
            <v>08</v>
          </cell>
          <cell r="F6497" t="str">
            <v>PAQ02a04</v>
          </cell>
          <cell r="G6497" t="str">
            <v>B</v>
          </cell>
          <cell r="H6497">
            <v>23.88</v>
          </cell>
        </row>
        <row r="6498">
          <cell r="A6498" t="str">
            <v>1;08;Q1;B;PAQ04a06</v>
          </cell>
          <cell r="B6498">
            <v>730069</v>
          </cell>
          <cell r="C6498" t="str">
            <v>Q1</v>
          </cell>
          <cell r="D6498" t="str">
            <v>BALEARES PORTUGAL AÉREO 1</v>
          </cell>
          <cell r="E6498" t="str">
            <v>08</v>
          </cell>
          <cell r="F6498" t="str">
            <v>PAQ04a06</v>
          </cell>
          <cell r="G6498" t="str">
            <v>B</v>
          </cell>
          <cell r="H6498">
            <v>30.98</v>
          </cell>
        </row>
        <row r="6499">
          <cell r="A6499" t="str">
            <v>1;08;Q1;B;PAQ06a08</v>
          </cell>
          <cell r="B6499">
            <v>730069</v>
          </cell>
          <cell r="C6499" t="str">
            <v>Q1</v>
          </cell>
          <cell r="D6499" t="str">
            <v>BALEARES PORTUGAL AÉREO 1</v>
          </cell>
          <cell r="E6499" t="str">
            <v>08</v>
          </cell>
          <cell r="F6499" t="str">
            <v>PAQ06a08</v>
          </cell>
          <cell r="G6499" t="str">
            <v>B</v>
          </cell>
          <cell r="H6499">
            <v>37.35</v>
          </cell>
        </row>
        <row r="6500">
          <cell r="A6500" t="str">
            <v>1;08;Q1;B;PAQ08a10</v>
          </cell>
          <cell r="B6500">
            <v>730069</v>
          </cell>
          <cell r="C6500" t="str">
            <v>Q1</v>
          </cell>
          <cell r="D6500" t="str">
            <v>BALEARES PORTUGAL AÉREO 1</v>
          </cell>
          <cell r="E6500" t="str">
            <v>08</v>
          </cell>
          <cell r="F6500" t="str">
            <v>PAQ08a10</v>
          </cell>
          <cell r="G6500" t="str">
            <v>B</v>
          </cell>
          <cell r="H6500">
            <v>44.56</v>
          </cell>
        </row>
        <row r="6501">
          <cell r="A6501" t="str">
            <v>1;08;Q1;B;PAQ10a12</v>
          </cell>
          <cell r="B6501">
            <v>730069</v>
          </cell>
          <cell r="C6501" t="str">
            <v>Q1</v>
          </cell>
          <cell r="D6501" t="str">
            <v>BALEARES PORTUGAL AÉREO 1</v>
          </cell>
          <cell r="E6501" t="str">
            <v>08</v>
          </cell>
          <cell r="F6501" t="str">
            <v>PAQ10a12</v>
          </cell>
          <cell r="G6501" t="str">
            <v>B</v>
          </cell>
          <cell r="H6501">
            <v>52.58</v>
          </cell>
        </row>
        <row r="6502">
          <cell r="A6502" t="str">
            <v>1;08;Q1;B;PAQ12a14</v>
          </cell>
          <cell r="B6502">
            <v>730069</v>
          </cell>
          <cell r="C6502" t="str">
            <v>Q1</v>
          </cell>
          <cell r="D6502" t="str">
            <v>BALEARES PORTUGAL AÉREO 1</v>
          </cell>
          <cell r="E6502" t="str">
            <v>08</v>
          </cell>
          <cell r="F6502" t="str">
            <v>PAQ12a14</v>
          </cell>
          <cell r="G6502" t="str">
            <v>B</v>
          </cell>
          <cell r="H6502">
            <v>60.61</v>
          </cell>
        </row>
        <row r="6503">
          <cell r="A6503" t="str">
            <v>1;08;Q1;B;PAQ14a16</v>
          </cell>
          <cell r="B6503">
            <v>730069</v>
          </cell>
          <cell r="C6503" t="str">
            <v>Q1</v>
          </cell>
          <cell r="D6503" t="str">
            <v>BALEARES PORTUGAL AÉREO 1</v>
          </cell>
          <cell r="E6503" t="str">
            <v>08</v>
          </cell>
          <cell r="F6503" t="str">
            <v>PAQ14a16</v>
          </cell>
          <cell r="G6503" t="str">
            <v>B</v>
          </cell>
          <cell r="H6503">
            <v>68.63</v>
          </cell>
        </row>
        <row r="6504">
          <cell r="A6504" t="str">
            <v>1;08;Q1;B;PAQ16a18</v>
          </cell>
          <cell r="B6504">
            <v>730069</v>
          </cell>
          <cell r="C6504" t="str">
            <v>Q1</v>
          </cell>
          <cell r="D6504" t="str">
            <v>BALEARES PORTUGAL AÉREO 1</v>
          </cell>
          <cell r="E6504" t="str">
            <v>08</v>
          </cell>
          <cell r="F6504" t="str">
            <v>PAQ16a18</v>
          </cell>
          <cell r="G6504" t="str">
            <v>B</v>
          </cell>
          <cell r="H6504">
            <v>76.650000000000006</v>
          </cell>
        </row>
        <row r="6505">
          <cell r="A6505" t="str">
            <v>1;08;Q1;B;PAQ18a20</v>
          </cell>
          <cell r="B6505">
            <v>730069</v>
          </cell>
          <cell r="C6505" t="str">
            <v>Q1</v>
          </cell>
          <cell r="D6505" t="str">
            <v>BALEARES PORTUGAL AÉREO 1</v>
          </cell>
          <cell r="E6505" t="str">
            <v>08</v>
          </cell>
          <cell r="F6505" t="str">
            <v>PAQ18a20</v>
          </cell>
          <cell r="G6505" t="str">
            <v>B</v>
          </cell>
          <cell r="H6505">
            <v>84.68</v>
          </cell>
        </row>
        <row r="6506">
          <cell r="A6506" t="str">
            <v>1;08;Q1;B;PAQ20a22</v>
          </cell>
          <cell r="B6506">
            <v>730069</v>
          </cell>
          <cell r="C6506" t="str">
            <v>Q1</v>
          </cell>
          <cell r="D6506" t="str">
            <v>BALEARES PORTUGAL AÉREO 1</v>
          </cell>
          <cell r="E6506" t="str">
            <v>08</v>
          </cell>
          <cell r="F6506" t="str">
            <v>PAQ20a22</v>
          </cell>
          <cell r="G6506" t="str">
            <v>B</v>
          </cell>
          <cell r="H6506">
            <v>92.7</v>
          </cell>
        </row>
        <row r="6507">
          <cell r="A6507" t="str">
            <v>1;08;Q1;B;PAQ22a24</v>
          </cell>
          <cell r="B6507">
            <v>730069</v>
          </cell>
          <cell r="C6507" t="str">
            <v>Q1</v>
          </cell>
          <cell r="D6507" t="str">
            <v>BALEARES PORTUGAL AÉREO 1</v>
          </cell>
          <cell r="E6507" t="str">
            <v>08</v>
          </cell>
          <cell r="F6507" t="str">
            <v>PAQ22a24</v>
          </cell>
          <cell r="G6507" t="str">
            <v>B</v>
          </cell>
          <cell r="H6507">
            <v>100.72</v>
          </cell>
        </row>
        <row r="6508">
          <cell r="A6508" t="str">
            <v>1;08;Q1;B;PAQ24a26</v>
          </cell>
          <cell r="B6508">
            <v>730069</v>
          </cell>
          <cell r="C6508" t="str">
            <v>Q1</v>
          </cell>
          <cell r="D6508" t="str">
            <v>BALEARES PORTUGAL AÉREO 1</v>
          </cell>
          <cell r="E6508" t="str">
            <v>08</v>
          </cell>
          <cell r="F6508" t="str">
            <v>PAQ24a26</v>
          </cell>
          <cell r="G6508" t="str">
            <v>B</v>
          </cell>
          <cell r="H6508">
            <v>108.75</v>
          </cell>
        </row>
        <row r="6509">
          <cell r="A6509" t="str">
            <v>1;08;Q1;B;PAQ26a28</v>
          </cell>
          <cell r="B6509">
            <v>730069</v>
          </cell>
          <cell r="C6509" t="str">
            <v>Q1</v>
          </cell>
          <cell r="D6509" t="str">
            <v>BALEARES PORTUGAL AÉREO 1</v>
          </cell>
          <cell r="E6509" t="str">
            <v>08</v>
          </cell>
          <cell r="F6509" t="str">
            <v>PAQ26a28</v>
          </cell>
          <cell r="G6509" t="str">
            <v>B</v>
          </cell>
          <cell r="H6509">
            <v>116.77</v>
          </cell>
        </row>
        <row r="6510">
          <cell r="A6510" t="str">
            <v>1;08;Q1;B;PAQ28a30</v>
          </cell>
          <cell r="B6510">
            <v>730069</v>
          </cell>
          <cell r="C6510" t="str">
            <v>Q1</v>
          </cell>
          <cell r="D6510" t="str">
            <v>BALEARES PORTUGAL AÉREO 1</v>
          </cell>
          <cell r="E6510" t="str">
            <v>08</v>
          </cell>
          <cell r="F6510" t="str">
            <v>PAQ28a30</v>
          </cell>
          <cell r="G6510" t="str">
            <v>B</v>
          </cell>
          <cell r="H6510">
            <v>124.79</v>
          </cell>
        </row>
        <row r="6511">
          <cell r="A6511" t="str">
            <v>1;08;Q1;B;PAQ30a32</v>
          </cell>
          <cell r="B6511">
            <v>730069</v>
          </cell>
          <cell r="C6511" t="str">
            <v>Q1</v>
          </cell>
          <cell r="D6511" t="str">
            <v>BALEARES PORTUGAL AÉREO 1</v>
          </cell>
          <cell r="E6511" t="str">
            <v>08</v>
          </cell>
          <cell r="F6511" t="str">
            <v>PAQ30a32</v>
          </cell>
          <cell r="G6511" t="str">
            <v>B</v>
          </cell>
          <cell r="H6511">
            <v>132.82</v>
          </cell>
        </row>
        <row r="6512">
          <cell r="A6512" t="str">
            <v>1;08;Q1;B;PAQ32a34</v>
          </cell>
          <cell r="B6512">
            <v>730069</v>
          </cell>
          <cell r="C6512" t="str">
            <v>Q1</v>
          </cell>
          <cell r="D6512" t="str">
            <v>BALEARES PORTUGAL AÉREO 1</v>
          </cell>
          <cell r="E6512" t="str">
            <v>08</v>
          </cell>
          <cell r="F6512" t="str">
            <v>PAQ32a34</v>
          </cell>
          <cell r="G6512" t="str">
            <v>B</v>
          </cell>
          <cell r="H6512">
            <v>140.84</v>
          </cell>
        </row>
        <row r="6513">
          <cell r="A6513" t="str">
            <v>1;08;Q1;B;PAQ34a36</v>
          </cell>
          <cell r="B6513">
            <v>730069</v>
          </cell>
          <cell r="C6513" t="str">
            <v>Q1</v>
          </cell>
          <cell r="D6513" t="str">
            <v>BALEARES PORTUGAL AÉREO 1</v>
          </cell>
          <cell r="E6513" t="str">
            <v>08</v>
          </cell>
          <cell r="F6513" t="str">
            <v>PAQ34a36</v>
          </cell>
          <cell r="G6513" t="str">
            <v>B</v>
          </cell>
          <cell r="H6513">
            <v>148.87</v>
          </cell>
        </row>
        <row r="6514">
          <cell r="A6514" t="str">
            <v>1;08;Q1;B;PAQ36a38</v>
          </cell>
          <cell r="B6514">
            <v>730069</v>
          </cell>
          <cell r="C6514" t="str">
            <v>Q1</v>
          </cell>
          <cell r="D6514" t="str">
            <v>BALEARES PORTUGAL AÉREO 1</v>
          </cell>
          <cell r="E6514" t="str">
            <v>08</v>
          </cell>
          <cell r="F6514" t="str">
            <v>PAQ36a38</v>
          </cell>
          <cell r="G6514" t="str">
            <v>B</v>
          </cell>
          <cell r="H6514">
            <v>156.88999999999999</v>
          </cell>
        </row>
        <row r="6515">
          <cell r="A6515" t="str">
            <v>1;08;Q1;F;</v>
          </cell>
          <cell r="B6515">
            <v>730069</v>
          </cell>
          <cell r="C6515" t="str">
            <v>Q1</v>
          </cell>
          <cell r="D6515" t="str">
            <v>BALEARES PORTUGAL AÉREO 1</v>
          </cell>
          <cell r="E6515" t="str">
            <v>08</v>
          </cell>
          <cell r="F6515" t="str">
            <v/>
          </cell>
          <cell r="G6515" t="str">
            <v>F</v>
          </cell>
          <cell r="H6515">
            <v>8.02</v>
          </cell>
        </row>
        <row r="6516">
          <cell r="A6516" t="str">
            <v>1;08;Q1;B;PAQ38a40</v>
          </cell>
          <cell r="B6516">
            <v>730069</v>
          </cell>
          <cell r="C6516" t="str">
            <v>Q1</v>
          </cell>
          <cell r="D6516" t="str">
            <v>BALEARES PORTUGAL AÉREO 1</v>
          </cell>
          <cell r="E6516" t="str">
            <v>08</v>
          </cell>
          <cell r="F6516" t="str">
            <v>PAQ38a40</v>
          </cell>
          <cell r="G6516" t="str">
            <v>B</v>
          </cell>
          <cell r="H6516">
            <v>164.91</v>
          </cell>
        </row>
        <row r="6517">
          <cell r="A6517" t="str">
            <v>1;08;Q1;E;</v>
          </cell>
          <cell r="B6517">
            <v>730069</v>
          </cell>
          <cell r="C6517" t="str">
            <v>Q1</v>
          </cell>
          <cell r="D6517" t="str">
            <v>BALEARES PORTUGAL AÉREO 1</v>
          </cell>
          <cell r="E6517" t="str">
            <v>08</v>
          </cell>
          <cell r="F6517" t="str">
            <v/>
          </cell>
          <cell r="G6517" t="str">
            <v>E</v>
          </cell>
          <cell r="H6517">
            <v>0</v>
          </cell>
        </row>
        <row r="6518">
          <cell r="A6518" t="str">
            <v>1;08;Q1;P;</v>
          </cell>
          <cell r="B6518">
            <v>730069</v>
          </cell>
          <cell r="C6518" t="str">
            <v>Q1</v>
          </cell>
          <cell r="D6518" t="str">
            <v>BALEARES PORTUGAL AÉREO 1</v>
          </cell>
          <cell r="E6518" t="str">
            <v>08</v>
          </cell>
          <cell r="F6518" t="str">
            <v/>
          </cell>
          <cell r="G6518" t="str">
            <v>P</v>
          </cell>
          <cell r="H6518">
            <v>0</v>
          </cell>
        </row>
        <row r="6519">
          <cell r="A6519" t="str">
            <v>1;11;Q1;B;BAG</v>
          </cell>
          <cell r="B6519">
            <v>730069</v>
          </cell>
          <cell r="C6519" t="str">
            <v>Q1</v>
          </cell>
          <cell r="D6519" t="str">
            <v>BALEARES PORTUGAL AÉREO 1</v>
          </cell>
          <cell r="E6519" t="str">
            <v>11</v>
          </cell>
          <cell r="F6519" t="str">
            <v>BAG</v>
          </cell>
          <cell r="G6519" t="str">
            <v>B</v>
          </cell>
          <cell r="H6519">
            <v>32.520000000000003</v>
          </cell>
        </row>
        <row r="6520">
          <cell r="A6520" t="str">
            <v>1;11;Q1;B;PAQ00a02</v>
          </cell>
          <cell r="B6520">
            <v>730069</v>
          </cell>
          <cell r="C6520" t="str">
            <v>Q1</v>
          </cell>
          <cell r="D6520" t="str">
            <v>BALEARES PORTUGAL AÉREO 1</v>
          </cell>
          <cell r="E6520" t="str">
            <v>11</v>
          </cell>
          <cell r="F6520" t="str">
            <v>PAQ00a02</v>
          </cell>
          <cell r="G6520" t="str">
            <v>B</v>
          </cell>
          <cell r="H6520">
            <v>37.49</v>
          </cell>
        </row>
        <row r="6521">
          <cell r="A6521" t="str">
            <v>1;11;Q1;B;PAQ02a04</v>
          </cell>
          <cell r="B6521">
            <v>730069</v>
          </cell>
          <cell r="C6521" t="str">
            <v>Q1</v>
          </cell>
          <cell r="D6521" t="str">
            <v>BALEARES PORTUGAL AÉREO 1</v>
          </cell>
          <cell r="E6521" t="str">
            <v>11</v>
          </cell>
          <cell r="F6521" t="str">
            <v>PAQ02a04</v>
          </cell>
          <cell r="G6521" t="str">
            <v>B</v>
          </cell>
          <cell r="H6521">
            <v>56.41</v>
          </cell>
        </row>
        <row r="6522">
          <cell r="A6522" t="str">
            <v>1;11;Q1;B;PAQ04a06</v>
          </cell>
          <cell r="B6522">
            <v>730069</v>
          </cell>
          <cell r="C6522" t="str">
            <v>Q1</v>
          </cell>
          <cell r="D6522" t="str">
            <v>BALEARES PORTUGAL AÉREO 1</v>
          </cell>
          <cell r="E6522" t="str">
            <v>11</v>
          </cell>
          <cell r="F6522" t="str">
            <v>PAQ04a06</v>
          </cell>
          <cell r="G6522" t="str">
            <v>B</v>
          </cell>
          <cell r="H6522">
            <v>77.510000000000005</v>
          </cell>
        </row>
        <row r="6523">
          <cell r="A6523" t="str">
            <v>1;11;Q1;B;PAQ06a08</v>
          </cell>
          <cell r="B6523">
            <v>730069</v>
          </cell>
          <cell r="C6523" t="str">
            <v>Q1</v>
          </cell>
          <cell r="D6523" t="str">
            <v>BALEARES PORTUGAL AÉREO 1</v>
          </cell>
          <cell r="E6523" t="str">
            <v>11</v>
          </cell>
          <cell r="F6523" t="str">
            <v>PAQ06a08</v>
          </cell>
          <cell r="G6523" t="str">
            <v>B</v>
          </cell>
          <cell r="H6523">
            <v>98.61</v>
          </cell>
        </row>
        <row r="6524">
          <cell r="A6524" t="str">
            <v>1;11;Q1;B;PAQ08a10</v>
          </cell>
          <cell r="B6524">
            <v>730069</v>
          </cell>
          <cell r="C6524" t="str">
            <v>Q1</v>
          </cell>
          <cell r="D6524" t="str">
            <v>BALEARES PORTUGAL AÉREO 1</v>
          </cell>
          <cell r="E6524" t="str">
            <v>11</v>
          </cell>
          <cell r="F6524" t="str">
            <v>PAQ08a10</v>
          </cell>
          <cell r="G6524" t="str">
            <v>B</v>
          </cell>
          <cell r="H6524">
            <v>119.72</v>
          </cell>
        </row>
        <row r="6525">
          <cell r="A6525" t="str">
            <v>1;11;Q1;B;PAQ10a12</v>
          </cell>
          <cell r="B6525">
            <v>730069</v>
          </cell>
          <cell r="C6525" t="str">
            <v>Q1</v>
          </cell>
          <cell r="D6525" t="str">
            <v>BALEARES PORTUGAL AÉREO 1</v>
          </cell>
          <cell r="E6525" t="str">
            <v>11</v>
          </cell>
          <cell r="F6525" t="str">
            <v>PAQ10a12</v>
          </cell>
          <cell r="G6525" t="str">
            <v>B</v>
          </cell>
          <cell r="H6525">
            <v>140.82</v>
          </cell>
        </row>
        <row r="6526">
          <cell r="A6526" t="str">
            <v>1;11;Q1;B;PAQ12a14</v>
          </cell>
          <cell r="B6526">
            <v>730069</v>
          </cell>
          <cell r="C6526" t="str">
            <v>Q1</v>
          </cell>
          <cell r="D6526" t="str">
            <v>BALEARES PORTUGAL AÉREO 1</v>
          </cell>
          <cell r="E6526" t="str">
            <v>11</v>
          </cell>
          <cell r="F6526" t="str">
            <v>PAQ12a14</v>
          </cell>
          <cell r="G6526" t="str">
            <v>B</v>
          </cell>
          <cell r="H6526">
            <v>161.91999999999999</v>
          </cell>
        </row>
        <row r="6527">
          <cell r="A6527" t="str">
            <v>1;11;Q1;B;PAQ14a16</v>
          </cell>
          <cell r="B6527">
            <v>730069</v>
          </cell>
          <cell r="C6527" t="str">
            <v>Q1</v>
          </cell>
          <cell r="D6527" t="str">
            <v>BALEARES PORTUGAL AÉREO 1</v>
          </cell>
          <cell r="E6527" t="str">
            <v>11</v>
          </cell>
          <cell r="F6527" t="str">
            <v>PAQ14a16</v>
          </cell>
          <cell r="G6527" t="str">
            <v>B</v>
          </cell>
          <cell r="H6527">
            <v>183.02</v>
          </cell>
        </row>
        <row r="6528">
          <cell r="A6528" t="str">
            <v>1;11;Q1;B;PAQ16a18</v>
          </cell>
          <cell r="B6528">
            <v>730069</v>
          </cell>
          <cell r="C6528" t="str">
            <v>Q1</v>
          </cell>
          <cell r="D6528" t="str">
            <v>BALEARES PORTUGAL AÉREO 1</v>
          </cell>
          <cell r="E6528" t="str">
            <v>11</v>
          </cell>
          <cell r="F6528" t="str">
            <v>PAQ16a18</v>
          </cell>
          <cell r="G6528" t="str">
            <v>B</v>
          </cell>
          <cell r="H6528">
            <v>204.13</v>
          </cell>
        </row>
        <row r="6529">
          <cell r="A6529" t="str">
            <v>1;11;Q1;B;PAQ18a20</v>
          </cell>
          <cell r="B6529">
            <v>730069</v>
          </cell>
          <cell r="C6529" t="str">
            <v>Q1</v>
          </cell>
          <cell r="D6529" t="str">
            <v>BALEARES PORTUGAL AÉREO 1</v>
          </cell>
          <cell r="E6529" t="str">
            <v>11</v>
          </cell>
          <cell r="F6529" t="str">
            <v>PAQ18a20</v>
          </cell>
          <cell r="G6529" t="str">
            <v>B</v>
          </cell>
          <cell r="H6529">
            <v>225.23</v>
          </cell>
        </row>
        <row r="6530">
          <cell r="A6530" t="str">
            <v>1;11;Q1;B;PAQ20a22</v>
          </cell>
          <cell r="B6530">
            <v>730069</v>
          </cell>
          <cell r="C6530" t="str">
            <v>Q1</v>
          </cell>
          <cell r="D6530" t="str">
            <v>BALEARES PORTUGAL AÉREO 1</v>
          </cell>
          <cell r="E6530" t="str">
            <v>11</v>
          </cell>
          <cell r="F6530" t="str">
            <v>PAQ20a22</v>
          </cell>
          <cell r="G6530" t="str">
            <v>B</v>
          </cell>
          <cell r="H6530">
            <v>246.31</v>
          </cell>
        </row>
        <row r="6531">
          <cell r="A6531" t="str">
            <v>1;11;Q1;B;PAQ22a24</v>
          </cell>
          <cell r="B6531">
            <v>730069</v>
          </cell>
          <cell r="C6531" t="str">
            <v>Q1</v>
          </cell>
          <cell r="D6531" t="str">
            <v>BALEARES PORTUGAL AÉREO 1</v>
          </cell>
          <cell r="E6531" t="str">
            <v>11</v>
          </cell>
          <cell r="F6531" t="str">
            <v>PAQ22a24</v>
          </cell>
          <cell r="G6531" t="str">
            <v>B</v>
          </cell>
          <cell r="H6531">
            <v>267.42</v>
          </cell>
        </row>
        <row r="6532">
          <cell r="A6532" t="str">
            <v>1;11;Q1;B;PAQ24a26</v>
          </cell>
          <cell r="B6532">
            <v>730069</v>
          </cell>
          <cell r="C6532" t="str">
            <v>Q1</v>
          </cell>
          <cell r="D6532" t="str">
            <v>BALEARES PORTUGAL AÉREO 1</v>
          </cell>
          <cell r="E6532" t="str">
            <v>11</v>
          </cell>
          <cell r="F6532" t="str">
            <v>PAQ24a26</v>
          </cell>
          <cell r="G6532" t="str">
            <v>B</v>
          </cell>
          <cell r="H6532">
            <v>288.52</v>
          </cell>
        </row>
        <row r="6533">
          <cell r="A6533" t="str">
            <v>1;11;Q1;B;PAQ26a28</v>
          </cell>
          <cell r="B6533">
            <v>730069</v>
          </cell>
          <cell r="C6533" t="str">
            <v>Q1</v>
          </cell>
          <cell r="D6533" t="str">
            <v>BALEARES PORTUGAL AÉREO 1</v>
          </cell>
          <cell r="E6533" t="str">
            <v>11</v>
          </cell>
          <cell r="F6533" t="str">
            <v>PAQ26a28</v>
          </cell>
          <cell r="G6533" t="str">
            <v>B</v>
          </cell>
          <cell r="H6533">
            <v>309.63</v>
          </cell>
        </row>
        <row r="6534">
          <cell r="A6534" t="str">
            <v>1;11;Q1;B;PAQ28a30</v>
          </cell>
          <cell r="B6534">
            <v>730069</v>
          </cell>
          <cell r="C6534" t="str">
            <v>Q1</v>
          </cell>
          <cell r="D6534" t="str">
            <v>BALEARES PORTUGAL AÉREO 1</v>
          </cell>
          <cell r="E6534" t="str">
            <v>11</v>
          </cell>
          <cell r="F6534" t="str">
            <v>PAQ28a30</v>
          </cell>
          <cell r="G6534" t="str">
            <v>B</v>
          </cell>
          <cell r="H6534">
            <v>330.72</v>
          </cell>
        </row>
        <row r="6535">
          <cell r="A6535" t="str">
            <v>1;11;Q1;B;PAQ30a32</v>
          </cell>
          <cell r="B6535">
            <v>730069</v>
          </cell>
          <cell r="C6535" t="str">
            <v>Q1</v>
          </cell>
          <cell r="D6535" t="str">
            <v>BALEARES PORTUGAL AÉREO 1</v>
          </cell>
          <cell r="E6535" t="str">
            <v>11</v>
          </cell>
          <cell r="F6535" t="str">
            <v>PAQ30a32</v>
          </cell>
          <cell r="G6535" t="str">
            <v>B</v>
          </cell>
          <cell r="H6535">
            <v>351.83</v>
          </cell>
        </row>
        <row r="6536">
          <cell r="A6536" t="str">
            <v>1;11;Q1;B;PAQ32a34</v>
          </cell>
          <cell r="B6536">
            <v>730069</v>
          </cell>
          <cell r="C6536" t="str">
            <v>Q1</v>
          </cell>
          <cell r="D6536" t="str">
            <v>BALEARES PORTUGAL AÉREO 1</v>
          </cell>
          <cell r="E6536" t="str">
            <v>11</v>
          </cell>
          <cell r="F6536" t="str">
            <v>PAQ32a34</v>
          </cell>
          <cell r="G6536" t="str">
            <v>B</v>
          </cell>
          <cell r="H6536">
            <v>372.93</v>
          </cell>
        </row>
        <row r="6537">
          <cell r="A6537" t="str">
            <v>1;11;Q1;B;PAQ34a36</v>
          </cell>
          <cell r="B6537">
            <v>730069</v>
          </cell>
          <cell r="C6537" t="str">
            <v>Q1</v>
          </cell>
          <cell r="D6537" t="str">
            <v>BALEARES PORTUGAL AÉREO 1</v>
          </cell>
          <cell r="E6537" t="str">
            <v>11</v>
          </cell>
          <cell r="F6537" t="str">
            <v>PAQ34a36</v>
          </cell>
          <cell r="G6537" t="str">
            <v>B</v>
          </cell>
          <cell r="H6537">
            <v>394.04</v>
          </cell>
        </row>
        <row r="6538">
          <cell r="A6538" t="str">
            <v>1;11;Q1;B;PAQ36a38</v>
          </cell>
          <cell r="B6538">
            <v>730069</v>
          </cell>
          <cell r="C6538" t="str">
            <v>Q1</v>
          </cell>
          <cell r="D6538" t="str">
            <v>BALEARES PORTUGAL AÉREO 1</v>
          </cell>
          <cell r="E6538" t="str">
            <v>11</v>
          </cell>
          <cell r="F6538" t="str">
            <v>PAQ36a38</v>
          </cell>
          <cell r="G6538" t="str">
            <v>B</v>
          </cell>
          <cell r="H6538">
            <v>415.13</v>
          </cell>
        </row>
        <row r="6539">
          <cell r="A6539" t="str">
            <v>1;11;Q1;B;PAQ38a40</v>
          </cell>
          <cell r="B6539">
            <v>730069</v>
          </cell>
          <cell r="C6539" t="str">
            <v>Q1</v>
          </cell>
          <cell r="D6539" t="str">
            <v>BALEARES PORTUGAL AÉREO 1</v>
          </cell>
          <cell r="E6539" t="str">
            <v>11</v>
          </cell>
          <cell r="F6539" t="str">
            <v>PAQ38a40</v>
          </cell>
          <cell r="G6539" t="str">
            <v>B</v>
          </cell>
          <cell r="H6539">
            <v>436.24</v>
          </cell>
        </row>
        <row r="6540">
          <cell r="A6540" t="str">
            <v>1;11;Q1;F;</v>
          </cell>
          <cell r="B6540">
            <v>730069</v>
          </cell>
          <cell r="C6540" t="str">
            <v>Q1</v>
          </cell>
          <cell r="D6540" t="str">
            <v>BALEARES PORTUGAL AÉREO 1</v>
          </cell>
          <cell r="E6540" t="str">
            <v>11</v>
          </cell>
          <cell r="F6540" t="str">
            <v/>
          </cell>
          <cell r="G6540" t="str">
            <v>F</v>
          </cell>
          <cell r="H6540">
            <v>21.1</v>
          </cell>
        </row>
        <row r="6541">
          <cell r="A6541" t="str">
            <v>1;11;Q1;E;</v>
          </cell>
          <cell r="B6541">
            <v>730069</v>
          </cell>
          <cell r="C6541" t="str">
            <v>Q1</v>
          </cell>
          <cell r="D6541" t="str">
            <v>BALEARES PORTUGAL AÉREO 1</v>
          </cell>
          <cell r="E6541" t="str">
            <v>11</v>
          </cell>
          <cell r="F6541" t="str">
            <v/>
          </cell>
          <cell r="G6541" t="str">
            <v>E</v>
          </cell>
          <cell r="H6541">
            <v>0</v>
          </cell>
        </row>
        <row r="6542">
          <cell r="A6542" t="str">
            <v>1;11;Q1;P;</v>
          </cell>
          <cell r="B6542">
            <v>730069</v>
          </cell>
          <cell r="C6542" t="str">
            <v>Q1</v>
          </cell>
          <cell r="D6542" t="str">
            <v>BALEARES PORTUGAL AÉREO 1</v>
          </cell>
          <cell r="E6542" t="str">
            <v>11</v>
          </cell>
          <cell r="F6542" t="str">
            <v/>
          </cell>
          <cell r="G6542" t="str">
            <v>P</v>
          </cell>
          <cell r="H6542">
            <v>0</v>
          </cell>
        </row>
        <row r="6543">
          <cell r="A6543" t="str">
            <v>1;13;Q1;B;PAQ00a02</v>
          </cell>
          <cell r="B6543">
            <v>730069</v>
          </cell>
          <cell r="C6543" t="str">
            <v>Q1</v>
          </cell>
          <cell r="D6543" t="str">
            <v>BALEARES PORTUGAL AÉREO 1</v>
          </cell>
          <cell r="E6543" t="str">
            <v>13</v>
          </cell>
          <cell r="F6543" t="str">
            <v>PAQ00a02</v>
          </cell>
          <cell r="G6543" t="str">
            <v>B</v>
          </cell>
          <cell r="H6543">
            <v>0</v>
          </cell>
        </row>
        <row r="6544">
          <cell r="A6544" t="str">
            <v>1;13;Q1;B;PAQ02a04</v>
          </cell>
          <cell r="B6544">
            <v>730069</v>
          </cell>
          <cell r="C6544" t="str">
            <v>Q1</v>
          </cell>
          <cell r="D6544" t="str">
            <v>BALEARES PORTUGAL AÉREO 1</v>
          </cell>
          <cell r="E6544" t="str">
            <v>13</v>
          </cell>
          <cell r="F6544" t="str">
            <v>PAQ02a04</v>
          </cell>
          <cell r="G6544" t="str">
            <v>B</v>
          </cell>
          <cell r="H6544">
            <v>0</v>
          </cell>
        </row>
        <row r="6545">
          <cell r="A6545" t="str">
            <v>1;13;Q1;B;PAQ04a06</v>
          </cell>
          <cell r="B6545">
            <v>730069</v>
          </cell>
          <cell r="C6545" t="str">
            <v>Q1</v>
          </cell>
          <cell r="D6545" t="str">
            <v>BALEARES PORTUGAL AÉREO 1</v>
          </cell>
          <cell r="E6545" t="str">
            <v>13</v>
          </cell>
          <cell r="F6545" t="str">
            <v>PAQ04a06</v>
          </cell>
          <cell r="G6545" t="str">
            <v>B</v>
          </cell>
          <cell r="H6545">
            <v>0</v>
          </cell>
        </row>
        <row r="6546">
          <cell r="A6546" t="str">
            <v>1;13;Q1;B;PAQ06a08</v>
          </cell>
          <cell r="B6546">
            <v>730069</v>
          </cell>
          <cell r="C6546" t="str">
            <v>Q1</v>
          </cell>
          <cell r="D6546" t="str">
            <v>BALEARES PORTUGAL AÉREO 1</v>
          </cell>
          <cell r="E6546" t="str">
            <v>13</v>
          </cell>
          <cell r="F6546" t="str">
            <v>PAQ06a08</v>
          </cell>
          <cell r="G6546" t="str">
            <v>B</v>
          </cell>
          <cell r="H6546">
            <v>0</v>
          </cell>
        </row>
        <row r="6547">
          <cell r="A6547" t="str">
            <v>1;13;Q1;B;PAQ08a10</v>
          </cell>
          <cell r="B6547">
            <v>730069</v>
          </cell>
          <cell r="C6547" t="str">
            <v>Q1</v>
          </cell>
          <cell r="D6547" t="str">
            <v>BALEARES PORTUGAL AÉREO 1</v>
          </cell>
          <cell r="E6547" t="str">
            <v>13</v>
          </cell>
          <cell r="F6547" t="str">
            <v>PAQ08a10</v>
          </cell>
          <cell r="G6547" t="str">
            <v>B</v>
          </cell>
          <cell r="H6547">
            <v>0</v>
          </cell>
        </row>
        <row r="6548">
          <cell r="A6548" t="str">
            <v>1;13;Q1;B;PAQ10a12</v>
          </cell>
          <cell r="B6548">
            <v>730069</v>
          </cell>
          <cell r="C6548" t="str">
            <v>Q1</v>
          </cell>
          <cell r="D6548" t="str">
            <v>BALEARES PORTUGAL AÉREO 1</v>
          </cell>
          <cell r="E6548" t="str">
            <v>13</v>
          </cell>
          <cell r="F6548" t="str">
            <v>PAQ10a12</v>
          </cell>
          <cell r="G6548" t="str">
            <v>B</v>
          </cell>
          <cell r="H6548">
            <v>0</v>
          </cell>
        </row>
        <row r="6549">
          <cell r="A6549" t="str">
            <v>1;13;Q1;B;PAQ12a14</v>
          </cell>
          <cell r="B6549">
            <v>730069</v>
          </cell>
          <cell r="C6549" t="str">
            <v>Q1</v>
          </cell>
          <cell r="D6549" t="str">
            <v>BALEARES PORTUGAL AÉREO 1</v>
          </cell>
          <cell r="E6549" t="str">
            <v>13</v>
          </cell>
          <cell r="F6549" t="str">
            <v>PAQ12a14</v>
          </cell>
          <cell r="G6549" t="str">
            <v>B</v>
          </cell>
          <cell r="H6549">
            <v>0</v>
          </cell>
        </row>
        <row r="6550">
          <cell r="A6550" t="str">
            <v>1;13;Q1;B;PAQ14a16</v>
          </cell>
          <cell r="B6550">
            <v>730069</v>
          </cell>
          <cell r="C6550" t="str">
            <v>Q1</v>
          </cell>
          <cell r="D6550" t="str">
            <v>BALEARES PORTUGAL AÉREO 1</v>
          </cell>
          <cell r="E6550" t="str">
            <v>13</v>
          </cell>
          <cell r="F6550" t="str">
            <v>PAQ14a16</v>
          </cell>
          <cell r="G6550" t="str">
            <v>B</v>
          </cell>
          <cell r="H6550">
            <v>0</v>
          </cell>
        </row>
        <row r="6551">
          <cell r="A6551" t="str">
            <v>1;13;Q1;B;PAQ16a18</v>
          </cell>
          <cell r="B6551">
            <v>730069</v>
          </cell>
          <cell r="C6551" t="str">
            <v>Q1</v>
          </cell>
          <cell r="D6551" t="str">
            <v>BALEARES PORTUGAL AÉREO 1</v>
          </cell>
          <cell r="E6551" t="str">
            <v>13</v>
          </cell>
          <cell r="F6551" t="str">
            <v>PAQ16a18</v>
          </cell>
          <cell r="G6551" t="str">
            <v>B</v>
          </cell>
          <cell r="H6551">
            <v>0</v>
          </cell>
        </row>
        <row r="6552">
          <cell r="A6552" t="str">
            <v>1;13;Q1;B;PAQ18a20</v>
          </cell>
          <cell r="B6552">
            <v>730069</v>
          </cell>
          <cell r="C6552" t="str">
            <v>Q1</v>
          </cell>
          <cell r="D6552" t="str">
            <v>BALEARES PORTUGAL AÉREO 1</v>
          </cell>
          <cell r="E6552" t="str">
            <v>13</v>
          </cell>
          <cell r="F6552" t="str">
            <v>PAQ18a20</v>
          </cell>
          <cell r="G6552" t="str">
            <v>B</v>
          </cell>
          <cell r="H6552">
            <v>0</v>
          </cell>
        </row>
        <row r="6553">
          <cell r="A6553" t="str">
            <v>1;13;Q1;B;PAQ20a22</v>
          </cell>
          <cell r="B6553">
            <v>730069</v>
          </cell>
          <cell r="C6553" t="str">
            <v>Q1</v>
          </cell>
          <cell r="D6553" t="str">
            <v>BALEARES PORTUGAL AÉREO 1</v>
          </cell>
          <cell r="E6553" t="str">
            <v>13</v>
          </cell>
          <cell r="F6553" t="str">
            <v>PAQ20a22</v>
          </cell>
          <cell r="G6553" t="str">
            <v>B</v>
          </cell>
          <cell r="H6553">
            <v>0</v>
          </cell>
        </row>
        <row r="6554">
          <cell r="A6554" t="str">
            <v>1;13;Q1;B;PAQ22a24</v>
          </cell>
          <cell r="B6554">
            <v>730069</v>
          </cell>
          <cell r="C6554" t="str">
            <v>Q1</v>
          </cell>
          <cell r="D6554" t="str">
            <v>BALEARES PORTUGAL AÉREO 1</v>
          </cell>
          <cell r="E6554" t="str">
            <v>13</v>
          </cell>
          <cell r="F6554" t="str">
            <v>PAQ22a24</v>
          </cell>
          <cell r="G6554" t="str">
            <v>B</v>
          </cell>
          <cell r="H6554">
            <v>0</v>
          </cell>
        </row>
        <row r="6555">
          <cell r="A6555" t="str">
            <v>1;13;Q1;B;PAQ24a26</v>
          </cell>
          <cell r="B6555">
            <v>730069</v>
          </cell>
          <cell r="C6555" t="str">
            <v>Q1</v>
          </cell>
          <cell r="D6555" t="str">
            <v>BALEARES PORTUGAL AÉREO 1</v>
          </cell>
          <cell r="E6555" t="str">
            <v>13</v>
          </cell>
          <cell r="F6555" t="str">
            <v>PAQ24a26</v>
          </cell>
          <cell r="G6555" t="str">
            <v>B</v>
          </cell>
          <cell r="H6555">
            <v>0</v>
          </cell>
        </row>
        <row r="6556">
          <cell r="A6556" t="str">
            <v>1;13;Q1;B;PAQ26a28</v>
          </cell>
          <cell r="B6556">
            <v>730069</v>
          </cell>
          <cell r="C6556" t="str">
            <v>Q1</v>
          </cell>
          <cell r="D6556" t="str">
            <v>BALEARES PORTUGAL AÉREO 1</v>
          </cell>
          <cell r="E6556" t="str">
            <v>13</v>
          </cell>
          <cell r="F6556" t="str">
            <v>PAQ26a28</v>
          </cell>
          <cell r="G6556" t="str">
            <v>B</v>
          </cell>
          <cell r="H6556">
            <v>0</v>
          </cell>
        </row>
        <row r="6557">
          <cell r="A6557" t="str">
            <v>1;13;Q1;B;PAQ28a30</v>
          </cell>
          <cell r="B6557">
            <v>730069</v>
          </cell>
          <cell r="C6557" t="str">
            <v>Q1</v>
          </cell>
          <cell r="D6557" t="str">
            <v>BALEARES PORTUGAL AÉREO 1</v>
          </cell>
          <cell r="E6557" t="str">
            <v>13</v>
          </cell>
          <cell r="F6557" t="str">
            <v>PAQ28a30</v>
          </cell>
          <cell r="G6557" t="str">
            <v>B</v>
          </cell>
          <cell r="H6557">
            <v>0</v>
          </cell>
        </row>
        <row r="6558">
          <cell r="A6558" t="str">
            <v>1;13;Q1;B;PAQ30a32</v>
          </cell>
          <cell r="B6558">
            <v>730069</v>
          </cell>
          <cell r="C6558" t="str">
            <v>Q1</v>
          </cell>
          <cell r="D6558" t="str">
            <v>BALEARES PORTUGAL AÉREO 1</v>
          </cell>
          <cell r="E6558" t="str">
            <v>13</v>
          </cell>
          <cell r="F6558" t="str">
            <v>PAQ30a32</v>
          </cell>
          <cell r="G6558" t="str">
            <v>B</v>
          </cell>
          <cell r="H6558">
            <v>0</v>
          </cell>
        </row>
        <row r="6559">
          <cell r="A6559" t="str">
            <v>1;13;Q1;B;PAQ32a34</v>
          </cell>
          <cell r="B6559">
            <v>730069</v>
          </cell>
          <cell r="C6559" t="str">
            <v>Q1</v>
          </cell>
          <cell r="D6559" t="str">
            <v>BALEARES PORTUGAL AÉREO 1</v>
          </cell>
          <cell r="E6559" t="str">
            <v>13</v>
          </cell>
          <cell r="F6559" t="str">
            <v>PAQ32a34</v>
          </cell>
          <cell r="G6559" t="str">
            <v>B</v>
          </cell>
          <cell r="H6559">
            <v>0</v>
          </cell>
        </row>
        <row r="6560">
          <cell r="A6560" t="str">
            <v>1;13;Q1;B;PAQ34a36</v>
          </cell>
          <cell r="B6560">
            <v>730069</v>
          </cell>
          <cell r="C6560" t="str">
            <v>Q1</v>
          </cell>
          <cell r="D6560" t="str">
            <v>BALEARES PORTUGAL AÉREO 1</v>
          </cell>
          <cell r="E6560" t="str">
            <v>13</v>
          </cell>
          <cell r="F6560" t="str">
            <v>PAQ34a36</v>
          </cell>
          <cell r="G6560" t="str">
            <v>B</v>
          </cell>
          <cell r="H6560">
            <v>0</v>
          </cell>
        </row>
        <row r="6561">
          <cell r="A6561" t="str">
            <v>1;13;Q1;B;PAQ36a38</v>
          </cell>
          <cell r="B6561">
            <v>730069</v>
          </cell>
          <cell r="C6561" t="str">
            <v>Q1</v>
          </cell>
          <cell r="D6561" t="str">
            <v>BALEARES PORTUGAL AÉREO 1</v>
          </cell>
          <cell r="E6561" t="str">
            <v>13</v>
          </cell>
          <cell r="F6561" t="str">
            <v>PAQ36a38</v>
          </cell>
          <cell r="G6561" t="str">
            <v>B</v>
          </cell>
          <cell r="H6561">
            <v>0</v>
          </cell>
        </row>
        <row r="6562">
          <cell r="A6562" t="str">
            <v>1;13;Q1;B;PAQ38a40</v>
          </cell>
          <cell r="B6562">
            <v>730069</v>
          </cell>
          <cell r="C6562" t="str">
            <v>Q1</v>
          </cell>
          <cell r="D6562" t="str">
            <v>BALEARES PORTUGAL AÉREO 1</v>
          </cell>
          <cell r="E6562" t="str">
            <v>13</v>
          </cell>
          <cell r="F6562" t="str">
            <v>PAQ38a40</v>
          </cell>
          <cell r="G6562" t="str">
            <v>B</v>
          </cell>
          <cell r="H6562">
            <v>0</v>
          </cell>
        </row>
        <row r="6563">
          <cell r="A6563" t="str">
            <v>1;13;Q1;F;</v>
          </cell>
          <cell r="B6563">
            <v>730069</v>
          </cell>
          <cell r="C6563" t="str">
            <v>Q1</v>
          </cell>
          <cell r="D6563" t="str">
            <v>BALEARES PORTUGAL AÉREO 1</v>
          </cell>
          <cell r="E6563" t="str">
            <v>13</v>
          </cell>
          <cell r="F6563" t="str">
            <v/>
          </cell>
          <cell r="G6563" t="str">
            <v>F</v>
          </cell>
          <cell r="H6563">
            <v>0</v>
          </cell>
        </row>
        <row r="6564">
          <cell r="A6564" t="str">
            <v>1;13;Q1;E;</v>
          </cell>
          <cell r="B6564">
            <v>730069</v>
          </cell>
          <cell r="C6564" t="str">
            <v>Q1</v>
          </cell>
          <cell r="D6564" t="str">
            <v>BALEARES PORTUGAL AÉREO 1</v>
          </cell>
          <cell r="E6564" t="str">
            <v>13</v>
          </cell>
          <cell r="F6564" t="str">
            <v/>
          </cell>
          <cell r="G6564" t="str">
            <v>E</v>
          </cell>
          <cell r="H6564">
            <v>0</v>
          </cell>
        </row>
        <row r="6565">
          <cell r="A6565" t="str">
            <v>1;13;Q1;P;</v>
          </cell>
          <cell r="B6565">
            <v>730069</v>
          </cell>
          <cell r="C6565" t="str">
            <v>Q1</v>
          </cell>
          <cell r="D6565" t="str">
            <v>BALEARES PORTUGAL AÉREO 1</v>
          </cell>
          <cell r="E6565" t="str">
            <v>13</v>
          </cell>
          <cell r="F6565" t="str">
            <v/>
          </cell>
          <cell r="G6565" t="str">
            <v>P</v>
          </cell>
          <cell r="H6565">
            <v>0</v>
          </cell>
        </row>
        <row r="6566">
          <cell r="A6566" t="str">
            <v>1;17;Q1;B;PAQ00a02</v>
          </cell>
          <cell r="B6566">
            <v>730069</v>
          </cell>
          <cell r="C6566" t="str">
            <v>Q1</v>
          </cell>
          <cell r="D6566" t="str">
            <v>BALEARES PORTUGAL AÉREO 1</v>
          </cell>
          <cell r="E6566" t="str">
            <v>17</v>
          </cell>
          <cell r="F6566" t="str">
            <v>PAQ00a02</v>
          </cell>
          <cell r="G6566" t="str">
            <v>B</v>
          </cell>
          <cell r="H6566">
            <v>9.61</v>
          </cell>
        </row>
        <row r="6567">
          <cell r="A6567" t="str">
            <v>1;17;Q1;B;PAQ02a04</v>
          </cell>
          <cell r="B6567">
            <v>730069</v>
          </cell>
          <cell r="C6567" t="str">
            <v>Q1</v>
          </cell>
          <cell r="D6567" t="str">
            <v>BALEARES PORTUGAL AÉREO 1</v>
          </cell>
          <cell r="E6567" t="str">
            <v>17</v>
          </cell>
          <cell r="F6567" t="str">
            <v>PAQ02a04</v>
          </cell>
          <cell r="G6567" t="str">
            <v>B</v>
          </cell>
          <cell r="H6567">
            <v>16.05</v>
          </cell>
        </row>
        <row r="6568">
          <cell r="A6568" t="str">
            <v>1;17;Q1;B;PAQ04a06</v>
          </cell>
          <cell r="B6568">
            <v>730069</v>
          </cell>
          <cell r="C6568" t="str">
            <v>Q1</v>
          </cell>
          <cell r="D6568" t="str">
            <v>BALEARES PORTUGAL AÉREO 1</v>
          </cell>
          <cell r="E6568" t="str">
            <v>17</v>
          </cell>
          <cell r="F6568" t="str">
            <v>PAQ04a06</v>
          </cell>
          <cell r="G6568" t="str">
            <v>B</v>
          </cell>
          <cell r="H6568">
            <v>22.81</v>
          </cell>
        </row>
        <row r="6569">
          <cell r="A6569" t="str">
            <v>1;17;Q1;B;PAQ06a08</v>
          </cell>
          <cell r="B6569">
            <v>730069</v>
          </cell>
          <cell r="C6569" t="str">
            <v>Q1</v>
          </cell>
          <cell r="D6569" t="str">
            <v>BALEARES PORTUGAL AÉREO 1</v>
          </cell>
          <cell r="E6569" t="str">
            <v>17</v>
          </cell>
          <cell r="F6569" t="str">
            <v>PAQ06a08</v>
          </cell>
          <cell r="G6569" t="str">
            <v>B</v>
          </cell>
          <cell r="H6569">
            <v>29.11</v>
          </cell>
        </row>
        <row r="6570">
          <cell r="A6570" t="str">
            <v>1;17;Q1;B;PAQ08a10</v>
          </cell>
          <cell r="B6570">
            <v>730069</v>
          </cell>
          <cell r="C6570" t="str">
            <v>Q1</v>
          </cell>
          <cell r="D6570" t="str">
            <v>BALEARES PORTUGAL AÉREO 1</v>
          </cell>
          <cell r="E6570" t="str">
            <v>17</v>
          </cell>
          <cell r="F6570" t="str">
            <v>PAQ08a10</v>
          </cell>
          <cell r="G6570" t="str">
            <v>B</v>
          </cell>
          <cell r="H6570">
            <v>36.1</v>
          </cell>
        </row>
        <row r="6571">
          <cell r="A6571" t="str">
            <v>1;17;Q1;B;PAQ10a12</v>
          </cell>
          <cell r="B6571">
            <v>730069</v>
          </cell>
          <cell r="C6571" t="str">
            <v>Q1</v>
          </cell>
          <cell r="D6571" t="str">
            <v>BALEARES PORTUGAL AÉREO 1</v>
          </cell>
          <cell r="E6571" t="str">
            <v>17</v>
          </cell>
          <cell r="F6571" t="str">
            <v>PAQ10a12</v>
          </cell>
          <cell r="G6571" t="str">
            <v>B</v>
          </cell>
          <cell r="H6571">
            <v>43.84</v>
          </cell>
        </row>
        <row r="6572">
          <cell r="A6572" t="str">
            <v>1;17;Q1;B;PAQ12a14</v>
          </cell>
          <cell r="B6572">
            <v>730069</v>
          </cell>
          <cell r="C6572" t="str">
            <v>Q1</v>
          </cell>
          <cell r="D6572" t="str">
            <v>BALEARES PORTUGAL AÉREO 1</v>
          </cell>
          <cell r="E6572" t="str">
            <v>17</v>
          </cell>
          <cell r="F6572" t="str">
            <v>PAQ12a14</v>
          </cell>
          <cell r="G6572" t="str">
            <v>B</v>
          </cell>
          <cell r="H6572">
            <v>51.63</v>
          </cell>
        </row>
        <row r="6573">
          <cell r="A6573" t="str">
            <v>1;17;Q1;B;PAQ14a16</v>
          </cell>
          <cell r="B6573">
            <v>730069</v>
          </cell>
          <cell r="C6573" t="str">
            <v>Q1</v>
          </cell>
          <cell r="D6573" t="str">
            <v>BALEARES PORTUGAL AÉREO 1</v>
          </cell>
          <cell r="E6573" t="str">
            <v>17</v>
          </cell>
          <cell r="F6573" t="str">
            <v>PAQ14a16</v>
          </cell>
          <cell r="G6573" t="str">
            <v>B</v>
          </cell>
          <cell r="H6573">
            <v>59.47</v>
          </cell>
        </row>
        <row r="6574">
          <cell r="A6574" t="str">
            <v>1;17;Q1;B;PAQ16a18</v>
          </cell>
          <cell r="B6574">
            <v>730069</v>
          </cell>
          <cell r="C6574" t="str">
            <v>Q1</v>
          </cell>
          <cell r="D6574" t="str">
            <v>BALEARES PORTUGAL AÉREO 1</v>
          </cell>
          <cell r="E6574" t="str">
            <v>17</v>
          </cell>
          <cell r="F6574" t="str">
            <v>PAQ16a18</v>
          </cell>
          <cell r="G6574" t="str">
            <v>B</v>
          </cell>
          <cell r="H6574">
            <v>67.34</v>
          </cell>
        </row>
        <row r="6575">
          <cell r="A6575" t="str">
            <v>1;17;Q1;B;PAQ18a20</v>
          </cell>
          <cell r="B6575">
            <v>730069</v>
          </cell>
          <cell r="C6575" t="str">
            <v>Q1</v>
          </cell>
          <cell r="D6575" t="str">
            <v>BALEARES PORTUGAL AÉREO 1</v>
          </cell>
          <cell r="E6575" t="str">
            <v>17</v>
          </cell>
          <cell r="F6575" t="str">
            <v>PAQ18a20</v>
          </cell>
          <cell r="G6575" t="str">
            <v>B</v>
          </cell>
          <cell r="H6575">
            <v>75.22</v>
          </cell>
        </row>
        <row r="6576">
          <cell r="A6576" t="str">
            <v>1;17;Q1;B;PAQ20a22</v>
          </cell>
          <cell r="B6576">
            <v>730069</v>
          </cell>
          <cell r="C6576" t="str">
            <v>Q1</v>
          </cell>
          <cell r="D6576" t="str">
            <v>BALEARES PORTUGAL AÉREO 1</v>
          </cell>
          <cell r="E6576" t="str">
            <v>17</v>
          </cell>
          <cell r="F6576" t="str">
            <v>PAQ20a22</v>
          </cell>
          <cell r="G6576" t="str">
            <v>B</v>
          </cell>
          <cell r="H6576">
            <v>83.14</v>
          </cell>
        </row>
        <row r="6577">
          <cell r="A6577" t="str">
            <v>1;17;Q1;B;PAQ22a24</v>
          </cell>
          <cell r="B6577">
            <v>730069</v>
          </cell>
          <cell r="C6577" t="str">
            <v>Q1</v>
          </cell>
          <cell r="D6577" t="str">
            <v>BALEARES PORTUGAL AÉREO 1</v>
          </cell>
          <cell r="E6577" t="str">
            <v>17</v>
          </cell>
          <cell r="F6577" t="str">
            <v>PAQ22a24</v>
          </cell>
          <cell r="G6577" t="str">
            <v>B</v>
          </cell>
          <cell r="H6577">
            <v>91.07</v>
          </cell>
        </row>
        <row r="6578">
          <cell r="A6578" t="str">
            <v>1;17;Q1;B;PAQ24a26</v>
          </cell>
          <cell r="B6578">
            <v>730069</v>
          </cell>
          <cell r="C6578" t="str">
            <v>Q1</v>
          </cell>
          <cell r="D6578" t="str">
            <v>BALEARES PORTUGAL AÉREO 1</v>
          </cell>
          <cell r="E6578" t="str">
            <v>17</v>
          </cell>
          <cell r="F6578" t="str">
            <v>PAQ24a26</v>
          </cell>
          <cell r="G6578" t="str">
            <v>B</v>
          </cell>
          <cell r="H6578">
            <v>99.03</v>
          </cell>
        </row>
        <row r="6579">
          <cell r="A6579" t="str">
            <v>1;17;Q1;B;PAQ26a28</v>
          </cell>
          <cell r="B6579">
            <v>730069</v>
          </cell>
          <cell r="C6579" t="str">
            <v>Q1</v>
          </cell>
          <cell r="D6579" t="str">
            <v>BALEARES PORTUGAL AÉREO 1</v>
          </cell>
          <cell r="E6579" t="str">
            <v>17</v>
          </cell>
          <cell r="F6579" t="str">
            <v>PAQ26a28</v>
          </cell>
          <cell r="G6579" t="str">
            <v>B</v>
          </cell>
          <cell r="H6579">
            <v>106.99</v>
          </cell>
        </row>
        <row r="6580">
          <cell r="A6580" t="str">
            <v>1;17;Q1;B;PAQ28a30</v>
          </cell>
          <cell r="B6580">
            <v>730069</v>
          </cell>
          <cell r="C6580" t="str">
            <v>Q1</v>
          </cell>
          <cell r="D6580" t="str">
            <v>BALEARES PORTUGAL AÉREO 1</v>
          </cell>
          <cell r="E6580" t="str">
            <v>17</v>
          </cell>
          <cell r="F6580" t="str">
            <v>PAQ28a30</v>
          </cell>
          <cell r="G6580" t="str">
            <v>B</v>
          </cell>
          <cell r="H6580">
            <v>114.95</v>
          </cell>
        </row>
        <row r="6581">
          <cell r="A6581" t="str">
            <v>1;17;Q1;B;PAQ30a32</v>
          </cell>
          <cell r="B6581">
            <v>730069</v>
          </cell>
          <cell r="C6581" t="str">
            <v>Q1</v>
          </cell>
          <cell r="D6581" t="str">
            <v>BALEARES PORTUGAL AÉREO 1</v>
          </cell>
          <cell r="E6581" t="str">
            <v>17</v>
          </cell>
          <cell r="F6581" t="str">
            <v>PAQ30a32</v>
          </cell>
          <cell r="G6581" t="str">
            <v>B</v>
          </cell>
          <cell r="H6581">
            <v>122.92</v>
          </cell>
        </row>
        <row r="6582">
          <cell r="A6582" t="str">
            <v>1;17;Q1;B;PAQ32a34</v>
          </cell>
          <cell r="B6582">
            <v>730069</v>
          </cell>
          <cell r="C6582" t="str">
            <v>Q1</v>
          </cell>
          <cell r="D6582" t="str">
            <v>BALEARES PORTUGAL AÉREO 1</v>
          </cell>
          <cell r="E6582" t="str">
            <v>17</v>
          </cell>
          <cell r="F6582" t="str">
            <v>PAQ32a34</v>
          </cell>
          <cell r="G6582" t="str">
            <v>B</v>
          </cell>
          <cell r="H6582">
            <v>130.88999999999999</v>
          </cell>
        </row>
        <row r="6583">
          <cell r="A6583" t="str">
            <v>1;17;Q1;B;PAQ34a36</v>
          </cell>
          <cell r="B6583">
            <v>730069</v>
          </cell>
          <cell r="C6583" t="str">
            <v>Q1</v>
          </cell>
          <cell r="D6583" t="str">
            <v>BALEARES PORTUGAL AÉREO 1</v>
          </cell>
          <cell r="E6583" t="str">
            <v>17</v>
          </cell>
          <cell r="F6583" t="str">
            <v>PAQ34a36</v>
          </cell>
          <cell r="G6583" t="str">
            <v>B</v>
          </cell>
          <cell r="H6583">
            <v>138.87</v>
          </cell>
        </row>
        <row r="6584">
          <cell r="A6584" t="str">
            <v>1;17;Q1;B;PAQ36a38</v>
          </cell>
          <cell r="B6584">
            <v>730069</v>
          </cell>
          <cell r="C6584" t="str">
            <v>Q1</v>
          </cell>
          <cell r="D6584" t="str">
            <v>BALEARES PORTUGAL AÉREO 1</v>
          </cell>
          <cell r="E6584" t="str">
            <v>17</v>
          </cell>
          <cell r="F6584" t="str">
            <v>PAQ36a38</v>
          </cell>
          <cell r="G6584" t="str">
            <v>B</v>
          </cell>
          <cell r="H6584">
            <v>146.86000000000001</v>
          </cell>
        </row>
        <row r="6585">
          <cell r="A6585" t="str">
            <v>1;17;Q1;B;PAQ38a40</v>
          </cell>
          <cell r="B6585">
            <v>730069</v>
          </cell>
          <cell r="C6585" t="str">
            <v>Q1</v>
          </cell>
          <cell r="D6585" t="str">
            <v>BALEARES PORTUGAL AÉREO 1</v>
          </cell>
          <cell r="E6585" t="str">
            <v>17</v>
          </cell>
          <cell r="F6585" t="str">
            <v>PAQ38a40</v>
          </cell>
          <cell r="G6585" t="str">
            <v>B</v>
          </cell>
          <cell r="H6585">
            <v>154.83000000000001</v>
          </cell>
        </row>
        <row r="6586">
          <cell r="A6586" t="str">
            <v>1;17;Q1;F;</v>
          </cell>
          <cell r="B6586">
            <v>730069</v>
          </cell>
          <cell r="C6586" t="str">
            <v>Q1</v>
          </cell>
          <cell r="D6586" t="str">
            <v>BALEARES PORTUGAL AÉREO 1</v>
          </cell>
          <cell r="E6586" t="str">
            <v>17</v>
          </cell>
          <cell r="F6586" t="str">
            <v/>
          </cell>
          <cell r="G6586" t="str">
            <v>F</v>
          </cell>
          <cell r="H6586">
            <v>8.02</v>
          </cell>
        </row>
        <row r="6587">
          <cell r="A6587" t="str">
            <v>1;17;Q1;E;</v>
          </cell>
          <cell r="B6587">
            <v>730069</v>
          </cell>
          <cell r="C6587" t="str">
            <v>Q1</v>
          </cell>
          <cell r="D6587" t="str">
            <v>BALEARES PORTUGAL AÉREO 1</v>
          </cell>
          <cell r="E6587" t="str">
            <v>17</v>
          </cell>
          <cell r="F6587" t="str">
            <v/>
          </cell>
          <cell r="G6587" t="str">
            <v>E</v>
          </cell>
          <cell r="H6587">
            <v>0</v>
          </cell>
        </row>
        <row r="6588">
          <cell r="A6588" t="str">
            <v>1;17;Q1;P;</v>
          </cell>
          <cell r="B6588">
            <v>730069</v>
          </cell>
          <cell r="C6588" t="str">
            <v>Q1</v>
          </cell>
          <cell r="D6588" t="str">
            <v>BALEARES PORTUGAL AÉREO 1</v>
          </cell>
          <cell r="E6588" t="str">
            <v>17</v>
          </cell>
          <cell r="F6588" t="str">
            <v/>
          </cell>
          <cell r="G6588" t="str">
            <v>P</v>
          </cell>
          <cell r="H6588">
            <v>0</v>
          </cell>
        </row>
        <row r="6589">
          <cell r="A6589" t="str">
            <v>1;21;Q1;B;BAG</v>
          </cell>
          <cell r="B6589">
            <v>730069</v>
          </cell>
          <cell r="C6589" t="str">
            <v>Q1</v>
          </cell>
          <cell r="D6589" t="str">
            <v>BALEARES PORTUGAL AÉREO 1</v>
          </cell>
          <cell r="E6589" t="str">
            <v>21</v>
          </cell>
          <cell r="F6589" t="str">
            <v>BAG</v>
          </cell>
          <cell r="G6589" t="str">
            <v>B</v>
          </cell>
          <cell r="H6589">
            <v>23.38</v>
          </cell>
        </row>
        <row r="6590">
          <cell r="A6590" t="str">
            <v>1;21;Q1;B;PAQ00a02</v>
          </cell>
          <cell r="B6590">
            <v>730069</v>
          </cell>
          <cell r="C6590" t="str">
            <v>Q1</v>
          </cell>
          <cell r="D6590" t="str">
            <v>BALEARES PORTUGAL AÉREO 1</v>
          </cell>
          <cell r="E6590" t="str">
            <v>21</v>
          </cell>
          <cell r="F6590" t="str">
            <v>PAQ00a02</v>
          </cell>
          <cell r="G6590" t="str">
            <v>B</v>
          </cell>
          <cell r="H6590">
            <v>26.33</v>
          </cell>
        </row>
        <row r="6591">
          <cell r="A6591" t="str">
            <v>1;21;Q1;B;PAQ02a04</v>
          </cell>
          <cell r="B6591">
            <v>730069</v>
          </cell>
          <cell r="C6591" t="str">
            <v>Q1</v>
          </cell>
          <cell r="D6591" t="str">
            <v>BALEARES PORTUGAL AÉREO 1</v>
          </cell>
          <cell r="E6591" t="str">
            <v>21</v>
          </cell>
          <cell r="F6591" t="str">
            <v>PAQ02a04</v>
          </cell>
          <cell r="G6591" t="str">
            <v>B</v>
          </cell>
          <cell r="H6591">
            <v>37.58</v>
          </cell>
        </row>
        <row r="6592">
          <cell r="A6592" t="str">
            <v>1;21;Q1;B;PAQ04a06</v>
          </cell>
          <cell r="B6592">
            <v>730069</v>
          </cell>
          <cell r="C6592" t="str">
            <v>Q1</v>
          </cell>
          <cell r="D6592" t="str">
            <v>BALEARES PORTUGAL AÉREO 1</v>
          </cell>
          <cell r="E6592" t="str">
            <v>21</v>
          </cell>
          <cell r="F6592" t="str">
            <v>PAQ04a06</v>
          </cell>
          <cell r="G6592" t="str">
            <v>B</v>
          </cell>
          <cell r="H6592">
            <v>49.12</v>
          </cell>
        </row>
        <row r="6593">
          <cell r="A6593" t="str">
            <v>1;21;Q1;B;PAQ06a08</v>
          </cell>
          <cell r="B6593">
            <v>730069</v>
          </cell>
          <cell r="C6593" t="str">
            <v>Q1</v>
          </cell>
          <cell r="D6593" t="str">
            <v>BALEARES PORTUGAL AÉREO 1</v>
          </cell>
          <cell r="E6593" t="str">
            <v>21</v>
          </cell>
          <cell r="F6593" t="str">
            <v>PAQ06a08</v>
          </cell>
          <cell r="G6593" t="str">
            <v>B</v>
          </cell>
          <cell r="H6593">
            <v>60.66</v>
          </cell>
        </row>
        <row r="6594">
          <cell r="A6594" t="str">
            <v>1;21;Q1;B;PAQ08a10</v>
          </cell>
          <cell r="B6594">
            <v>730069</v>
          </cell>
          <cell r="C6594" t="str">
            <v>Q1</v>
          </cell>
          <cell r="D6594" t="str">
            <v>BALEARES PORTUGAL AÉREO 1</v>
          </cell>
          <cell r="E6594" t="str">
            <v>21</v>
          </cell>
          <cell r="F6594" t="str">
            <v>PAQ08a10</v>
          </cell>
          <cell r="G6594" t="str">
            <v>B</v>
          </cell>
          <cell r="H6594">
            <v>72.19</v>
          </cell>
        </row>
        <row r="6595">
          <cell r="A6595" t="str">
            <v>1;21;Q1;B;PAQ10a12</v>
          </cell>
          <cell r="B6595">
            <v>730069</v>
          </cell>
          <cell r="C6595" t="str">
            <v>Q1</v>
          </cell>
          <cell r="D6595" t="str">
            <v>BALEARES PORTUGAL AÉREO 1</v>
          </cell>
          <cell r="E6595" t="str">
            <v>21</v>
          </cell>
          <cell r="F6595" t="str">
            <v>PAQ10a12</v>
          </cell>
          <cell r="G6595" t="str">
            <v>B</v>
          </cell>
          <cell r="H6595">
            <v>83.74</v>
          </cell>
        </row>
        <row r="6596">
          <cell r="A6596" t="str">
            <v>1;21;Q1;B;PAQ12a14</v>
          </cell>
          <cell r="B6596">
            <v>730069</v>
          </cell>
          <cell r="C6596" t="str">
            <v>Q1</v>
          </cell>
          <cell r="D6596" t="str">
            <v>BALEARES PORTUGAL AÉREO 1</v>
          </cell>
          <cell r="E6596" t="str">
            <v>21</v>
          </cell>
          <cell r="F6596" t="str">
            <v>PAQ12a14</v>
          </cell>
          <cell r="G6596" t="str">
            <v>B</v>
          </cell>
          <cell r="H6596">
            <v>95.28</v>
          </cell>
        </row>
        <row r="6597">
          <cell r="A6597" t="str">
            <v>1;21;Q1;B;PAQ14a16</v>
          </cell>
          <cell r="B6597">
            <v>730069</v>
          </cell>
          <cell r="C6597" t="str">
            <v>Q1</v>
          </cell>
          <cell r="D6597" t="str">
            <v>BALEARES PORTUGAL AÉREO 1</v>
          </cell>
          <cell r="E6597" t="str">
            <v>21</v>
          </cell>
          <cell r="F6597" t="str">
            <v>PAQ14a16</v>
          </cell>
          <cell r="G6597" t="str">
            <v>B</v>
          </cell>
          <cell r="H6597">
            <v>106.82</v>
          </cell>
        </row>
        <row r="6598">
          <cell r="A6598" t="str">
            <v>1;21;Q1;B;PAQ16a18</v>
          </cell>
          <cell r="B6598">
            <v>730069</v>
          </cell>
          <cell r="C6598" t="str">
            <v>Q1</v>
          </cell>
          <cell r="D6598" t="str">
            <v>BALEARES PORTUGAL AÉREO 1</v>
          </cell>
          <cell r="E6598" t="str">
            <v>21</v>
          </cell>
          <cell r="F6598" t="str">
            <v>PAQ16a18</v>
          </cell>
          <cell r="G6598" t="str">
            <v>B</v>
          </cell>
          <cell r="H6598">
            <v>118.36</v>
          </cell>
        </row>
        <row r="6599">
          <cell r="A6599" t="str">
            <v>1;21;Q1;B;PAQ18a20</v>
          </cell>
          <cell r="B6599">
            <v>730069</v>
          </cell>
          <cell r="C6599" t="str">
            <v>Q1</v>
          </cell>
          <cell r="D6599" t="str">
            <v>BALEARES PORTUGAL AÉREO 1</v>
          </cell>
          <cell r="E6599" t="str">
            <v>21</v>
          </cell>
          <cell r="F6599" t="str">
            <v>PAQ18a20</v>
          </cell>
          <cell r="G6599" t="str">
            <v>B</v>
          </cell>
          <cell r="H6599">
            <v>129.9</v>
          </cell>
        </row>
        <row r="6600">
          <cell r="A6600" t="str">
            <v>1;21;Q1;B;PAQ20a22</v>
          </cell>
          <cell r="B6600">
            <v>730069</v>
          </cell>
          <cell r="C6600" t="str">
            <v>Q1</v>
          </cell>
          <cell r="D6600" t="str">
            <v>BALEARES PORTUGAL AÉREO 1</v>
          </cell>
          <cell r="E6600" t="str">
            <v>21</v>
          </cell>
          <cell r="F6600" t="str">
            <v>PAQ20a22</v>
          </cell>
          <cell r="G6600" t="str">
            <v>B</v>
          </cell>
          <cell r="H6600">
            <v>141.43</v>
          </cell>
        </row>
        <row r="6601">
          <cell r="A6601" t="str">
            <v>1;21;Q1;B;PAQ22a24</v>
          </cell>
          <cell r="B6601">
            <v>730069</v>
          </cell>
          <cell r="C6601" t="str">
            <v>Q1</v>
          </cell>
          <cell r="D6601" t="str">
            <v>BALEARES PORTUGAL AÉREO 1</v>
          </cell>
          <cell r="E6601" t="str">
            <v>21</v>
          </cell>
          <cell r="F6601" t="str">
            <v>PAQ22a24</v>
          </cell>
          <cell r="G6601" t="str">
            <v>B</v>
          </cell>
          <cell r="H6601">
            <v>152.97999999999999</v>
          </cell>
        </row>
        <row r="6602">
          <cell r="A6602" t="str">
            <v>1;21;Q1;B;PAQ24a26</v>
          </cell>
          <cell r="B6602">
            <v>730069</v>
          </cell>
          <cell r="C6602" t="str">
            <v>Q1</v>
          </cell>
          <cell r="D6602" t="str">
            <v>BALEARES PORTUGAL AÉREO 1</v>
          </cell>
          <cell r="E6602" t="str">
            <v>21</v>
          </cell>
          <cell r="F6602" t="str">
            <v>PAQ24a26</v>
          </cell>
          <cell r="G6602" t="str">
            <v>B</v>
          </cell>
          <cell r="H6602">
            <v>164.51</v>
          </cell>
        </row>
        <row r="6603">
          <cell r="A6603" t="str">
            <v>1;21;Q1;B;PAQ26a28</v>
          </cell>
          <cell r="B6603">
            <v>730069</v>
          </cell>
          <cell r="C6603" t="str">
            <v>Q1</v>
          </cell>
          <cell r="D6603" t="str">
            <v>BALEARES PORTUGAL AÉREO 1</v>
          </cell>
          <cell r="E6603" t="str">
            <v>21</v>
          </cell>
          <cell r="F6603" t="str">
            <v>PAQ26a28</v>
          </cell>
          <cell r="G6603" t="str">
            <v>B</v>
          </cell>
          <cell r="H6603">
            <v>176.06</v>
          </cell>
        </row>
        <row r="6604">
          <cell r="A6604" t="str">
            <v>1;21;Q1;B;PAQ28a30</v>
          </cell>
          <cell r="B6604">
            <v>730069</v>
          </cell>
          <cell r="C6604" t="str">
            <v>Q1</v>
          </cell>
          <cell r="D6604" t="str">
            <v>BALEARES PORTUGAL AÉREO 1</v>
          </cell>
          <cell r="E6604" t="str">
            <v>21</v>
          </cell>
          <cell r="F6604" t="str">
            <v>PAQ28a30</v>
          </cell>
          <cell r="G6604" t="str">
            <v>B</v>
          </cell>
          <cell r="H6604">
            <v>187.59</v>
          </cell>
        </row>
        <row r="6605">
          <cell r="A6605" t="str">
            <v>1;21;Q1;B;PAQ30a32</v>
          </cell>
          <cell r="B6605">
            <v>730069</v>
          </cell>
          <cell r="C6605" t="str">
            <v>Q1</v>
          </cell>
          <cell r="D6605" t="str">
            <v>BALEARES PORTUGAL AÉREO 1</v>
          </cell>
          <cell r="E6605" t="str">
            <v>21</v>
          </cell>
          <cell r="F6605" t="str">
            <v>PAQ30a32</v>
          </cell>
          <cell r="G6605" t="str">
            <v>B</v>
          </cell>
          <cell r="H6605">
            <v>199.14</v>
          </cell>
        </row>
        <row r="6606">
          <cell r="A6606" t="str">
            <v>1;21;Q1;B;PAQ32a34</v>
          </cell>
          <cell r="B6606">
            <v>730069</v>
          </cell>
          <cell r="C6606" t="str">
            <v>Q1</v>
          </cell>
          <cell r="D6606" t="str">
            <v>BALEARES PORTUGAL AÉREO 1</v>
          </cell>
          <cell r="E6606" t="str">
            <v>21</v>
          </cell>
          <cell r="F6606" t="str">
            <v>PAQ32a34</v>
          </cell>
          <cell r="G6606" t="str">
            <v>B</v>
          </cell>
          <cell r="H6606">
            <v>210.67</v>
          </cell>
        </row>
        <row r="6607">
          <cell r="A6607" t="str">
            <v>1;21;Q1;B;PAQ34a36</v>
          </cell>
          <cell r="B6607">
            <v>730069</v>
          </cell>
          <cell r="C6607" t="str">
            <v>Q1</v>
          </cell>
          <cell r="D6607" t="str">
            <v>BALEARES PORTUGAL AÉREO 1</v>
          </cell>
          <cell r="E6607" t="str">
            <v>21</v>
          </cell>
          <cell r="F6607" t="str">
            <v>PAQ34a36</v>
          </cell>
          <cell r="G6607" t="str">
            <v>B</v>
          </cell>
          <cell r="H6607">
            <v>222.21</v>
          </cell>
        </row>
        <row r="6608">
          <cell r="A6608" t="str">
            <v>1;21;Q1;B;PAQ36a38</v>
          </cell>
          <cell r="B6608">
            <v>730069</v>
          </cell>
          <cell r="C6608" t="str">
            <v>Q1</v>
          </cell>
          <cell r="D6608" t="str">
            <v>BALEARES PORTUGAL AÉREO 1</v>
          </cell>
          <cell r="E6608" t="str">
            <v>21</v>
          </cell>
          <cell r="F6608" t="str">
            <v>PAQ36a38</v>
          </cell>
          <cell r="G6608" t="str">
            <v>B</v>
          </cell>
          <cell r="H6608">
            <v>233.75</v>
          </cell>
        </row>
        <row r="6609">
          <cell r="A6609" t="str">
            <v>1;21;Q1;B;PAQ38a40</v>
          </cell>
          <cell r="B6609">
            <v>730069</v>
          </cell>
          <cell r="C6609" t="str">
            <v>Q1</v>
          </cell>
          <cell r="D6609" t="str">
            <v>BALEARES PORTUGAL AÉREO 1</v>
          </cell>
          <cell r="E6609" t="str">
            <v>21</v>
          </cell>
          <cell r="F6609" t="str">
            <v>PAQ38a40</v>
          </cell>
          <cell r="G6609" t="str">
            <v>B</v>
          </cell>
          <cell r="H6609">
            <v>245.29</v>
          </cell>
        </row>
        <row r="6610">
          <cell r="A6610" t="str">
            <v>1;21;Q1;F;</v>
          </cell>
          <cell r="B6610">
            <v>730069</v>
          </cell>
          <cell r="C6610" t="str">
            <v>Q1</v>
          </cell>
          <cell r="D6610" t="str">
            <v>BALEARES PORTUGAL AÉREO 1</v>
          </cell>
          <cell r="E6610" t="str">
            <v>21</v>
          </cell>
          <cell r="F6610" t="str">
            <v/>
          </cell>
          <cell r="G6610" t="str">
            <v>F</v>
          </cell>
          <cell r="H6610">
            <v>11.55</v>
          </cell>
        </row>
        <row r="6611">
          <cell r="A6611" t="str">
            <v>1;21;Q1;P;</v>
          </cell>
          <cell r="B6611">
            <v>730069</v>
          </cell>
          <cell r="C6611" t="str">
            <v>Q1</v>
          </cell>
          <cell r="D6611" t="str">
            <v>BALEARES PORTUGAL AÉREO 1</v>
          </cell>
          <cell r="E6611" t="str">
            <v>21</v>
          </cell>
          <cell r="F6611" t="str">
            <v/>
          </cell>
          <cell r="G6611" t="str">
            <v>P</v>
          </cell>
          <cell r="H6611">
            <v>0</v>
          </cell>
        </row>
        <row r="6612">
          <cell r="A6612" t="str">
            <v>1;21;Q1;E;</v>
          </cell>
          <cell r="B6612">
            <v>730069</v>
          </cell>
          <cell r="C6612" t="str">
            <v>Q1</v>
          </cell>
          <cell r="D6612" t="str">
            <v>BALEARES PORTUGAL AÉREO 1</v>
          </cell>
          <cell r="E6612" t="str">
            <v>21</v>
          </cell>
          <cell r="F6612" t="str">
            <v/>
          </cell>
          <cell r="G6612" t="str">
            <v>E</v>
          </cell>
          <cell r="H6612">
            <v>0</v>
          </cell>
        </row>
        <row r="6613">
          <cell r="A6613" t="str">
            <v>1;27;Q1;B;PAQ00a02</v>
          </cell>
          <cell r="B6613">
            <v>730069</v>
          </cell>
          <cell r="C6613" t="str">
            <v>Q1</v>
          </cell>
          <cell r="D6613" t="str">
            <v>BALEARES PORTUGAL AÉREO 1</v>
          </cell>
          <cell r="E6613" t="str">
            <v>27</v>
          </cell>
          <cell r="F6613" t="str">
            <v>PAQ00a02</v>
          </cell>
          <cell r="G6613" t="str">
            <v>B</v>
          </cell>
          <cell r="H6613">
            <v>16.96</v>
          </cell>
        </row>
        <row r="6614">
          <cell r="A6614" t="str">
            <v>1;27;Q1;B;PAQ02a04</v>
          </cell>
          <cell r="B6614">
            <v>730069</v>
          </cell>
          <cell r="C6614" t="str">
            <v>Q1</v>
          </cell>
          <cell r="D6614" t="str">
            <v>BALEARES PORTUGAL AÉREO 1</v>
          </cell>
          <cell r="E6614" t="str">
            <v>27</v>
          </cell>
          <cell r="F6614" t="str">
            <v>PAQ02a04</v>
          </cell>
          <cell r="G6614" t="str">
            <v>B</v>
          </cell>
          <cell r="H6614">
            <v>23.88</v>
          </cell>
        </row>
        <row r="6615">
          <cell r="A6615" t="str">
            <v>1;27;Q1;B;PAQ04a06</v>
          </cell>
          <cell r="B6615">
            <v>730069</v>
          </cell>
          <cell r="C6615" t="str">
            <v>Q1</v>
          </cell>
          <cell r="D6615" t="str">
            <v>BALEARES PORTUGAL AÉREO 1</v>
          </cell>
          <cell r="E6615" t="str">
            <v>27</v>
          </cell>
          <cell r="F6615" t="str">
            <v>PAQ04a06</v>
          </cell>
          <cell r="G6615" t="str">
            <v>B</v>
          </cell>
          <cell r="H6615">
            <v>30.98</v>
          </cell>
        </row>
        <row r="6616">
          <cell r="A6616" t="str">
            <v>1;27;Q1;B;PAQ06a08</v>
          </cell>
          <cell r="B6616">
            <v>730069</v>
          </cell>
          <cell r="C6616" t="str">
            <v>Q1</v>
          </cell>
          <cell r="D6616" t="str">
            <v>BALEARES PORTUGAL AÉREO 1</v>
          </cell>
          <cell r="E6616" t="str">
            <v>27</v>
          </cell>
          <cell r="F6616" t="str">
            <v>PAQ06a08</v>
          </cell>
          <cell r="G6616" t="str">
            <v>B</v>
          </cell>
          <cell r="H6616">
            <v>37.35</v>
          </cell>
        </row>
        <row r="6617">
          <cell r="A6617" t="str">
            <v>1;27;Q1;B;PAQ08a10</v>
          </cell>
          <cell r="B6617">
            <v>730069</v>
          </cell>
          <cell r="C6617" t="str">
            <v>Q1</v>
          </cell>
          <cell r="D6617" t="str">
            <v>BALEARES PORTUGAL AÉREO 1</v>
          </cell>
          <cell r="E6617" t="str">
            <v>27</v>
          </cell>
          <cell r="F6617" t="str">
            <v>PAQ08a10</v>
          </cell>
          <cell r="G6617" t="str">
            <v>B</v>
          </cell>
          <cell r="H6617">
            <v>44.56</v>
          </cell>
        </row>
        <row r="6618">
          <cell r="A6618" t="str">
            <v>1;27;Q1;B;PAQ10a12</v>
          </cell>
          <cell r="B6618">
            <v>730069</v>
          </cell>
          <cell r="C6618" t="str">
            <v>Q1</v>
          </cell>
          <cell r="D6618" t="str">
            <v>BALEARES PORTUGAL AÉREO 1</v>
          </cell>
          <cell r="E6618" t="str">
            <v>27</v>
          </cell>
          <cell r="F6618" t="str">
            <v>PAQ10a12</v>
          </cell>
          <cell r="G6618" t="str">
            <v>B</v>
          </cell>
          <cell r="H6618">
            <v>52.58</v>
          </cell>
        </row>
        <row r="6619">
          <cell r="A6619" t="str">
            <v>1;27;Q1;B;PAQ12a14</v>
          </cell>
          <cell r="B6619">
            <v>730069</v>
          </cell>
          <cell r="C6619" t="str">
            <v>Q1</v>
          </cell>
          <cell r="D6619" t="str">
            <v>BALEARES PORTUGAL AÉREO 1</v>
          </cell>
          <cell r="E6619" t="str">
            <v>27</v>
          </cell>
          <cell r="F6619" t="str">
            <v>PAQ12a14</v>
          </cell>
          <cell r="G6619" t="str">
            <v>B</v>
          </cell>
          <cell r="H6619">
            <v>60.61</v>
          </cell>
        </row>
        <row r="6620">
          <cell r="A6620" t="str">
            <v>1;27;Q1;B;PAQ14a16</v>
          </cell>
          <cell r="B6620">
            <v>730069</v>
          </cell>
          <cell r="C6620" t="str">
            <v>Q1</v>
          </cell>
          <cell r="D6620" t="str">
            <v>BALEARES PORTUGAL AÉREO 1</v>
          </cell>
          <cell r="E6620" t="str">
            <v>27</v>
          </cell>
          <cell r="F6620" t="str">
            <v>PAQ14a16</v>
          </cell>
          <cell r="G6620" t="str">
            <v>B</v>
          </cell>
          <cell r="H6620">
            <v>68.63</v>
          </cell>
        </row>
        <row r="6621">
          <cell r="A6621" t="str">
            <v>1;27;Q1;B;PAQ16a18</v>
          </cell>
          <cell r="B6621">
            <v>730069</v>
          </cell>
          <cell r="C6621" t="str">
            <v>Q1</v>
          </cell>
          <cell r="D6621" t="str">
            <v>BALEARES PORTUGAL AÉREO 1</v>
          </cell>
          <cell r="E6621" t="str">
            <v>27</v>
          </cell>
          <cell r="F6621" t="str">
            <v>PAQ16a18</v>
          </cell>
          <cell r="G6621" t="str">
            <v>B</v>
          </cell>
          <cell r="H6621">
            <v>76.650000000000006</v>
          </cell>
        </row>
        <row r="6622">
          <cell r="A6622" t="str">
            <v>1;27;Q1;B;PAQ18a20</v>
          </cell>
          <cell r="B6622">
            <v>730069</v>
          </cell>
          <cell r="C6622" t="str">
            <v>Q1</v>
          </cell>
          <cell r="D6622" t="str">
            <v>BALEARES PORTUGAL AÉREO 1</v>
          </cell>
          <cell r="E6622" t="str">
            <v>27</v>
          </cell>
          <cell r="F6622" t="str">
            <v>PAQ18a20</v>
          </cell>
          <cell r="G6622" t="str">
            <v>B</v>
          </cell>
          <cell r="H6622">
            <v>84.68</v>
          </cell>
        </row>
        <row r="6623">
          <cell r="A6623" t="str">
            <v>1;27;Q1;B;PAQ20a22</v>
          </cell>
          <cell r="B6623">
            <v>730069</v>
          </cell>
          <cell r="C6623" t="str">
            <v>Q1</v>
          </cell>
          <cell r="D6623" t="str">
            <v>BALEARES PORTUGAL AÉREO 1</v>
          </cell>
          <cell r="E6623" t="str">
            <v>27</v>
          </cell>
          <cell r="F6623" t="str">
            <v>PAQ20a22</v>
          </cell>
          <cell r="G6623" t="str">
            <v>B</v>
          </cell>
          <cell r="H6623">
            <v>92.7</v>
          </cell>
        </row>
        <row r="6624">
          <cell r="A6624" t="str">
            <v>1;27;Q1;B;PAQ22a24</v>
          </cell>
          <cell r="B6624">
            <v>730069</v>
          </cell>
          <cell r="C6624" t="str">
            <v>Q1</v>
          </cell>
          <cell r="D6624" t="str">
            <v>BALEARES PORTUGAL AÉREO 1</v>
          </cell>
          <cell r="E6624" t="str">
            <v>27</v>
          </cell>
          <cell r="F6624" t="str">
            <v>PAQ22a24</v>
          </cell>
          <cell r="G6624" t="str">
            <v>B</v>
          </cell>
          <cell r="H6624">
            <v>100.72</v>
          </cell>
        </row>
        <row r="6625">
          <cell r="A6625" t="str">
            <v>1;27;Q1;B;PAQ24a26</v>
          </cell>
          <cell r="B6625">
            <v>730069</v>
          </cell>
          <cell r="C6625" t="str">
            <v>Q1</v>
          </cell>
          <cell r="D6625" t="str">
            <v>BALEARES PORTUGAL AÉREO 1</v>
          </cell>
          <cell r="E6625" t="str">
            <v>27</v>
          </cell>
          <cell r="F6625" t="str">
            <v>PAQ24a26</v>
          </cell>
          <cell r="G6625" t="str">
            <v>B</v>
          </cell>
          <cell r="H6625">
            <v>108.75</v>
          </cell>
        </row>
        <row r="6626">
          <cell r="A6626" t="str">
            <v>1;27;Q1;B;PAQ26a28</v>
          </cell>
          <cell r="B6626">
            <v>730069</v>
          </cell>
          <cell r="C6626" t="str">
            <v>Q1</v>
          </cell>
          <cell r="D6626" t="str">
            <v>BALEARES PORTUGAL AÉREO 1</v>
          </cell>
          <cell r="E6626" t="str">
            <v>27</v>
          </cell>
          <cell r="F6626" t="str">
            <v>PAQ26a28</v>
          </cell>
          <cell r="G6626" t="str">
            <v>B</v>
          </cell>
          <cell r="H6626">
            <v>116.77</v>
          </cell>
        </row>
        <row r="6627">
          <cell r="A6627" t="str">
            <v>1;27;Q1;B;PAQ28a30</v>
          </cell>
          <cell r="B6627">
            <v>730069</v>
          </cell>
          <cell r="C6627" t="str">
            <v>Q1</v>
          </cell>
          <cell r="D6627" t="str">
            <v>BALEARES PORTUGAL AÉREO 1</v>
          </cell>
          <cell r="E6627" t="str">
            <v>27</v>
          </cell>
          <cell r="F6627" t="str">
            <v>PAQ28a30</v>
          </cell>
          <cell r="G6627" t="str">
            <v>B</v>
          </cell>
          <cell r="H6627">
            <v>124.79</v>
          </cell>
        </row>
        <row r="6628">
          <cell r="A6628" t="str">
            <v>1;27;Q1;B;PAQ30a32</v>
          </cell>
          <cell r="B6628">
            <v>730069</v>
          </cell>
          <cell r="C6628" t="str">
            <v>Q1</v>
          </cell>
          <cell r="D6628" t="str">
            <v>BALEARES PORTUGAL AÉREO 1</v>
          </cell>
          <cell r="E6628" t="str">
            <v>27</v>
          </cell>
          <cell r="F6628" t="str">
            <v>PAQ30a32</v>
          </cell>
          <cell r="G6628" t="str">
            <v>B</v>
          </cell>
          <cell r="H6628">
            <v>132.82</v>
          </cell>
        </row>
        <row r="6629">
          <cell r="A6629" t="str">
            <v>1;27;Q1;B;PAQ32a34</v>
          </cell>
          <cell r="B6629">
            <v>730069</v>
          </cell>
          <cell r="C6629" t="str">
            <v>Q1</v>
          </cell>
          <cell r="D6629" t="str">
            <v>BALEARES PORTUGAL AÉREO 1</v>
          </cell>
          <cell r="E6629" t="str">
            <v>27</v>
          </cell>
          <cell r="F6629" t="str">
            <v>PAQ32a34</v>
          </cell>
          <cell r="G6629" t="str">
            <v>B</v>
          </cell>
          <cell r="H6629">
            <v>140.84</v>
          </cell>
        </row>
        <row r="6630">
          <cell r="A6630" t="str">
            <v>1;27;Q1;B;PAQ34a36</v>
          </cell>
          <cell r="B6630">
            <v>730069</v>
          </cell>
          <cell r="C6630" t="str">
            <v>Q1</v>
          </cell>
          <cell r="D6630" t="str">
            <v>BALEARES PORTUGAL AÉREO 1</v>
          </cell>
          <cell r="E6630" t="str">
            <v>27</v>
          </cell>
          <cell r="F6630" t="str">
            <v>PAQ34a36</v>
          </cell>
          <cell r="G6630" t="str">
            <v>B</v>
          </cell>
          <cell r="H6630">
            <v>148.87</v>
          </cell>
        </row>
        <row r="6631">
          <cell r="A6631" t="str">
            <v>1;27;Q1;B;PAQ36a38</v>
          </cell>
          <cell r="B6631">
            <v>730069</v>
          </cell>
          <cell r="C6631" t="str">
            <v>Q1</v>
          </cell>
          <cell r="D6631" t="str">
            <v>BALEARES PORTUGAL AÉREO 1</v>
          </cell>
          <cell r="E6631" t="str">
            <v>27</v>
          </cell>
          <cell r="F6631" t="str">
            <v>PAQ36a38</v>
          </cell>
          <cell r="G6631" t="str">
            <v>B</v>
          </cell>
          <cell r="H6631">
            <v>156.88999999999999</v>
          </cell>
        </row>
        <row r="6632">
          <cell r="A6632" t="str">
            <v>1;27;Q1;B;PAQ38a40</v>
          </cell>
          <cell r="B6632">
            <v>730069</v>
          </cell>
          <cell r="C6632" t="str">
            <v>Q1</v>
          </cell>
          <cell r="D6632" t="str">
            <v>BALEARES PORTUGAL AÉREO 1</v>
          </cell>
          <cell r="E6632" t="str">
            <v>27</v>
          </cell>
          <cell r="F6632" t="str">
            <v>PAQ38a40</v>
          </cell>
          <cell r="G6632" t="str">
            <v>B</v>
          </cell>
          <cell r="H6632">
            <v>164.91</v>
          </cell>
        </row>
        <row r="6633">
          <cell r="A6633" t="str">
            <v>1;27;Q1;F;</v>
          </cell>
          <cell r="B6633">
            <v>730069</v>
          </cell>
          <cell r="C6633" t="str">
            <v>Q1</v>
          </cell>
          <cell r="D6633" t="str">
            <v>BALEARES PORTUGAL AÉREO 1</v>
          </cell>
          <cell r="E6633" t="str">
            <v>27</v>
          </cell>
          <cell r="F6633" t="str">
            <v/>
          </cell>
          <cell r="G6633" t="str">
            <v>F</v>
          </cell>
          <cell r="H6633">
            <v>8.02</v>
          </cell>
        </row>
        <row r="6634">
          <cell r="A6634" t="str">
            <v>1;27;Q1;P;</v>
          </cell>
          <cell r="B6634">
            <v>730069</v>
          </cell>
          <cell r="C6634" t="str">
            <v>Q1</v>
          </cell>
          <cell r="D6634" t="str">
            <v>BALEARES PORTUGAL AÉREO 1</v>
          </cell>
          <cell r="E6634" t="str">
            <v>27</v>
          </cell>
          <cell r="F6634" t="str">
            <v/>
          </cell>
          <cell r="G6634" t="str">
            <v>P</v>
          </cell>
          <cell r="H6634">
            <v>0</v>
          </cell>
        </row>
        <row r="6635">
          <cell r="A6635" t="str">
            <v>1;27;Q1;E;</v>
          </cell>
          <cell r="B6635">
            <v>730069</v>
          </cell>
          <cell r="C6635" t="str">
            <v>Q1</v>
          </cell>
          <cell r="D6635" t="str">
            <v>BALEARES PORTUGAL AÉREO 1</v>
          </cell>
          <cell r="E6635" t="str">
            <v>27</v>
          </cell>
          <cell r="F6635" t="str">
            <v/>
          </cell>
          <cell r="G6635" t="str">
            <v>E</v>
          </cell>
          <cell r="H6635">
            <v>0</v>
          </cell>
        </row>
        <row r="6636">
          <cell r="A6636" t="str">
            <v>1;33;Q1;B;PAQ00a02</v>
          </cell>
          <cell r="B6636">
            <v>730069</v>
          </cell>
          <cell r="C6636" t="str">
            <v>Q1</v>
          </cell>
          <cell r="D6636" t="str">
            <v>BALEARES PORTUGAL AÉREO 1</v>
          </cell>
          <cell r="E6636" t="str">
            <v>33</v>
          </cell>
          <cell r="F6636" t="str">
            <v>PAQ00a02</v>
          </cell>
          <cell r="G6636" t="str">
            <v>B</v>
          </cell>
          <cell r="H6636">
            <v>25.45</v>
          </cell>
        </row>
        <row r="6637">
          <cell r="A6637" t="str">
            <v>1;33;Q1;B;PAQ02a04</v>
          </cell>
          <cell r="B6637">
            <v>730069</v>
          </cell>
          <cell r="C6637" t="str">
            <v>Q1</v>
          </cell>
          <cell r="D6637" t="str">
            <v>BALEARES PORTUGAL AÉREO 1</v>
          </cell>
          <cell r="E6637" t="str">
            <v>33</v>
          </cell>
          <cell r="F6637" t="str">
            <v>PAQ02a04</v>
          </cell>
          <cell r="G6637" t="str">
            <v>B</v>
          </cell>
          <cell r="H6637">
            <v>35.82</v>
          </cell>
        </row>
        <row r="6638">
          <cell r="A6638" t="str">
            <v>1;33;Q1;B;PAQ04a06</v>
          </cell>
          <cell r="B6638">
            <v>730069</v>
          </cell>
          <cell r="C6638" t="str">
            <v>Q1</v>
          </cell>
          <cell r="D6638" t="str">
            <v>BALEARES PORTUGAL AÉREO 1</v>
          </cell>
          <cell r="E6638" t="str">
            <v>33</v>
          </cell>
          <cell r="F6638" t="str">
            <v>PAQ04a06</v>
          </cell>
          <cell r="G6638" t="str">
            <v>B</v>
          </cell>
          <cell r="H6638">
            <v>46.47</v>
          </cell>
        </row>
        <row r="6639">
          <cell r="A6639" t="str">
            <v>1;33;Q1;B;PAQ06a08</v>
          </cell>
          <cell r="B6639">
            <v>730069</v>
          </cell>
          <cell r="C6639" t="str">
            <v>Q1</v>
          </cell>
          <cell r="D6639" t="str">
            <v>BALEARES PORTUGAL AÉREO 1</v>
          </cell>
          <cell r="E6639" t="str">
            <v>33</v>
          </cell>
          <cell r="F6639" t="str">
            <v>PAQ06a08</v>
          </cell>
          <cell r="G6639" t="str">
            <v>B</v>
          </cell>
          <cell r="H6639">
            <v>56.02</v>
          </cell>
        </row>
        <row r="6640">
          <cell r="A6640" t="str">
            <v>1;33;Q1;B;PAQ08a10</v>
          </cell>
          <cell r="B6640">
            <v>730069</v>
          </cell>
          <cell r="C6640" t="str">
            <v>Q1</v>
          </cell>
          <cell r="D6640" t="str">
            <v>BALEARES PORTUGAL AÉREO 1</v>
          </cell>
          <cell r="E6640" t="str">
            <v>33</v>
          </cell>
          <cell r="F6640" t="str">
            <v>PAQ08a10</v>
          </cell>
          <cell r="G6640" t="str">
            <v>B</v>
          </cell>
          <cell r="H6640">
            <v>66.84</v>
          </cell>
        </row>
        <row r="6641">
          <cell r="A6641" t="str">
            <v>1;33;Q1;B;PAQ10a12</v>
          </cell>
          <cell r="B6641">
            <v>730069</v>
          </cell>
          <cell r="C6641" t="str">
            <v>Q1</v>
          </cell>
          <cell r="D6641" t="str">
            <v>BALEARES PORTUGAL AÉREO 1</v>
          </cell>
          <cell r="E6641" t="str">
            <v>33</v>
          </cell>
          <cell r="F6641" t="str">
            <v>PAQ10a12</v>
          </cell>
          <cell r="G6641" t="str">
            <v>B</v>
          </cell>
          <cell r="H6641">
            <v>78.87</v>
          </cell>
        </row>
        <row r="6642">
          <cell r="A6642" t="str">
            <v>1;33;Q1;B;PAQ12a14</v>
          </cell>
          <cell r="B6642">
            <v>730069</v>
          </cell>
          <cell r="C6642" t="str">
            <v>Q1</v>
          </cell>
          <cell r="D6642" t="str">
            <v>BALEARES PORTUGAL AÉREO 1</v>
          </cell>
          <cell r="E6642" t="str">
            <v>33</v>
          </cell>
          <cell r="F6642" t="str">
            <v>PAQ12a14</v>
          </cell>
          <cell r="G6642" t="str">
            <v>B</v>
          </cell>
          <cell r="H6642">
            <v>90.91</v>
          </cell>
        </row>
        <row r="6643">
          <cell r="A6643" t="str">
            <v>1;33;Q1;B;PAQ14a16</v>
          </cell>
          <cell r="B6643">
            <v>730069</v>
          </cell>
          <cell r="C6643" t="str">
            <v>Q1</v>
          </cell>
          <cell r="D6643" t="str">
            <v>BALEARES PORTUGAL AÉREO 1</v>
          </cell>
          <cell r="E6643" t="str">
            <v>33</v>
          </cell>
          <cell r="F6643" t="str">
            <v>PAQ14a16</v>
          </cell>
          <cell r="G6643" t="str">
            <v>B</v>
          </cell>
          <cell r="H6643">
            <v>102.94</v>
          </cell>
        </row>
        <row r="6644">
          <cell r="A6644" t="str">
            <v>1;33;Q1;B;PAQ16a18</v>
          </cell>
          <cell r="B6644">
            <v>730069</v>
          </cell>
          <cell r="C6644" t="str">
            <v>Q1</v>
          </cell>
          <cell r="D6644" t="str">
            <v>BALEARES PORTUGAL AÉREO 1</v>
          </cell>
          <cell r="E6644" t="str">
            <v>33</v>
          </cell>
          <cell r="F6644" t="str">
            <v>PAQ16a18</v>
          </cell>
          <cell r="G6644" t="str">
            <v>B</v>
          </cell>
          <cell r="H6644">
            <v>114.98</v>
          </cell>
        </row>
        <row r="6645">
          <cell r="A6645" t="str">
            <v>1;33;Q1;B;PAQ18a20</v>
          </cell>
          <cell r="B6645">
            <v>730069</v>
          </cell>
          <cell r="C6645" t="str">
            <v>Q1</v>
          </cell>
          <cell r="D6645" t="str">
            <v>BALEARES PORTUGAL AÉREO 1</v>
          </cell>
          <cell r="E6645" t="str">
            <v>33</v>
          </cell>
          <cell r="F6645" t="str">
            <v>PAQ18a20</v>
          </cell>
          <cell r="G6645" t="str">
            <v>B</v>
          </cell>
          <cell r="H6645">
            <v>127.01</v>
          </cell>
        </row>
        <row r="6646">
          <cell r="A6646" t="str">
            <v>1;33;Q1;B;PAQ20a22</v>
          </cell>
          <cell r="B6646">
            <v>730069</v>
          </cell>
          <cell r="C6646" t="str">
            <v>Q1</v>
          </cell>
          <cell r="D6646" t="str">
            <v>BALEARES PORTUGAL AÉREO 1</v>
          </cell>
          <cell r="E6646" t="str">
            <v>33</v>
          </cell>
          <cell r="F6646" t="str">
            <v>PAQ20a22</v>
          </cell>
          <cell r="G6646" t="str">
            <v>B</v>
          </cell>
          <cell r="H6646">
            <v>139.05000000000001</v>
          </cell>
        </row>
        <row r="6647">
          <cell r="A6647" t="str">
            <v>1;33;Q1;B;PAQ22a24</v>
          </cell>
          <cell r="B6647">
            <v>730069</v>
          </cell>
          <cell r="C6647" t="str">
            <v>Q1</v>
          </cell>
          <cell r="D6647" t="str">
            <v>BALEARES PORTUGAL AÉREO 1</v>
          </cell>
          <cell r="E6647" t="str">
            <v>33</v>
          </cell>
          <cell r="F6647" t="str">
            <v>PAQ22a24</v>
          </cell>
          <cell r="G6647" t="str">
            <v>B</v>
          </cell>
          <cell r="H6647">
            <v>151.08000000000001</v>
          </cell>
        </row>
        <row r="6648">
          <cell r="A6648" t="str">
            <v>1;33;Q1;B;PAQ24a26</v>
          </cell>
          <cell r="B6648">
            <v>730069</v>
          </cell>
          <cell r="C6648" t="str">
            <v>Q1</v>
          </cell>
          <cell r="D6648" t="str">
            <v>BALEARES PORTUGAL AÉREO 1</v>
          </cell>
          <cell r="E6648" t="str">
            <v>33</v>
          </cell>
          <cell r="F6648" t="str">
            <v>PAQ24a26</v>
          </cell>
          <cell r="G6648" t="str">
            <v>B</v>
          </cell>
          <cell r="H6648">
            <v>163.12</v>
          </cell>
        </row>
        <row r="6649">
          <cell r="A6649" t="str">
            <v>1;33;Q1;B;PAQ26a28</v>
          </cell>
          <cell r="B6649">
            <v>730069</v>
          </cell>
          <cell r="C6649" t="str">
            <v>Q1</v>
          </cell>
          <cell r="D6649" t="str">
            <v>BALEARES PORTUGAL AÉREO 1</v>
          </cell>
          <cell r="E6649" t="str">
            <v>33</v>
          </cell>
          <cell r="F6649" t="str">
            <v>PAQ26a28</v>
          </cell>
          <cell r="G6649" t="str">
            <v>B</v>
          </cell>
          <cell r="H6649">
            <v>175.15</v>
          </cell>
        </row>
        <row r="6650">
          <cell r="A6650" t="str">
            <v>1;33;Q1;B;PAQ28a30</v>
          </cell>
          <cell r="B6650">
            <v>730069</v>
          </cell>
          <cell r="C6650" t="str">
            <v>Q1</v>
          </cell>
          <cell r="D6650" t="str">
            <v>BALEARES PORTUGAL AÉREO 1</v>
          </cell>
          <cell r="E6650" t="str">
            <v>33</v>
          </cell>
          <cell r="F6650" t="str">
            <v>PAQ28a30</v>
          </cell>
          <cell r="G6650" t="str">
            <v>B</v>
          </cell>
          <cell r="H6650">
            <v>187.19</v>
          </cell>
        </row>
        <row r="6651">
          <cell r="A6651" t="str">
            <v>1;33;Q1;B;PAQ30a32</v>
          </cell>
          <cell r="B6651">
            <v>730069</v>
          </cell>
          <cell r="C6651" t="str">
            <v>Q1</v>
          </cell>
          <cell r="D6651" t="str">
            <v>BALEARES PORTUGAL AÉREO 1</v>
          </cell>
          <cell r="E6651" t="str">
            <v>33</v>
          </cell>
          <cell r="F6651" t="str">
            <v>PAQ30a32</v>
          </cell>
          <cell r="G6651" t="str">
            <v>B</v>
          </cell>
          <cell r="H6651">
            <v>199.22</v>
          </cell>
        </row>
        <row r="6652">
          <cell r="A6652" t="str">
            <v>1;33;Q1;B;PAQ32a34</v>
          </cell>
          <cell r="B6652">
            <v>730069</v>
          </cell>
          <cell r="C6652" t="str">
            <v>Q1</v>
          </cell>
          <cell r="D6652" t="str">
            <v>BALEARES PORTUGAL AÉREO 1</v>
          </cell>
          <cell r="E6652" t="str">
            <v>33</v>
          </cell>
          <cell r="F6652" t="str">
            <v>PAQ32a34</v>
          </cell>
          <cell r="G6652" t="str">
            <v>B</v>
          </cell>
          <cell r="H6652">
            <v>211.26</v>
          </cell>
        </row>
        <row r="6653">
          <cell r="A6653" t="str">
            <v>1;33;Q1;B;PAQ34a36</v>
          </cell>
          <cell r="B6653">
            <v>730069</v>
          </cell>
          <cell r="C6653" t="str">
            <v>Q1</v>
          </cell>
          <cell r="D6653" t="str">
            <v>BALEARES PORTUGAL AÉREO 1</v>
          </cell>
          <cell r="E6653" t="str">
            <v>33</v>
          </cell>
          <cell r="F6653" t="str">
            <v>PAQ34a36</v>
          </cell>
          <cell r="G6653" t="str">
            <v>B</v>
          </cell>
          <cell r="H6653">
            <v>223.29</v>
          </cell>
        </row>
        <row r="6654">
          <cell r="A6654" t="str">
            <v>1;33;Q1;B;PAQ36a38</v>
          </cell>
          <cell r="B6654">
            <v>730069</v>
          </cell>
          <cell r="C6654" t="str">
            <v>Q1</v>
          </cell>
          <cell r="D6654" t="str">
            <v>BALEARES PORTUGAL AÉREO 1</v>
          </cell>
          <cell r="E6654" t="str">
            <v>33</v>
          </cell>
          <cell r="F6654" t="str">
            <v>PAQ36a38</v>
          </cell>
          <cell r="G6654" t="str">
            <v>B</v>
          </cell>
          <cell r="H6654">
            <v>235.33</v>
          </cell>
        </row>
        <row r="6655">
          <cell r="A6655" t="str">
            <v>1;33;Q1;F;</v>
          </cell>
          <cell r="B6655">
            <v>730069</v>
          </cell>
          <cell r="C6655" t="str">
            <v>Q1</v>
          </cell>
          <cell r="D6655" t="str">
            <v>BALEARES PORTUGAL AÉREO 1</v>
          </cell>
          <cell r="E6655" t="str">
            <v>33</v>
          </cell>
          <cell r="F6655" t="str">
            <v/>
          </cell>
          <cell r="G6655" t="str">
            <v>F</v>
          </cell>
          <cell r="H6655">
            <v>12.43</v>
          </cell>
        </row>
        <row r="6656">
          <cell r="A6656" t="str">
            <v>1;33;Q1;B;PAQ38a40</v>
          </cell>
          <cell r="B6656">
            <v>730069</v>
          </cell>
          <cell r="C6656" t="str">
            <v>Q1</v>
          </cell>
          <cell r="D6656" t="str">
            <v>BALEARES PORTUGAL AÉREO 1</v>
          </cell>
          <cell r="E6656" t="str">
            <v>33</v>
          </cell>
          <cell r="F6656" t="str">
            <v>PAQ38a40</v>
          </cell>
          <cell r="G6656" t="str">
            <v>B</v>
          </cell>
          <cell r="H6656">
            <v>247.36</v>
          </cell>
        </row>
        <row r="6657">
          <cell r="A6657" t="str">
            <v>1;33;Q1;P;</v>
          </cell>
          <cell r="B6657">
            <v>730069</v>
          </cell>
          <cell r="C6657" t="str">
            <v>Q1</v>
          </cell>
          <cell r="D6657" t="str">
            <v>BALEARES PORTUGAL AÉREO 1</v>
          </cell>
          <cell r="E6657" t="str">
            <v>33</v>
          </cell>
          <cell r="F6657" t="str">
            <v/>
          </cell>
          <cell r="G6657" t="str">
            <v>P</v>
          </cell>
          <cell r="H6657">
            <v>0</v>
          </cell>
        </row>
        <row r="6658">
          <cell r="A6658" t="str">
            <v>1;33;Q1;E;</v>
          </cell>
          <cell r="B6658">
            <v>730069</v>
          </cell>
          <cell r="C6658" t="str">
            <v>Q1</v>
          </cell>
          <cell r="D6658" t="str">
            <v>BALEARES PORTUGAL AÉREO 1</v>
          </cell>
          <cell r="E6658" t="str">
            <v>33</v>
          </cell>
          <cell r="F6658" t="str">
            <v/>
          </cell>
          <cell r="G6658" t="str">
            <v>E</v>
          </cell>
          <cell r="H6658">
            <v>0</v>
          </cell>
        </row>
        <row r="6659">
          <cell r="A6659" t="str">
            <v>1;01;Q2;B;BAG</v>
          </cell>
          <cell r="B6659">
            <v>730069</v>
          </cell>
          <cell r="C6659" t="str">
            <v>Q2</v>
          </cell>
          <cell r="D6659" t="str">
            <v>BALEARES PORTUGAL AÉREO 2</v>
          </cell>
          <cell r="E6659" t="str">
            <v>01</v>
          </cell>
          <cell r="F6659" t="str">
            <v>BAG</v>
          </cell>
          <cell r="G6659" t="str">
            <v>B</v>
          </cell>
          <cell r="H6659">
            <v>22.96</v>
          </cell>
        </row>
        <row r="6660">
          <cell r="A6660" t="str">
            <v>4;01;Q2;B;BAG</v>
          </cell>
          <cell r="B6660">
            <v>730069</v>
          </cell>
          <cell r="C6660" t="str">
            <v>Q2</v>
          </cell>
          <cell r="D6660" t="str">
            <v>BALEARES PORTUGAL AÉREO 2</v>
          </cell>
          <cell r="E6660" t="str">
            <v>01</v>
          </cell>
          <cell r="F6660" t="str">
            <v>BAG</v>
          </cell>
          <cell r="G6660" t="str">
            <v>B</v>
          </cell>
          <cell r="H6660">
            <v>8</v>
          </cell>
        </row>
        <row r="6661">
          <cell r="A6661" t="str">
            <v>1;01;Q2;B;DOCS</v>
          </cell>
          <cell r="B6661">
            <v>730069</v>
          </cell>
          <cell r="C6661" t="str">
            <v>Q2</v>
          </cell>
          <cell r="D6661" t="str">
            <v>BALEARES PORTUGAL AÉREO 2</v>
          </cell>
          <cell r="E6661" t="str">
            <v>01</v>
          </cell>
          <cell r="F6661" t="str">
            <v>DOCS</v>
          </cell>
          <cell r="G6661" t="str">
            <v>B</v>
          </cell>
          <cell r="H6661">
            <v>15.65</v>
          </cell>
        </row>
        <row r="6662">
          <cell r="A6662" t="str">
            <v>4;01;Q2;B;DOCS</v>
          </cell>
          <cell r="B6662">
            <v>730069</v>
          </cell>
          <cell r="C6662" t="str">
            <v>Q2</v>
          </cell>
          <cell r="D6662" t="str">
            <v>BALEARES PORTUGAL AÉREO 2</v>
          </cell>
          <cell r="E6662" t="str">
            <v>01</v>
          </cell>
          <cell r="F6662" t="str">
            <v>DOCS</v>
          </cell>
          <cell r="G6662" t="str">
            <v>B</v>
          </cell>
          <cell r="H6662">
            <v>8</v>
          </cell>
        </row>
        <row r="6663">
          <cell r="A6663" t="str">
            <v>1;01;Q2;B;PAQ00a02</v>
          </cell>
          <cell r="B6663">
            <v>730069</v>
          </cell>
          <cell r="C6663" t="str">
            <v>Q2</v>
          </cell>
          <cell r="D6663" t="str">
            <v>BALEARES PORTUGAL AÉREO 2</v>
          </cell>
          <cell r="E6663" t="str">
            <v>01</v>
          </cell>
          <cell r="F6663" t="str">
            <v>PAQ00a02</v>
          </cell>
          <cell r="G6663" t="str">
            <v>B</v>
          </cell>
          <cell r="H6663">
            <v>28.53</v>
          </cell>
        </row>
        <row r="6664">
          <cell r="A6664" t="str">
            <v>4;01;Q2;B;PAQ00a02</v>
          </cell>
          <cell r="B6664">
            <v>730069</v>
          </cell>
          <cell r="C6664" t="str">
            <v>Q2</v>
          </cell>
          <cell r="D6664" t="str">
            <v>BALEARES PORTUGAL AÉREO 2</v>
          </cell>
          <cell r="E6664" t="str">
            <v>01</v>
          </cell>
          <cell r="F6664" t="str">
            <v>PAQ00a02</v>
          </cell>
          <cell r="G6664" t="str">
            <v>B</v>
          </cell>
          <cell r="H6664">
            <v>8</v>
          </cell>
        </row>
        <row r="6665">
          <cell r="A6665" t="str">
            <v>4;01;Q2;B;PAQ02a04</v>
          </cell>
          <cell r="B6665">
            <v>730069</v>
          </cell>
          <cell r="C6665" t="str">
            <v>Q2</v>
          </cell>
          <cell r="D6665" t="str">
            <v>BALEARES PORTUGAL AÉREO 2</v>
          </cell>
          <cell r="E6665" t="str">
            <v>01</v>
          </cell>
          <cell r="F6665" t="str">
            <v>PAQ02a04</v>
          </cell>
          <cell r="G6665" t="str">
            <v>B</v>
          </cell>
          <cell r="H6665">
            <v>8</v>
          </cell>
        </row>
        <row r="6666">
          <cell r="A6666" t="str">
            <v>1;01;Q2;B;PAQ02a04</v>
          </cell>
          <cell r="B6666">
            <v>730069</v>
          </cell>
          <cell r="C6666" t="str">
            <v>Q2</v>
          </cell>
          <cell r="D6666" t="str">
            <v>BALEARES PORTUGAL AÉREO 2</v>
          </cell>
          <cell r="E6666" t="str">
            <v>01</v>
          </cell>
          <cell r="F6666" t="str">
            <v>PAQ02a04</v>
          </cell>
          <cell r="G6666" t="str">
            <v>B</v>
          </cell>
          <cell r="H6666">
            <v>49.8</v>
          </cell>
        </row>
        <row r="6667">
          <cell r="A6667" t="str">
            <v>1;01;Q2;B;PAQ04a06</v>
          </cell>
          <cell r="B6667">
            <v>730069</v>
          </cell>
          <cell r="C6667" t="str">
            <v>Q2</v>
          </cell>
          <cell r="D6667" t="str">
            <v>BALEARES PORTUGAL AÉREO 2</v>
          </cell>
          <cell r="E6667" t="str">
            <v>01</v>
          </cell>
          <cell r="F6667" t="str">
            <v>PAQ04a06</v>
          </cell>
          <cell r="G6667" t="str">
            <v>B</v>
          </cell>
          <cell r="H6667">
            <v>73.489999999999995</v>
          </cell>
        </row>
        <row r="6668">
          <cell r="A6668" t="str">
            <v>4;01;Q2;B;PAQ04a06</v>
          </cell>
          <cell r="B6668">
            <v>730069</v>
          </cell>
          <cell r="C6668" t="str">
            <v>Q2</v>
          </cell>
          <cell r="D6668" t="str">
            <v>BALEARES PORTUGAL AÉREO 2</v>
          </cell>
          <cell r="E6668" t="str">
            <v>01</v>
          </cell>
          <cell r="F6668" t="str">
            <v>PAQ04a06</v>
          </cell>
          <cell r="G6668" t="str">
            <v>B</v>
          </cell>
          <cell r="H6668">
            <v>8</v>
          </cell>
        </row>
        <row r="6669">
          <cell r="A6669" t="str">
            <v>1;01;Q2;B;PAQ06a08</v>
          </cell>
          <cell r="B6669">
            <v>730069</v>
          </cell>
          <cell r="C6669" t="str">
            <v>Q2</v>
          </cell>
          <cell r="D6669" t="str">
            <v>BALEARES PORTUGAL AÉREO 2</v>
          </cell>
          <cell r="E6669" t="str">
            <v>01</v>
          </cell>
          <cell r="F6669" t="str">
            <v>PAQ06a08</v>
          </cell>
          <cell r="G6669" t="str">
            <v>B</v>
          </cell>
          <cell r="H6669">
            <v>97.2</v>
          </cell>
        </row>
        <row r="6670">
          <cell r="A6670" t="str">
            <v>4;01;Q2;B;PAQ06a08</v>
          </cell>
          <cell r="B6670">
            <v>730069</v>
          </cell>
          <cell r="C6670" t="str">
            <v>Q2</v>
          </cell>
          <cell r="D6670" t="str">
            <v>BALEARES PORTUGAL AÉREO 2</v>
          </cell>
          <cell r="E6670" t="str">
            <v>01</v>
          </cell>
          <cell r="F6670" t="str">
            <v>PAQ06a08</v>
          </cell>
          <cell r="G6670" t="str">
            <v>B</v>
          </cell>
          <cell r="H6670">
            <v>8</v>
          </cell>
        </row>
        <row r="6671">
          <cell r="A6671" t="str">
            <v>4;01;Q2;B;PAQ08a10</v>
          </cell>
          <cell r="B6671">
            <v>730069</v>
          </cell>
          <cell r="C6671" t="str">
            <v>Q2</v>
          </cell>
          <cell r="D6671" t="str">
            <v>BALEARES PORTUGAL AÉREO 2</v>
          </cell>
          <cell r="E6671" t="str">
            <v>01</v>
          </cell>
          <cell r="F6671" t="str">
            <v>PAQ08a10</v>
          </cell>
          <cell r="G6671" t="str">
            <v>B</v>
          </cell>
          <cell r="H6671">
            <v>8</v>
          </cell>
        </row>
        <row r="6672">
          <cell r="A6672" t="str">
            <v>1;01;Q2;B;PAQ08a10</v>
          </cell>
          <cell r="B6672">
            <v>730069</v>
          </cell>
          <cell r="C6672" t="str">
            <v>Q2</v>
          </cell>
          <cell r="D6672" t="str">
            <v>BALEARES PORTUGAL AÉREO 2</v>
          </cell>
          <cell r="E6672" t="str">
            <v>01</v>
          </cell>
          <cell r="F6672" t="str">
            <v>PAQ08a10</v>
          </cell>
          <cell r="G6672" t="str">
            <v>B</v>
          </cell>
          <cell r="H6672">
            <v>120.9</v>
          </cell>
        </row>
        <row r="6673">
          <cell r="A6673" t="str">
            <v>1;01;Q2;B;PAQ10a12</v>
          </cell>
          <cell r="B6673">
            <v>730069</v>
          </cell>
          <cell r="C6673" t="str">
            <v>Q2</v>
          </cell>
          <cell r="D6673" t="str">
            <v>BALEARES PORTUGAL AÉREO 2</v>
          </cell>
          <cell r="E6673" t="str">
            <v>01</v>
          </cell>
          <cell r="F6673" t="str">
            <v>PAQ10a12</v>
          </cell>
          <cell r="G6673" t="str">
            <v>B</v>
          </cell>
          <cell r="H6673">
            <v>144.61000000000001</v>
          </cell>
        </row>
        <row r="6674">
          <cell r="A6674" t="str">
            <v>4;01;Q2;B;PAQ10a12</v>
          </cell>
          <cell r="B6674">
            <v>730069</v>
          </cell>
          <cell r="C6674" t="str">
            <v>Q2</v>
          </cell>
          <cell r="D6674" t="str">
            <v>BALEARES PORTUGAL AÉREO 2</v>
          </cell>
          <cell r="E6674" t="str">
            <v>01</v>
          </cell>
          <cell r="F6674" t="str">
            <v>PAQ10a12</v>
          </cell>
          <cell r="G6674" t="str">
            <v>B</v>
          </cell>
          <cell r="H6674">
            <v>8</v>
          </cell>
        </row>
        <row r="6675">
          <cell r="A6675" t="str">
            <v>1;01;Q2;B;PAQ12a14</v>
          </cell>
          <cell r="B6675">
            <v>730069</v>
          </cell>
          <cell r="C6675" t="str">
            <v>Q2</v>
          </cell>
          <cell r="D6675" t="str">
            <v>BALEARES PORTUGAL AÉREO 2</v>
          </cell>
          <cell r="E6675" t="str">
            <v>01</v>
          </cell>
          <cell r="F6675" t="str">
            <v>PAQ12a14</v>
          </cell>
          <cell r="G6675" t="str">
            <v>B</v>
          </cell>
          <cell r="H6675">
            <v>168.3</v>
          </cell>
        </row>
        <row r="6676">
          <cell r="A6676" t="str">
            <v>4;01;Q2;B;PAQ12a14</v>
          </cell>
          <cell r="B6676">
            <v>730069</v>
          </cell>
          <cell r="C6676" t="str">
            <v>Q2</v>
          </cell>
          <cell r="D6676" t="str">
            <v>BALEARES PORTUGAL AÉREO 2</v>
          </cell>
          <cell r="E6676" t="str">
            <v>01</v>
          </cell>
          <cell r="F6676" t="str">
            <v>PAQ12a14</v>
          </cell>
          <cell r="G6676" t="str">
            <v>B</v>
          </cell>
          <cell r="H6676">
            <v>8</v>
          </cell>
        </row>
        <row r="6677">
          <cell r="A6677" t="str">
            <v>4;01;Q2;B;PAQ14a16</v>
          </cell>
          <cell r="B6677">
            <v>730069</v>
          </cell>
          <cell r="C6677" t="str">
            <v>Q2</v>
          </cell>
          <cell r="D6677" t="str">
            <v>BALEARES PORTUGAL AÉREO 2</v>
          </cell>
          <cell r="E6677" t="str">
            <v>01</v>
          </cell>
          <cell r="F6677" t="str">
            <v>PAQ14a16</v>
          </cell>
          <cell r="G6677" t="str">
            <v>B</v>
          </cell>
          <cell r="H6677">
            <v>8</v>
          </cell>
        </row>
        <row r="6678">
          <cell r="A6678" t="str">
            <v>1;01;Q2;B;PAQ14a16</v>
          </cell>
          <cell r="B6678">
            <v>730069</v>
          </cell>
          <cell r="C6678" t="str">
            <v>Q2</v>
          </cell>
          <cell r="D6678" t="str">
            <v>BALEARES PORTUGAL AÉREO 2</v>
          </cell>
          <cell r="E6678" t="str">
            <v>01</v>
          </cell>
          <cell r="F6678" t="str">
            <v>PAQ14a16</v>
          </cell>
          <cell r="G6678" t="str">
            <v>B</v>
          </cell>
          <cell r="H6678">
            <v>192</v>
          </cell>
        </row>
        <row r="6679">
          <cell r="A6679" t="str">
            <v>1;01;Q2;B;PAQ16a18</v>
          </cell>
          <cell r="B6679">
            <v>730069</v>
          </cell>
          <cell r="C6679" t="str">
            <v>Q2</v>
          </cell>
          <cell r="D6679" t="str">
            <v>BALEARES PORTUGAL AÉREO 2</v>
          </cell>
          <cell r="E6679" t="str">
            <v>01</v>
          </cell>
          <cell r="F6679" t="str">
            <v>PAQ16a18</v>
          </cell>
          <cell r="G6679" t="str">
            <v>B</v>
          </cell>
          <cell r="H6679">
            <v>215.71</v>
          </cell>
        </row>
        <row r="6680">
          <cell r="A6680" t="str">
            <v>4;01;Q2;B;PAQ16a18</v>
          </cell>
          <cell r="B6680">
            <v>730069</v>
          </cell>
          <cell r="C6680" t="str">
            <v>Q2</v>
          </cell>
          <cell r="D6680" t="str">
            <v>BALEARES PORTUGAL AÉREO 2</v>
          </cell>
          <cell r="E6680" t="str">
            <v>01</v>
          </cell>
          <cell r="F6680" t="str">
            <v>PAQ16a18</v>
          </cell>
          <cell r="G6680" t="str">
            <v>B</v>
          </cell>
          <cell r="H6680">
            <v>8</v>
          </cell>
        </row>
        <row r="6681">
          <cell r="A6681" t="str">
            <v>1;01;Q2;B;PAQ18a20</v>
          </cell>
          <cell r="B6681">
            <v>730069</v>
          </cell>
          <cell r="C6681" t="str">
            <v>Q2</v>
          </cell>
          <cell r="D6681" t="str">
            <v>BALEARES PORTUGAL AÉREO 2</v>
          </cell>
          <cell r="E6681" t="str">
            <v>01</v>
          </cell>
          <cell r="F6681" t="str">
            <v>PAQ18a20</v>
          </cell>
          <cell r="G6681" t="str">
            <v>B</v>
          </cell>
          <cell r="H6681">
            <v>239.41</v>
          </cell>
        </row>
        <row r="6682">
          <cell r="A6682" t="str">
            <v>4;01;Q2;B;PAQ18a20</v>
          </cell>
          <cell r="B6682">
            <v>730069</v>
          </cell>
          <cell r="C6682" t="str">
            <v>Q2</v>
          </cell>
          <cell r="D6682" t="str">
            <v>BALEARES PORTUGAL AÉREO 2</v>
          </cell>
          <cell r="E6682" t="str">
            <v>01</v>
          </cell>
          <cell r="F6682" t="str">
            <v>PAQ18a20</v>
          </cell>
          <cell r="G6682" t="str">
            <v>B</v>
          </cell>
          <cell r="H6682">
            <v>8</v>
          </cell>
        </row>
        <row r="6683">
          <cell r="A6683" t="str">
            <v>1;01;Q2;B;PAQ20a22</v>
          </cell>
          <cell r="B6683">
            <v>730069</v>
          </cell>
          <cell r="C6683" t="str">
            <v>Q2</v>
          </cell>
          <cell r="D6683" t="str">
            <v>BALEARES PORTUGAL AÉREO 2</v>
          </cell>
          <cell r="E6683" t="str">
            <v>01</v>
          </cell>
          <cell r="F6683" t="str">
            <v>PAQ20a22</v>
          </cell>
          <cell r="G6683" t="str">
            <v>B</v>
          </cell>
          <cell r="H6683">
            <v>263.11</v>
          </cell>
        </row>
        <row r="6684">
          <cell r="A6684" t="str">
            <v>4;01;Q2;B;PAQ20a22</v>
          </cell>
          <cell r="B6684">
            <v>730069</v>
          </cell>
          <cell r="C6684" t="str">
            <v>Q2</v>
          </cell>
          <cell r="D6684" t="str">
            <v>BALEARES PORTUGAL AÉREO 2</v>
          </cell>
          <cell r="E6684" t="str">
            <v>01</v>
          </cell>
          <cell r="F6684" t="str">
            <v>PAQ20a22</v>
          </cell>
          <cell r="G6684" t="str">
            <v>B</v>
          </cell>
          <cell r="H6684">
            <v>8</v>
          </cell>
        </row>
        <row r="6685">
          <cell r="A6685" t="str">
            <v>4;01;Q2;B;PAQ22a24</v>
          </cell>
          <cell r="B6685">
            <v>730069</v>
          </cell>
          <cell r="C6685" t="str">
            <v>Q2</v>
          </cell>
          <cell r="D6685" t="str">
            <v>BALEARES PORTUGAL AÉREO 2</v>
          </cell>
          <cell r="E6685" t="str">
            <v>01</v>
          </cell>
          <cell r="F6685" t="str">
            <v>PAQ22a24</v>
          </cell>
          <cell r="G6685" t="str">
            <v>B</v>
          </cell>
          <cell r="H6685">
            <v>8</v>
          </cell>
        </row>
        <row r="6686">
          <cell r="A6686" t="str">
            <v>1;01;Q2;B;PAQ22a24</v>
          </cell>
          <cell r="B6686">
            <v>730069</v>
          </cell>
          <cell r="C6686" t="str">
            <v>Q2</v>
          </cell>
          <cell r="D6686" t="str">
            <v>BALEARES PORTUGAL AÉREO 2</v>
          </cell>
          <cell r="E6686" t="str">
            <v>01</v>
          </cell>
          <cell r="F6686" t="str">
            <v>PAQ22a24</v>
          </cell>
          <cell r="G6686" t="str">
            <v>B</v>
          </cell>
          <cell r="H6686">
            <v>286.81</v>
          </cell>
        </row>
        <row r="6687">
          <cell r="A6687" t="str">
            <v>1;01;Q2;B;PAQ24a26</v>
          </cell>
          <cell r="B6687">
            <v>730069</v>
          </cell>
          <cell r="C6687" t="str">
            <v>Q2</v>
          </cell>
          <cell r="D6687" t="str">
            <v>BALEARES PORTUGAL AÉREO 2</v>
          </cell>
          <cell r="E6687" t="str">
            <v>01</v>
          </cell>
          <cell r="F6687" t="str">
            <v>PAQ24a26</v>
          </cell>
          <cell r="G6687" t="str">
            <v>B</v>
          </cell>
          <cell r="H6687">
            <v>310.52</v>
          </cell>
        </row>
        <row r="6688">
          <cell r="A6688" t="str">
            <v>4;01;Q2;B;PAQ24a26</v>
          </cell>
          <cell r="B6688">
            <v>730069</v>
          </cell>
          <cell r="C6688" t="str">
            <v>Q2</v>
          </cell>
          <cell r="D6688" t="str">
            <v>BALEARES PORTUGAL AÉREO 2</v>
          </cell>
          <cell r="E6688" t="str">
            <v>01</v>
          </cell>
          <cell r="F6688" t="str">
            <v>PAQ24a26</v>
          </cell>
          <cell r="G6688" t="str">
            <v>B</v>
          </cell>
          <cell r="H6688">
            <v>8</v>
          </cell>
        </row>
        <row r="6689">
          <cell r="A6689" t="str">
            <v>4;01;Q2;B;PAQ26a28</v>
          </cell>
          <cell r="B6689">
            <v>730069</v>
          </cell>
          <cell r="C6689" t="str">
            <v>Q2</v>
          </cell>
          <cell r="D6689" t="str">
            <v>BALEARES PORTUGAL AÉREO 2</v>
          </cell>
          <cell r="E6689" t="str">
            <v>01</v>
          </cell>
          <cell r="F6689" t="str">
            <v>PAQ26a28</v>
          </cell>
          <cell r="G6689" t="str">
            <v>B</v>
          </cell>
          <cell r="H6689">
            <v>8</v>
          </cell>
        </row>
        <row r="6690">
          <cell r="A6690" t="str">
            <v>1;01;Q2;B;PAQ26a28</v>
          </cell>
          <cell r="B6690">
            <v>730069</v>
          </cell>
          <cell r="C6690" t="str">
            <v>Q2</v>
          </cell>
          <cell r="D6690" t="str">
            <v>BALEARES PORTUGAL AÉREO 2</v>
          </cell>
          <cell r="E6690" t="str">
            <v>01</v>
          </cell>
          <cell r="F6690" t="str">
            <v>PAQ26a28</v>
          </cell>
          <cell r="G6690" t="str">
            <v>B</v>
          </cell>
          <cell r="H6690">
            <v>334.22</v>
          </cell>
        </row>
        <row r="6691">
          <cell r="A6691" t="str">
            <v>4;01;Q2;B;PAQ28a30</v>
          </cell>
          <cell r="B6691">
            <v>730069</v>
          </cell>
          <cell r="C6691" t="str">
            <v>Q2</v>
          </cell>
          <cell r="D6691" t="str">
            <v>BALEARES PORTUGAL AÉREO 2</v>
          </cell>
          <cell r="E6691" t="str">
            <v>01</v>
          </cell>
          <cell r="F6691" t="str">
            <v>PAQ28a30</v>
          </cell>
          <cell r="G6691" t="str">
            <v>B</v>
          </cell>
          <cell r="H6691">
            <v>8</v>
          </cell>
        </row>
        <row r="6692">
          <cell r="A6692" t="str">
            <v>1;01;Q2;B;PAQ28a30</v>
          </cell>
          <cell r="B6692">
            <v>730069</v>
          </cell>
          <cell r="C6692" t="str">
            <v>Q2</v>
          </cell>
          <cell r="D6692" t="str">
            <v>BALEARES PORTUGAL AÉREO 2</v>
          </cell>
          <cell r="E6692" t="str">
            <v>01</v>
          </cell>
          <cell r="F6692" t="str">
            <v>PAQ28a30</v>
          </cell>
          <cell r="G6692" t="str">
            <v>B</v>
          </cell>
          <cell r="H6692">
            <v>357.91</v>
          </cell>
        </row>
        <row r="6693">
          <cell r="A6693" t="str">
            <v>1;01;Q2;B;PAQ30a32</v>
          </cell>
          <cell r="B6693">
            <v>730069</v>
          </cell>
          <cell r="C6693" t="str">
            <v>Q2</v>
          </cell>
          <cell r="D6693" t="str">
            <v>BALEARES PORTUGAL AÉREO 2</v>
          </cell>
          <cell r="E6693" t="str">
            <v>01</v>
          </cell>
          <cell r="F6693" t="str">
            <v>PAQ30a32</v>
          </cell>
          <cell r="G6693" t="str">
            <v>B</v>
          </cell>
          <cell r="H6693">
            <v>381.63</v>
          </cell>
        </row>
        <row r="6694">
          <cell r="A6694" t="str">
            <v>4;01;Q2;B;PAQ30a32</v>
          </cell>
          <cell r="B6694">
            <v>730069</v>
          </cell>
          <cell r="C6694" t="str">
            <v>Q2</v>
          </cell>
          <cell r="D6694" t="str">
            <v>BALEARES PORTUGAL AÉREO 2</v>
          </cell>
          <cell r="E6694" t="str">
            <v>01</v>
          </cell>
          <cell r="F6694" t="str">
            <v>PAQ30a32</v>
          </cell>
          <cell r="G6694" t="str">
            <v>B</v>
          </cell>
          <cell r="H6694">
            <v>8</v>
          </cell>
        </row>
        <row r="6695">
          <cell r="A6695" t="str">
            <v>4;01;Q2;B;PAQ32a34</v>
          </cell>
          <cell r="B6695">
            <v>730069</v>
          </cell>
          <cell r="C6695" t="str">
            <v>Q2</v>
          </cell>
          <cell r="D6695" t="str">
            <v>BALEARES PORTUGAL AÉREO 2</v>
          </cell>
          <cell r="E6695" t="str">
            <v>01</v>
          </cell>
          <cell r="F6695" t="str">
            <v>PAQ32a34</v>
          </cell>
          <cell r="G6695" t="str">
            <v>B</v>
          </cell>
          <cell r="H6695">
            <v>8</v>
          </cell>
        </row>
        <row r="6696">
          <cell r="A6696" t="str">
            <v>1;01;Q2;B;PAQ32a34</v>
          </cell>
          <cell r="B6696">
            <v>730069</v>
          </cell>
          <cell r="C6696" t="str">
            <v>Q2</v>
          </cell>
          <cell r="D6696" t="str">
            <v>BALEARES PORTUGAL AÉREO 2</v>
          </cell>
          <cell r="E6696" t="str">
            <v>01</v>
          </cell>
          <cell r="F6696" t="str">
            <v>PAQ32a34</v>
          </cell>
          <cell r="G6696" t="str">
            <v>B</v>
          </cell>
          <cell r="H6696">
            <v>405.33</v>
          </cell>
        </row>
        <row r="6697">
          <cell r="A6697" t="str">
            <v>1;01;Q2;B;PAQ34a36</v>
          </cell>
          <cell r="B6697">
            <v>730069</v>
          </cell>
          <cell r="C6697" t="str">
            <v>Q2</v>
          </cell>
          <cell r="D6697" t="str">
            <v>BALEARES PORTUGAL AÉREO 2</v>
          </cell>
          <cell r="E6697" t="str">
            <v>01</v>
          </cell>
          <cell r="F6697" t="str">
            <v>PAQ34a36</v>
          </cell>
          <cell r="G6697" t="str">
            <v>B</v>
          </cell>
          <cell r="H6697">
            <v>429.04</v>
          </cell>
        </row>
        <row r="6698">
          <cell r="A6698" t="str">
            <v>4;01;Q2;B;PAQ34a36</v>
          </cell>
          <cell r="B6698">
            <v>730069</v>
          </cell>
          <cell r="C6698" t="str">
            <v>Q2</v>
          </cell>
          <cell r="D6698" t="str">
            <v>BALEARES PORTUGAL AÉREO 2</v>
          </cell>
          <cell r="E6698" t="str">
            <v>01</v>
          </cell>
          <cell r="F6698" t="str">
            <v>PAQ34a36</v>
          </cell>
          <cell r="G6698" t="str">
            <v>B</v>
          </cell>
          <cell r="H6698">
            <v>8</v>
          </cell>
        </row>
        <row r="6699">
          <cell r="A6699" t="str">
            <v>1;01;Q2;B;PAQ36a38</v>
          </cell>
          <cell r="B6699">
            <v>730069</v>
          </cell>
          <cell r="C6699" t="str">
            <v>Q2</v>
          </cell>
          <cell r="D6699" t="str">
            <v>BALEARES PORTUGAL AÉREO 2</v>
          </cell>
          <cell r="E6699" t="str">
            <v>01</v>
          </cell>
          <cell r="F6699" t="str">
            <v>PAQ36a38</v>
          </cell>
          <cell r="G6699" t="str">
            <v>B</v>
          </cell>
          <cell r="H6699">
            <v>452.73</v>
          </cell>
        </row>
        <row r="6700">
          <cell r="A6700" t="str">
            <v>4;01;Q2;B;PAQ36a38</v>
          </cell>
          <cell r="B6700">
            <v>730069</v>
          </cell>
          <cell r="C6700" t="str">
            <v>Q2</v>
          </cell>
          <cell r="D6700" t="str">
            <v>BALEARES PORTUGAL AÉREO 2</v>
          </cell>
          <cell r="E6700" t="str">
            <v>01</v>
          </cell>
          <cell r="F6700" t="str">
            <v>PAQ36a38</v>
          </cell>
          <cell r="G6700" t="str">
            <v>B</v>
          </cell>
          <cell r="H6700">
            <v>8</v>
          </cell>
        </row>
        <row r="6701">
          <cell r="A6701" t="str">
            <v>1;01;Q2;F;</v>
          </cell>
          <cell r="B6701">
            <v>730069</v>
          </cell>
          <cell r="C6701" t="str">
            <v>Q2</v>
          </cell>
          <cell r="D6701" t="str">
            <v>BALEARES PORTUGAL AÉREO 2</v>
          </cell>
          <cell r="E6701" t="str">
            <v>01</v>
          </cell>
          <cell r="F6701" t="str">
            <v/>
          </cell>
          <cell r="G6701" t="str">
            <v>F</v>
          </cell>
          <cell r="H6701">
            <v>23.7</v>
          </cell>
        </row>
        <row r="6702">
          <cell r="A6702" t="str">
            <v>4;01;Q2;B;PAQ38a40</v>
          </cell>
          <cell r="B6702">
            <v>730069</v>
          </cell>
          <cell r="C6702" t="str">
            <v>Q2</v>
          </cell>
          <cell r="D6702" t="str">
            <v>BALEARES PORTUGAL AÉREO 2</v>
          </cell>
          <cell r="E6702" t="str">
            <v>01</v>
          </cell>
          <cell r="F6702" t="str">
            <v>PAQ38a40</v>
          </cell>
          <cell r="G6702" t="str">
            <v>B</v>
          </cell>
          <cell r="H6702">
            <v>8</v>
          </cell>
        </row>
        <row r="6703">
          <cell r="A6703" t="str">
            <v>1;01;Q2;B;PAQ38a40</v>
          </cell>
          <cell r="B6703">
            <v>730069</v>
          </cell>
          <cell r="C6703" t="str">
            <v>Q2</v>
          </cell>
          <cell r="D6703" t="str">
            <v>BALEARES PORTUGAL AÉREO 2</v>
          </cell>
          <cell r="E6703" t="str">
            <v>01</v>
          </cell>
          <cell r="F6703" t="str">
            <v>PAQ38a40</v>
          </cell>
          <cell r="G6703" t="str">
            <v>B</v>
          </cell>
          <cell r="H6703">
            <v>476.44</v>
          </cell>
        </row>
        <row r="6704">
          <cell r="A6704" t="str">
            <v>4;01;Q2;F;</v>
          </cell>
          <cell r="B6704">
            <v>730069</v>
          </cell>
          <cell r="C6704" t="str">
            <v>Q2</v>
          </cell>
          <cell r="D6704" t="str">
            <v>BALEARES PORTUGAL AÉREO 2</v>
          </cell>
          <cell r="E6704" t="str">
            <v>01</v>
          </cell>
          <cell r="F6704" t="str">
            <v/>
          </cell>
          <cell r="G6704" t="str">
            <v>F</v>
          </cell>
          <cell r="H6704">
            <v>0</v>
          </cell>
        </row>
        <row r="6705">
          <cell r="A6705" t="str">
            <v>1;01;Q2;P;</v>
          </cell>
          <cell r="B6705">
            <v>730069</v>
          </cell>
          <cell r="C6705" t="str">
            <v>Q2</v>
          </cell>
          <cell r="D6705" t="str">
            <v>BALEARES PORTUGAL AÉREO 2</v>
          </cell>
          <cell r="E6705" t="str">
            <v>01</v>
          </cell>
          <cell r="F6705" t="str">
            <v/>
          </cell>
          <cell r="G6705" t="str">
            <v>P</v>
          </cell>
          <cell r="H6705">
            <v>0</v>
          </cell>
        </row>
        <row r="6706">
          <cell r="A6706" t="str">
            <v>1;01;Q2;E;</v>
          </cell>
          <cell r="B6706">
            <v>730069</v>
          </cell>
          <cell r="C6706" t="str">
            <v>Q2</v>
          </cell>
          <cell r="D6706" t="str">
            <v>BALEARES PORTUGAL AÉREO 2</v>
          </cell>
          <cell r="E6706" t="str">
            <v>01</v>
          </cell>
          <cell r="F6706" t="str">
            <v/>
          </cell>
          <cell r="G6706" t="str">
            <v>E</v>
          </cell>
          <cell r="H6706">
            <v>0</v>
          </cell>
        </row>
        <row r="6707">
          <cell r="A6707" t="str">
            <v>4;01;Q2;P;</v>
          </cell>
          <cell r="B6707">
            <v>730069</v>
          </cell>
          <cell r="C6707" t="str">
            <v>Q2</v>
          </cell>
          <cell r="D6707" t="str">
            <v>BALEARES PORTUGAL AÉREO 2</v>
          </cell>
          <cell r="E6707" t="str">
            <v>01</v>
          </cell>
          <cell r="F6707" t="str">
            <v/>
          </cell>
          <cell r="G6707" t="str">
            <v>P</v>
          </cell>
          <cell r="H6707">
            <v>0</v>
          </cell>
        </row>
        <row r="6708">
          <cell r="A6708" t="str">
            <v>4;01;Q2;E;</v>
          </cell>
          <cell r="B6708">
            <v>730069</v>
          </cell>
          <cell r="C6708" t="str">
            <v>Q2</v>
          </cell>
          <cell r="D6708" t="str">
            <v>BALEARES PORTUGAL AÉREO 2</v>
          </cell>
          <cell r="E6708" t="str">
            <v>01</v>
          </cell>
          <cell r="F6708" t="str">
            <v/>
          </cell>
          <cell r="G6708" t="str">
            <v>E</v>
          </cell>
          <cell r="H6708">
            <v>0</v>
          </cell>
        </row>
        <row r="6709">
          <cell r="A6709" t="str">
            <v>4;02;Q2;B;BAG</v>
          </cell>
          <cell r="B6709">
            <v>730069</v>
          </cell>
          <cell r="C6709" t="str">
            <v>Q2</v>
          </cell>
          <cell r="D6709" t="str">
            <v>BALEARES PORTUGAL AÉREO 2</v>
          </cell>
          <cell r="E6709" t="str">
            <v>02</v>
          </cell>
          <cell r="F6709" t="str">
            <v>BAG</v>
          </cell>
          <cell r="G6709" t="str">
            <v>B</v>
          </cell>
          <cell r="H6709">
            <v>8</v>
          </cell>
        </row>
        <row r="6710">
          <cell r="A6710" t="str">
            <v>1;02;Q2;B;BAG</v>
          </cell>
          <cell r="B6710">
            <v>730069</v>
          </cell>
          <cell r="C6710" t="str">
            <v>Q2</v>
          </cell>
          <cell r="D6710" t="str">
            <v>BALEARES PORTUGAL AÉREO 2</v>
          </cell>
          <cell r="E6710" t="str">
            <v>02</v>
          </cell>
          <cell r="F6710" t="str">
            <v>BAG</v>
          </cell>
          <cell r="G6710" t="str">
            <v>B</v>
          </cell>
          <cell r="H6710">
            <v>18.010000000000002</v>
          </cell>
        </row>
        <row r="6711">
          <cell r="A6711" t="str">
            <v>4;02;Q2;B;DOCS</v>
          </cell>
          <cell r="B6711">
            <v>730069</v>
          </cell>
          <cell r="C6711" t="str">
            <v>Q2</v>
          </cell>
          <cell r="D6711" t="str">
            <v>BALEARES PORTUGAL AÉREO 2</v>
          </cell>
          <cell r="E6711" t="str">
            <v>02</v>
          </cell>
          <cell r="F6711" t="str">
            <v>DOCS</v>
          </cell>
          <cell r="G6711" t="str">
            <v>B</v>
          </cell>
          <cell r="H6711">
            <v>8</v>
          </cell>
        </row>
        <row r="6712">
          <cell r="A6712" t="str">
            <v>1;02;Q2;B;DOCS</v>
          </cell>
          <cell r="B6712">
            <v>730069</v>
          </cell>
          <cell r="C6712" t="str">
            <v>Q2</v>
          </cell>
          <cell r="D6712" t="str">
            <v>BALEARES PORTUGAL AÉREO 2</v>
          </cell>
          <cell r="E6712" t="str">
            <v>02</v>
          </cell>
          <cell r="F6712" t="str">
            <v>DOCS</v>
          </cell>
          <cell r="G6712" t="str">
            <v>B</v>
          </cell>
          <cell r="H6712">
            <v>11.97</v>
          </cell>
        </row>
        <row r="6713">
          <cell r="A6713" t="str">
            <v>4;02;Q2;B;PAQ00a02</v>
          </cell>
          <cell r="B6713">
            <v>730069</v>
          </cell>
          <cell r="C6713" t="str">
            <v>Q2</v>
          </cell>
          <cell r="D6713" t="str">
            <v>BALEARES PORTUGAL AÉREO 2</v>
          </cell>
          <cell r="E6713" t="str">
            <v>02</v>
          </cell>
          <cell r="F6713" t="str">
            <v>PAQ00a02</v>
          </cell>
          <cell r="G6713" t="str">
            <v>B</v>
          </cell>
          <cell r="H6713">
            <v>8</v>
          </cell>
        </row>
        <row r="6714">
          <cell r="A6714" t="str">
            <v>1;02;Q2;B;PAQ00a02</v>
          </cell>
          <cell r="B6714">
            <v>730069</v>
          </cell>
          <cell r="C6714" t="str">
            <v>Q2</v>
          </cell>
          <cell r="D6714" t="str">
            <v>BALEARES PORTUGAL AÉREO 2</v>
          </cell>
          <cell r="E6714" t="str">
            <v>02</v>
          </cell>
          <cell r="F6714" t="str">
            <v>PAQ00a02</v>
          </cell>
          <cell r="G6714" t="str">
            <v>B</v>
          </cell>
          <cell r="H6714">
            <v>21.47</v>
          </cell>
        </row>
        <row r="6715">
          <cell r="A6715" t="str">
            <v>4;02;Q2;B;PAQ02a04</v>
          </cell>
          <cell r="B6715">
            <v>730069</v>
          </cell>
          <cell r="C6715" t="str">
            <v>Q2</v>
          </cell>
          <cell r="D6715" t="str">
            <v>BALEARES PORTUGAL AÉREO 2</v>
          </cell>
          <cell r="E6715" t="str">
            <v>02</v>
          </cell>
          <cell r="F6715" t="str">
            <v>PAQ02a04</v>
          </cell>
          <cell r="G6715" t="str">
            <v>B</v>
          </cell>
          <cell r="H6715">
            <v>8</v>
          </cell>
        </row>
        <row r="6716">
          <cell r="A6716" t="str">
            <v>1;02;Q2;B;PAQ02a04</v>
          </cell>
          <cell r="B6716">
            <v>730069</v>
          </cell>
          <cell r="C6716" t="str">
            <v>Q2</v>
          </cell>
          <cell r="D6716" t="str">
            <v>BALEARES PORTUGAL AÉREO 2</v>
          </cell>
          <cell r="E6716" t="str">
            <v>02</v>
          </cell>
          <cell r="F6716" t="str">
            <v>PAQ02a04</v>
          </cell>
          <cell r="G6716" t="str">
            <v>B</v>
          </cell>
          <cell r="H6716">
            <v>34.630000000000003</v>
          </cell>
        </row>
        <row r="6717">
          <cell r="A6717" t="str">
            <v>4;02;Q2;B;PAQ04a06</v>
          </cell>
          <cell r="B6717">
            <v>730069</v>
          </cell>
          <cell r="C6717" t="str">
            <v>Q2</v>
          </cell>
          <cell r="D6717" t="str">
            <v>BALEARES PORTUGAL AÉREO 2</v>
          </cell>
          <cell r="E6717" t="str">
            <v>02</v>
          </cell>
          <cell r="F6717" t="str">
            <v>PAQ04a06</v>
          </cell>
          <cell r="G6717" t="str">
            <v>B</v>
          </cell>
          <cell r="H6717">
            <v>8</v>
          </cell>
        </row>
        <row r="6718">
          <cell r="A6718" t="str">
            <v>1;02;Q2;B;PAQ04a06</v>
          </cell>
          <cell r="B6718">
            <v>730069</v>
          </cell>
          <cell r="C6718" t="str">
            <v>Q2</v>
          </cell>
          <cell r="D6718" t="str">
            <v>BALEARES PORTUGAL AÉREO 2</v>
          </cell>
          <cell r="E6718" t="str">
            <v>02</v>
          </cell>
          <cell r="F6718" t="str">
            <v>PAQ04a06</v>
          </cell>
          <cell r="G6718" t="str">
            <v>B</v>
          </cell>
          <cell r="H6718">
            <v>48.14</v>
          </cell>
        </row>
        <row r="6719">
          <cell r="A6719" t="str">
            <v>1;02;Q2;B;PAQ06a08</v>
          </cell>
          <cell r="B6719">
            <v>730069</v>
          </cell>
          <cell r="C6719" t="str">
            <v>Q2</v>
          </cell>
          <cell r="D6719" t="str">
            <v>BALEARES PORTUGAL AÉREO 2</v>
          </cell>
          <cell r="E6719" t="str">
            <v>02</v>
          </cell>
          <cell r="F6719" t="str">
            <v>PAQ06a08</v>
          </cell>
          <cell r="G6719" t="str">
            <v>B</v>
          </cell>
          <cell r="H6719">
            <v>62.03</v>
          </cell>
        </row>
        <row r="6720">
          <cell r="A6720" t="str">
            <v>4;02;Q2;B;PAQ06a08</v>
          </cell>
          <cell r="B6720">
            <v>730069</v>
          </cell>
          <cell r="C6720" t="str">
            <v>Q2</v>
          </cell>
          <cell r="D6720" t="str">
            <v>BALEARES PORTUGAL AÉREO 2</v>
          </cell>
          <cell r="E6720" t="str">
            <v>02</v>
          </cell>
          <cell r="F6720" t="str">
            <v>PAQ06a08</v>
          </cell>
          <cell r="G6720" t="str">
            <v>B</v>
          </cell>
          <cell r="H6720">
            <v>8</v>
          </cell>
        </row>
        <row r="6721">
          <cell r="A6721" t="str">
            <v>1;02;Q2;B;PAQ08a10</v>
          </cell>
          <cell r="B6721">
            <v>730069</v>
          </cell>
          <cell r="C6721" t="str">
            <v>Q2</v>
          </cell>
          <cell r="D6721" t="str">
            <v>BALEARES PORTUGAL AÉREO 2</v>
          </cell>
          <cell r="E6721" t="str">
            <v>02</v>
          </cell>
          <cell r="F6721" t="str">
            <v>PAQ08a10</v>
          </cell>
          <cell r="G6721" t="str">
            <v>B</v>
          </cell>
          <cell r="H6721">
            <v>75.900000000000006</v>
          </cell>
        </row>
        <row r="6722">
          <cell r="A6722" t="str">
            <v>4;02;Q2;B;PAQ08a10</v>
          </cell>
          <cell r="B6722">
            <v>730069</v>
          </cell>
          <cell r="C6722" t="str">
            <v>Q2</v>
          </cell>
          <cell r="D6722" t="str">
            <v>BALEARES PORTUGAL AÉREO 2</v>
          </cell>
          <cell r="E6722" t="str">
            <v>02</v>
          </cell>
          <cell r="F6722" t="str">
            <v>PAQ08a10</v>
          </cell>
          <cell r="G6722" t="str">
            <v>B</v>
          </cell>
          <cell r="H6722">
            <v>8</v>
          </cell>
        </row>
        <row r="6723">
          <cell r="A6723" t="str">
            <v>1;02;Q2;B;PAQ10a12</v>
          </cell>
          <cell r="B6723">
            <v>730069</v>
          </cell>
          <cell r="C6723" t="str">
            <v>Q2</v>
          </cell>
          <cell r="D6723" t="str">
            <v>BALEARES PORTUGAL AÉREO 2</v>
          </cell>
          <cell r="E6723" t="str">
            <v>02</v>
          </cell>
          <cell r="F6723" t="str">
            <v>PAQ10a12</v>
          </cell>
          <cell r="G6723" t="str">
            <v>B</v>
          </cell>
          <cell r="H6723">
            <v>89.79</v>
          </cell>
        </row>
        <row r="6724">
          <cell r="A6724" t="str">
            <v>4;02;Q2;B;PAQ10a12</v>
          </cell>
          <cell r="B6724">
            <v>730069</v>
          </cell>
          <cell r="C6724" t="str">
            <v>Q2</v>
          </cell>
          <cell r="D6724" t="str">
            <v>BALEARES PORTUGAL AÉREO 2</v>
          </cell>
          <cell r="E6724" t="str">
            <v>02</v>
          </cell>
          <cell r="F6724" t="str">
            <v>PAQ10a12</v>
          </cell>
          <cell r="G6724" t="str">
            <v>B</v>
          </cell>
          <cell r="H6724">
            <v>8</v>
          </cell>
        </row>
        <row r="6725">
          <cell r="A6725" t="str">
            <v>1;02;Q2;B;PAQ12a14</v>
          </cell>
          <cell r="B6725">
            <v>730069</v>
          </cell>
          <cell r="C6725" t="str">
            <v>Q2</v>
          </cell>
          <cell r="D6725" t="str">
            <v>BALEARES PORTUGAL AÉREO 2</v>
          </cell>
          <cell r="E6725" t="str">
            <v>02</v>
          </cell>
          <cell r="F6725" t="str">
            <v>PAQ12a14</v>
          </cell>
          <cell r="G6725" t="str">
            <v>B</v>
          </cell>
          <cell r="H6725">
            <v>103.67</v>
          </cell>
        </row>
        <row r="6726">
          <cell r="A6726" t="str">
            <v>4;02;Q2;B;PAQ12a14</v>
          </cell>
          <cell r="B6726">
            <v>730069</v>
          </cell>
          <cell r="C6726" t="str">
            <v>Q2</v>
          </cell>
          <cell r="D6726" t="str">
            <v>BALEARES PORTUGAL AÉREO 2</v>
          </cell>
          <cell r="E6726" t="str">
            <v>02</v>
          </cell>
          <cell r="F6726" t="str">
            <v>PAQ12a14</v>
          </cell>
          <cell r="G6726" t="str">
            <v>B</v>
          </cell>
          <cell r="H6726">
            <v>8</v>
          </cell>
        </row>
        <row r="6727">
          <cell r="A6727" t="str">
            <v>4;02;Q2;B;PAQ14a16</v>
          </cell>
          <cell r="B6727">
            <v>730069</v>
          </cell>
          <cell r="C6727" t="str">
            <v>Q2</v>
          </cell>
          <cell r="D6727" t="str">
            <v>BALEARES PORTUGAL AÉREO 2</v>
          </cell>
          <cell r="E6727" t="str">
            <v>02</v>
          </cell>
          <cell r="F6727" t="str">
            <v>PAQ14a16</v>
          </cell>
          <cell r="G6727" t="str">
            <v>B</v>
          </cell>
          <cell r="H6727">
            <v>8</v>
          </cell>
        </row>
        <row r="6728">
          <cell r="A6728" t="str">
            <v>1;02;Q2;B;PAQ14a16</v>
          </cell>
          <cell r="B6728">
            <v>730069</v>
          </cell>
          <cell r="C6728" t="str">
            <v>Q2</v>
          </cell>
          <cell r="D6728" t="str">
            <v>BALEARES PORTUGAL AÉREO 2</v>
          </cell>
          <cell r="E6728" t="str">
            <v>02</v>
          </cell>
          <cell r="F6728" t="str">
            <v>PAQ14a16</v>
          </cell>
          <cell r="G6728" t="str">
            <v>B</v>
          </cell>
          <cell r="H6728">
            <v>117.54</v>
          </cell>
        </row>
        <row r="6729">
          <cell r="A6729" t="str">
            <v>4;02;Q2;B;PAQ16a18</v>
          </cell>
          <cell r="B6729">
            <v>730069</v>
          </cell>
          <cell r="C6729" t="str">
            <v>Q2</v>
          </cell>
          <cell r="D6729" t="str">
            <v>BALEARES PORTUGAL AÉREO 2</v>
          </cell>
          <cell r="E6729" t="str">
            <v>02</v>
          </cell>
          <cell r="F6729" t="str">
            <v>PAQ16a18</v>
          </cell>
          <cell r="G6729" t="str">
            <v>B</v>
          </cell>
          <cell r="H6729">
            <v>8</v>
          </cell>
        </row>
        <row r="6730">
          <cell r="A6730" t="str">
            <v>1;02;Q2;B;PAQ16a18</v>
          </cell>
          <cell r="B6730">
            <v>730069</v>
          </cell>
          <cell r="C6730" t="str">
            <v>Q2</v>
          </cell>
          <cell r="D6730" t="str">
            <v>BALEARES PORTUGAL AÉREO 2</v>
          </cell>
          <cell r="E6730" t="str">
            <v>02</v>
          </cell>
          <cell r="F6730" t="str">
            <v>PAQ16a18</v>
          </cell>
          <cell r="G6730" t="str">
            <v>B</v>
          </cell>
          <cell r="H6730">
            <v>131.43</v>
          </cell>
        </row>
        <row r="6731">
          <cell r="A6731" t="str">
            <v>4;02;Q2;B;PAQ18a20</v>
          </cell>
          <cell r="B6731">
            <v>730069</v>
          </cell>
          <cell r="C6731" t="str">
            <v>Q2</v>
          </cell>
          <cell r="D6731" t="str">
            <v>BALEARES PORTUGAL AÉREO 2</v>
          </cell>
          <cell r="E6731" t="str">
            <v>02</v>
          </cell>
          <cell r="F6731" t="str">
            <v>PAQ18a20</v>
          </cell>
          <cell r="G6731" t="str">
            <v>B</v>
          </cell>
          <cell r="H6731">
            <v>8</v>
          </cell>
        </row>
        <row r="6732">
          <cell r="A6732" t="str">
            <v>1;02;Q2;B;PAQ18a20</v>
          </cell>
          <cell r="B6732">
            <v>730069</v>
          </cell>
          <cell r="C6732" t="str">
            <v>Q2</v>
          </cell>
          <cell r="D6732" t="str">
            <v>BALEARES PORTUGAL AÉREO 2</v>
          </cell>
          <cell r="E6732" t="str">
            <v>02</v>
          </cell>
          <cell r="F6732" t="str">
            <v>PAQ18a20</v>
          </cell>
          <cell r="G6732" t="str">
            <v>B</v>
          </cell>
          <cell r="H6732">
            <v>145.31</v>
          </cell>
        </row>
        <row r="6733">
          <cell r="A6733" t="str">
            <v>1;02;Q2;B;PAQ20a22</v>
          </cell>
          <cell r="B6733">
            <v>730069</v>
          </cell>
          <cell r="C6733" t="str">
            <v>Q2</v>
          </cell>
          <cell r="D6733" t="str">
            <v>BALEARES PORTUGAL AÉREO 2</v>
          </cell>
          <cell r="E6733" t="str">
            <v>02</v>
          </cell>
          <cell r="F6733" t="str">
            <v>PAQ20a22</v>
          </cell>
          <cell r="G6733" t="str">
            <v>B</v>
          </cell>
          <cell r="H6733">
            <v>159.19</v>
          </cell>
        </row>
        <row r="6734">
          <cell r="A6734" t="str">
            <v>4;02;Q2;B;PAQ20a22</v>
          </cell>
          <cell r="B6734">
            <v>730069</v>
          </cell>
          <cell r="C6734" t="str">
            <v>Q2</v>
          </cell>
          <cell r="D6734" t="str">
            <v>BALEARES PORTUGAL AÉREO 2</v>
          </cell>
          <cell r="E6734" t="str">
            <v>02</v>
          </cell>
          <cell r="F6734" t="str">
            <v>PAQ20a22</v>
          </cell>
          <cell r="G6734" t="str">
            <v>B</v>
          </cell>
          <cell r="H6734">
            <v>8</v>
          </cell>
        </row>
        <row r="6735">
          <cell r="A6735" t="str">
            <v>1;02;Q2;B;PAQ22a24</v>
          </cell>
          <cell r="B6735">
            <v>730069</v>
          </cell>
          <cell r="C6735" t="str">
            <v>Q2</v>
          </cell>
          <cell r="D6735" t="str">
            <v>BALEARES PORTUGAL AÉREO 2</v>
          </cell>
          <cell r="E6735" t="str">
            <v>02</v>
          </cell>
          <cell r="F6735" t="str">
            <v>PAQ22a24</v>
          </cell>
          <cell r="G6735" t="str">
            <v>B</v>
          </cell>
          <cell r="H6735">
            <v>173.07</v>
          </cell>
        </row>
        <row r="6736">
          <cell r="A6736" t="str">
            <v>4;02;Q2;B;PAQ22a24</v>
          </cell>
          <cell r="B6736">
            <v>730069</v>
          </cell>
          <cell r="C6736" t="str">
            <v>Q2</v>
          </cell>
          <cell r="D6736" t="str">
            <v>BALEARES PORTUGAL AÉREO 2</v>
          </cell>
          <cell r="E6736" t="str">
            <v>02</v>
          </cell>
          <cell r="F6736" t="str">
            <v>PAQ22a24</v>
          </cell>
          <cell r="G6736" t="str">
            <v>B</v>
          </cell>
          <cell r="H6736">
            <v>8</v>
          </cell>
        </row>
        <row r="6737">
          <cell r="A6737" t="str">
            <v>4;02;Q2;B;PAQ24a26</v>
          </cell>
          <cell r="B6737">
            <v>730069</v>
          </cell>
          <cell r="C6737" t="str">
            <v>Q2</v>
          </cell>
          <cell r="D6737" t="str">
            <v>BALEARES PORTUGAL AÉREO 2</v>
          </cell>
          <cell r="E6737" t="str">
            <v>02</v>
          </cell>
          <cell r="F6737" t="str">
            <v>PAQ24a26</v>
          </cell>
          <cell r="G6737" t="str">
            <v>B</v>
          </cell>
          <cell r="H6737">
            <v>8</v>
          </cell>
        </row>
        <row r="6738">
          <cell r="A6738" t="str">
            <v>1;02;Q2;B;PAQ24a26</v>
          </cell>
          <cell r="B6738">
            <v>730069</v>
          </cell>
          <cell r="C6738" t="str">
            <v>Q2</v>
          </cell>
          <cell r="D6738" t="str">
            <v>BALEARES PORTUGAL AÉREO 2</v>
          </cell>
          <cell r="E6738" t="str">
            <v>02</v>
          </cell>
          <cell r="F6738" t="str">
            <v>PAQ24a26</v>
          </cell>
          <cell r="G6738" t="str">
            <v>B</v>
          </cell>
          <cell r="H6738">
            <v>186.95</v>
          </cell>
        </row>
        <row r="6739">
          <cell r="A6739" t="str">
            <v>4;02;Q2;B;PAQ26a28</v>
          </cell>
          <cell r="B6739">
            <v>730069</v>
          </cell>
          <cell r="C6739" t="str">
            <v>Q2</v>
          </cell>
          <cell r="D6739" t="str">
            <v>BALEARES PORTUGAL AÉREO 2</v>
          </cell>
          <cell r="E6739" t="str">
            <v>02</v>
          </cell>
          <cell r="F6739" t="str">
            <v>PAQ26a28</v>
          </cell>
          <cell r="G6739" t="str">
            <v>B</v>
          </cell>
          <cell r="H6739">
            <v>8</v>
          </cell>
        </row>
        <row r="6740">
          <cell r="A6740" t="str">
            <v>1;02;Q2;B;PAQ26a28</v>
          </cell>
          <cell r="B6740">
            <v>730069</v>
          </cell>
          <cell r="C6740" t="str">
            <v>Q2</v>
          </cell>
          <cell r="D6740" t="str">
            <v>BALEARES PORTUGAL AÉREO 2</v>
          </cell>
          <cell r="E6740" t="str">
            <v>02</v>
          </cell>
          <cell r="F6740" t="str">
            <v>PAQ26a28</v>
          </cell>
          <cell r="G6740" t="str">
            <v>B</v>
          </cell>
          <cell r="H6740">
            <v>200.83</v>
          </cell>
        </row>
        <row r="6741">
          <cell r="A6741" t="str">
            <v>1;02;Q2;B;PAQ28a30</v>
          </cell>
          <cell r="B6741">
            <v>730069</v>
          </cell>
          <cell r="C6741" t="str">
            <v>Q2</v>
          </cell>
          <cell r="D6741" t="str">
            <v>BALEARES PORTUGAL AÉREO 2</v>
          </cell>
          <cell r="E6741" t="str">
            <v>02</v>
          </cell>
          <cell r="F6741" t="str">
            <v>PAQ28a30</v>
          </cell>
          <cell r="G6741" t="str">
            <v>B</v>
          </cell>
          <cell r="H6741">
            <v>214.71</v>
          </cell>
        </row>
        <row r="6742">
          <cell r="A6742" t="str">
            <v>4;02;Q2;B;PAQ28a30</v>
          </cell>
          <cell r="B6742">
            <v>730069</v>
          </cell>
          <cell r="C6742" t="str">
            <v>Q2</v>
          </cell>
          <cell r="D6742" t="str">
            <v>BALEARES PORTUGAL AÉREO 2</v>
          </cell>
          <cell r="E6742" t="str">
            <v>02</v>
          </cell>
          <cell r="F6742" t="str">
            <v>PAQ28a30</v>
          </cell>
          <cell r="G6742" t="str">
            <v>B</v>
          </cell>
          <cell r="H6742">
            <v>8</v>
          </cell>
        </row>
        <row r="6743">
          <cell r="A6743" t="str">
            <v>4;02;Q2;B;PAQ30a32</v>
          </cell>
          <cell r="B6743">
            <v>730069</v>
          </cell>
          <cell r="C6743" t="str">
            <v>Q2</v>
          </cell>
          <cell r="D6743" t="str">
            <v>BALEARES PORTUGAL AÉREO 2</v>
          </cell>
          <cell r="E6743" t="str">
            <v>02</v>
          </cell>
          <cell r="F6743" t="str">
            <v>PAQ30a32</v>
          </cell>
          <cell r="G6743" t="str">
            <v>B</v>
          </cell>
          <cell r="H6743">
            <v>8</v>
          </cell>
        </row>
        <row r="6744">
          <cell r="A6744" t="str">
            <v>1;02;Q2;B;PAQ30a32</v>
          </cell>
          <cell r="B6744">
            <v>730069</v>
          </cell>
          <cell r="C6744" t="str">
            <v>Q2</v>
          </cell>
          <cell r="D6744" t="str">
            <v>BALEARES PORTUGAL AÉREO 2</v>
          </cell>
          <cell r="E6744" t="str">
            <v>02</v>
          </cell>
          <cell r="F6744" t="str">
            <v>PAQ30a32</v>
          </cell>
          <cell r="G6744" t="str">
            <v>B</v>
          </cell>
          <cell r="H6744">
            <v>228.59</v>
          </cell>
        </row>
        <row r="6745">
          <cell r="A6745" t="str">
            <v>4;02;Q2;B;PAQ32a34</v>
          </cell>
          <cell r="B6745">
            <v>730069</v>
          </cell>
          <cell r="C6745" t="str">
            <v>Q2</v>
          </cell>
          <cell r="D6745" t="str">
            <v>BALEARES PORTUGAL AÉREO 2</v>
          </cell>
          <cell r="E6745" t="str">
            <v>02</v>
          </cell>
          <cell r="F6745" t="str">
            <v>PAQ32a34</v>
          </cell>
          <cell r="G6745" t="str">
            <v>B</v>
          </cell>
          <cell r="H6745">
            <v>8</v>
          </cell>
        </row>
        <row r="6746">
          <cell r="A6746" t="str">
            <v>1;02;Q2;B;PAQ32a34</v>
          </cell>
          <cell r="B6746">
            <v>730069</v>
          </cell>
          <cell r="C6746" t="str">
            <v>Q2</v>
          </cell>
          <cell r="D6746" t="str">
            <v>BALEARES PORTUGAL AÉREO 2</v>
          </cell>
          <cell r="E6746" t="str">
            <v>02</v>
          </cell>
          <cell r="F6746" t="str">
            <v>PAQ32a34</v>
          </cell>
          <cell r="G6746" t="str">
            <v>B</v>
          </cell>
          <cell r="H6746">
            <v>242.47</v>
          </cell>
        </row>
        <row r="6747">
          <cell r="A6747" t="str">
            <v>4;02;Q2;B;PAQ34a36</v>
          </cell>
          <cell r="B6747">
            <v>730069</v>
          </cell>
          <cell r="C6747" t="str">
            <v>Q2</v>
          </cell>
          <cell r="D6747" t="str">
            <v>BALEARES PORTUGAL AÉREO 2</v>
          </cell>
          <cell r="E6747" t="str">
            <v>02</v>
          </cell>
          <cell r="F6747" t="str">
            <v>PAQ34a36</v>
          </cell>
          <cell r="G6747" t="str">
            <v>B</v>
          </cell>
          <cell r="H6747">
            <v>8</v>
          </cell>
        </row>
        <row r="6748">
          <cell r="A6748" t="str">
            <v>1;02;Q2;B;PAQ34a36</v>
          </cell>
          <cell r="B6748">
            <v>730069</v>
          </cell>
          <cell r="C6748" t="str">
            <v>Q2</v>
          </cell>
          <cell r="D6748" t="str">
            <v>BALEARES PORTUGAL AÉREO 2</v>
          </cell>
          <cell r="E6748" t="str">
            <v>02</v>
          </cell>
          <cell r="F6748" t="str">
            <v>PAQ34a36</v>
          </cell>
          <cell r="G6748" t="str">
            <v>B</v>
          </cell>
          <cell r="H6748">
            <v>256.36</v>
          </cell>
        </row>
        <row r="6749">
          <cell r="A6749" t="str">
            <v>1;02;Q2;B;PAQ36a38</v>
          </cell>
          <cell r="B6749">
            <v>730069</v>
          </cell>
          <cell r="C6749" t="str">
            <v>Q2</v>
          </cell>
          <cell r="D6749" t="str">
            <v>BALEARES PORTUGAL AÉREO 2</v>
          </cell>
          <cell r="E6749" t="str">
            <v>02</v>
          </cell>
          <cell r="F6749" t="str">
            <v>PAQ36a38</v>
          </cell>
          <cell r="G6749" t="str">
            <v>B</v>
          </cell>
          <cell r="H6749">
            <v>270.23</v>
          </cell>
        </row>
        <row r="6750">
          <cell r="A6750" t="str">
            <v>4;02;Q2;B;PAQ36a38</v>
          </cell>
          <cell r="B6750">
            <v>730069</v>
          </cell>
          <cell r="C6750" t="str">
            <v>Q2</v>
          </cell>
          <cell r="D6750" t="str">
            <v>BALEARES PORTUGAL AÉREO 2</v>
          </cell>
          <cell r="E6750" t="str">
            <v>02</v>
          </cell>
          <cell r="F6750" t="str">
            <v>PAQ36a38</v>
          </cell>
          <cell r="G6750" t="str">
            <v>B</v>
          </cell>
          <cell r="H6750">
            <v>8</v>
          </cell>
        </row>
        <row r="6751">
          <cell r="A6751" t="str">
            <v>4;02;Q2;B;PAQ38a40</v>
          </cell>
          <cell r="B6751">
            <v>730069</v>
          </cell>
          <cell r="C6751" t="str">
            <v>Q2</v>
          </cell>
          <cell r="D6751" t="str">
            <v>BALEARES PORTUGAL AÉREO 2</v>
          </cell>
          <cell r="E6751" t="str">
            <v>02</v>
          </cell>
          <cell r="F6751" t="str">
            <v>PAQ38a40</v>
          </cell>
          <cell r="G6751" t="str">
            <v>B</v>
          </cell>
          <cell r="H6751">
            <v>8</v>
          </cell>
        </row>
        <row r="6752">
          <cell r="A6752" t="str">
            <v>1;02;Q2;F;</v>
          </cell>
          <cell r="B6752">
            <v>730069</v>
          </cell>
          <cell r="C6752" t="str">
            <v>Q2</v>
          </cell>
          <cell r="D6752" t="str">
            <v>BALEARES PORTUGAL AÉREO 2</v>
          </cell>
          <cell r="E6752" t="str">
            <v>02</v>
          </cell>
          <cell r="F6752" t="str">
            <v/>
          </cell>
          <cell r="G6752" t="str">
            <v>F</v>
          </cell>
          <cell r="H6752">
            <v>13.88</v>
          </cell>
        </row>
        <row r="6753">
          <cell r="A6753" t="str">
            <v>4;02;Q2;F;</v>
          </cell>
          <cell r="B6753">
            <v>730069</v>
          </cell>
          <cell r="C6753" t="str">
            <v>Q2</v>
          </cell>
          <cell r="D6753" t="str">
            <v>BALEARES PORTUGAL AÉREO 2</v>
          </cell>
          <cell r="E6753" t="str">
            <v>02</v>
          </cell>
          <cell r="F6753" t="str">
            <v/>
          </cell>
          <cell r="G6753" t="str">
            <v>F</v>
          </cell>
          <cell r="H6753">
            <v>0</v>
          </cell>
        </row>
        <row r="6754">
          <cell r="A6754" t="str">
            <v>1;02;Q2;B;PAQ38a40</v>
          </cell>
          <cell r="B6754">
            <v>730069</v>
          </cell>
          <cell r="C6754" t="str">
            <v>Q2</v>
          </cell>
          <cell r="D6754" t="str">
            <v>BALEARES PORTUGAL AÉREO 2</v>
          </cell>
          <cell r="E6754" t="str">
            <v>02</v>
          </cell>
          <cell r="F6754" t="str">
            <v>PAQ38a40</v>
          </cell>
          <cell r="G6754" t="str">
            <v>B</v>
          </cell>
          <cell r="H6754">
            <v>284.12</v>
          </cell>
        </row>
        <row r="6755">
          <cell r="A6755" t="str">
            <v>4;02;Q2;E;</v>
          </cell>
          <cell r="B6755">
            <v>730069</v>
          </cell>
          <cell r="C6755" t="str">
            <v>Q2</v>
          </cell>
          <cell r="D6755" t="str">
            <v>BALEARES PORTUGAL AÉREO 2</v>
          </cell>
          <cell r="E6755" t="str">
            <v>02</v>
          </cell>
          <cell r="F6755" t="str">
            <v/>
          </cell>
          <cell r="G6755" t="str">
            <v>E</v>
          </cell>
          <cell r="H6755">
            <v>0</v>
          </cell>
        </row>
        <row r="6756">
          <cell r="A6756" t="str">
            <v>1;02;Q2;E;</v>
          </cell>
          <cell r="B6756">
            <v>730069</v>
          </cell>
          <cell r="C6756" t="str">
            <v>Q2</v>
          </cell>
          <cell r="D6756" t="str">
            <v>BALEARES PORTUGAL AÉREO 2</v>
          </cell>
          <cell r="E6756" t="str">
            <v>02</v>
          </cell>
          <cell r="F6756" t="str">
            <v/>
          </cell>
          <cell r="G6756" t="str">
            <v>E</v>
          </cell>
          <cell r="H6756">
            <v>0</v>
          </cell>
        </row>
        <row r="6757">
          <cell r="A6757" t="str">
            <v>1;02;Q2;P;</v>
          </cell>
          <cell r="B6757">
            <v>730069</v>
          </cell>
          <cell r="C6757" t="str">
            <v>Q2</v>
          </cell>
          <cell r="D6757" t="str">
            <v>BALEARES PORTUGAL AÉREO 2</v>
          </cell>
          <cell r="E6757" t="str">
            <v>02</v>
          </cell>
          <cell r="F6757" t="str">
            <v/>
          </cell>
          <cell r="G6757" t="str">
            <v>P</v>
          </cell>
          <cell r="H6757">
            <v>0</v>
          </cell>
        </row>
        <row r="6758">
          <cell r="A6758" t="str">
            <v>4;02;Q2;P;</v>
          </cell>
          <cell r="B6758">
            <v>730069</v>
          </cell>
          <cell r="C6758" t="str">
            <v>Q2</v>
          </cell>
          <cell r="D6758" t="str">
            <v>BALEARES PORTUGAL AÉREO 2</v>
          </cell>
          <cell r="E6758" t="str">
            <v>02</v>
          </cell>
          <cell r="F6758" t="str">
            <v/>
          </cell>
          <cell r="G6758" t="str">
            <v>P</v>
          </cell>
          <cell r="H6758">
            <v>0</v>
          </cell>
        </row>
        <row r="6759">
          <cell r="A6759" t="str">
            <v>4;08;Q2;B;BAG</v>
          </cell>
          <cell r="B6759">
            <v>730069</v>
          </cell>
          <cell r="C6759" t="str">
            <v>Q2</v>
          </cell>
          <cell r="D6759" t="str">
            <v>BALEARES PORTUGAL AÉREO 2</v>
          </cell>
          <cell r="E6759" t="str">
            <v>08</v>
          </cell>
          <cell r="F6759" t="str">
            <v>BAG</v>
          </cell>
          <cell r="G6759" t="str">
            <v>B</v>
          </cell>
          <cell r="H6759">
            <v>8</v>
          </cell>
        </row>
        <row r="6760">
          <cell r="A6760" t="str">
            <v>1;08;Q2;B;BAG</v>
          </cell>
          <cell r="B6760">
            <v>730069</v>
          </cell>
          <cell r="C6760" t="str">
            <v>Q2</v>
          </cell>
          <cell r="D6760" t="str">
            <v>BALEARES PORTUGAL AÉREO 2</v>
          </cell>
          <cell r="E6760" t="str">
            <v>08</v>
          </cell>
          <cell r="F6760" t="str">
            <v>BAG</v>
          </cell>
          <cell r="G6760" t="str">
            <v>B</v>
          </cell>
          <cell r="H6760">
            <v>16.39</v>
          </cell>
        </row>
        <row r="6761">
          <cell r="A6761" t="str">
            <v>4;08;Q2;B;DOCS</v>
          </cell>
          <cell r="B6761">
            <v>730069</v>
          </cell>
          <cell r="C6761" t="str">
            <v>Q2</v>
          </cell>
          <cell r="D6761" t="str">
            <v>BALEARES PORTUGAL AÉREO 2</v>
          </cell>
          <cell r="E6761" t="str">
            <v>08</v>
          </cell>
          <cell r="F6761" t="str">
            <v>DOCS</v>
          </cell>
          <cell r="G6761" t="str">
            <v>B</v>
          </cell>
          <cell r="H6761">
            <v>8</v>
          </cell>
        </row>
        <row r="6762">
          <cell r="A6762" t="str">
            <v>1;08;Q2;B;DOCS</v>
          </cell>
          <cell r="B6762">
            <v>730069</v>
          </cell>
          <cell r="C6762" t="str">
            <v>Q2</v>
          </cell>
          <cell r="D6762" t="str">
            <v>BALEARES PORTUGAL AÉREO 2</v>
          </cell>
          <cell r="E6762" t="str">
            <v>08</v>
          </cell>
          <cell r="F6762" t="str">
            <v>DOCS</v>
          </cell>
          <cell r="G6762" t="str">
            <v>B</v>
          </cell>
          <cell r="H6762">
            <v>9.31</v>
          </cell>
        </row>
        <row r="6763">
          <cell r="A6763" t="str">
            <v>1;08;Q2;B;PAQ00a02</v>
          </cell>
          <cell r="B6763">
            <v>730069</v>
          </cell>
          <cell r="C6763" t="str">
            <v>Q2</v>
          </cell>
          <cell r="D6763" t="str">
            <v>BALEARES PORTUGAL AÉREO 2</v>
          </cell>
          <cell r="E6763" t="str">
            <v>08</v>
          </cell>
          <cell r="F6763" t="str">
            <v>PAQ00a02</v>
          </cell>
          <cell r="G6763" t="str">
            <v>B</v>
          </cell>
          <cell r="H6763">
            <v>18.91</v>
          </cell>
        </row>
        <row r="6764">
          <cell r="A6764" t="str">
            <v>4;08;Q2;B;PAQ00a02</v>
          </cell>
          <cell r="B6764">
            <v>730069</v>
          </cell>
          <cell r="C6764" t="str">
            <v>Q2</v>
          </cell>
          <cell r="D6764" t="str">
            <v>BALEARES PORTUGAL AÉREO 2</v>
          </cell>
          <cell r="E6764" t="str">
            <v>08</v>
          </cell>
          <cell r="F6764" t="str">
            <v>PAQ00a02</v>
          </cell>
          <cell r="G6764" t="str">
            <v>B</v>
          </cell>
          <cell r="H6764">
            <v>8</v>
          </cell>
        </row>
        <row r="6765">
          <cell r="A6765" t="str">
            <v>4;08;Q2;B;PAQ02a04</v>
          </cell>
          <cell r="B6765">
            <v>730069</v>
          </cell>
          <cell r="C6765" t="str">
            <v>Q2</v>
          </cell>
          <cell r="D6765" t="str">
            <v>BALEARES PORTUGAL AÉREO 2</v>
          </cell>
          <cell r="E6765" t="str">
            <v>08</v>
          </cell>
          <cell r="F6765" t="str">
            <v>PAQ02a04</v>
          </cell>
          <cell r="G6765" t="str">
            <v>B</v>
          </cell>
          <cell r="H6765">
            <v>8</v>
          </cell>
        </row>
        <row r="6766">
          <cell r="A6766" t="str">
            <v>1;08;Q2;B;PAQ02a04</v>
          </cell>
          <cell r="B6766">
            <v>730069</v>
          </cell>
          <cell r="C6766" t="str">
            <v>Q2</v>
          </cell>
          <cell r="D6766" t="str">
            <v>BALEARES PORTUGAL AÉREO 2</v>
          </cell>
          <cell r="E6766" t="str">
            <v>08</v>
          </cell>
          <cell r="F6766" t="str">
            <v>PAQ02a04</v>
          </cell>
          <cell r="G6766" t="str">
            <v>B</v>
          </cell>
          <cell r="H6766">
            <v>27.72</v>
          </cell>
        </row>
        <row r="6767">
          <cell r="A6767" t="str">
            <v>1;08;Q2;B;PAQ04a06</v>
          </cell>
          <cell r="B6767">
            <v>730069</v>
          </cell>
          <cell r="C6767" t="str">
            <v>Q2</v>
          </cell>
          <cell r="D6767" t="str">
            <v>BALEARES PORTUGAL AÉREO 2</v>
          </cell>
          <cell r="E6767" t="str">
            <v>08</v>
          </cell>
          <cell r="F6767" t="str">
            <v>PAQ04a06</v>
          </cell>
          <cell r="G6767" t="str">
            <v>B</v>
          </cell>
          <cell r="H6767">
            <v>37.07</v>
          </cell>
        </row>
        <row r="6768">
          <cell r="A6768" t="str">
            <v>4;08;Q2;B;PAQ04a06</v>
          </cell>
          <cell r="B6768">
            <v>730069</v>
          </cell>
          <cell r="C6768" t="str">
            <v>Q2</v>
          </cell>
          <cell r="D6768" t="str">
            <v>BALEARES PORTUGAL AÉREO 2</v>
          </cell>
          <cell r="E6768" t="str">
            <v>08</v>
          </cell>
          <cell r="F6768" t="str">
            <v>PAQ04a06</v>
          </cell>
          <cell r="G6768" t="str">
            <v>B</v>
          </cell>
          <cell r="H6768">
            <v>8</v>
          </cell>
        </row>
        <row r="6769">
          <cell r="A6769" t="str">
            <v>4;08;Q2;B;PAQ06a08</v>
          </cell>
          <cell r="B6769">
            <v>730069</v>
          </cell>
          <cell r="C6769" t="str">
            <v>Q2</v>
          </cell>
          <cell r="D6769" t="str">
            <v>BALEARES PORTUGAL AÉREO 2</v>
          </cell>
          <cell r="E6769" t="str">
            <v>08</v>
          </cell>
          <cell r="F6769" t="str">
            <v>PAQ06a08</v>
          </cell>
          <cell r="G6769" t="str">
            <v>B</v>
          </cell>
          <cell r="H6769">
            <v>8</v>
          </cell>
        </row>
        <row r="6770">
          <cell r="A6770" t="str">
            <v>1;08;Q2;B;PAQ06a08</v>
          </cell>
          <cell r="B6770">
            <v>730069</v>
          </cell>
          <cell r="C6770" t="str">
            <v>Q2</v>
          </cell>
          <cell r="D6770" t="str">
            <v>BALEARES PORTUGAL AÉREO 2</v>
          </cell>
          <cell r="E6770" t="str">
            <v>08</v>
          </cell>
          <cell r="F6770" t="str">
            <v>PAQ06a08</v>
          </cell>
          <cell r="G6770" t="str">
            <v>B</v>
          </cell>
          <cell r="H6770">
            <v>44.95</v>
          </cell>
        </row>
        <row r="6771">
          <cell r="A6771" t="str">
            <v>1;08;Q2;B;PAQ08a10</v>
          </cell>
          <cell r="B6771">
            <v>730069</v>
          </cell>
          <cell r="C6771" t="str">
            <v>Q2</v>
          </cell>
          <cell r="D6771" t="str">
            <v>BALEARES PORTUGAL AÉREO 2</v>
          </cell>
          <cell r="E6771" t="str">
            <v>08</v>
          </cell>
          <cell r="F6771" t="str">
            <v>PAQ08a10</v>
          </cell>
          <cell r="G6771" t="str">
            <v>B</v>
          </cell>
          <cell r="H6771">
            <v>52.65</v>
          </cell>
        </row>
        <row r="6772">
          <cell r="A6772" t="str">
            <v>4;08;Q2;B;PAQ08a10</v>
          </cell>
          <cell r="B6772">
            <v>730069</v>
          </cell>
          <cell r="C6772" t="str">
            <v>Q2</v>
          </cell>
          <cell r="D6772" t="str">
            <v>BALEARES PORTUGAL AÉREO 2</v>
          </cell>
          <cell r="E6772" t="str">
            <v>08</v>
          </cell>
          <cell r="F6772" t="str">
            <v>PAQ08a10</v>
          </cell>
          <cell r="G6772" t="str">
            <v>B</v>
          </cell>
          <cell r="H6772">
            <v>8</v>
          </cell>
        </row>
        <row r="6773">
          <cell r="A6773" t="str">
            <v>4;08;Q2;B;PAQ10a12</v>
          </cell>
          <cell r="B6773">
            <v>730069</v>
          </cell>
          <cell r="C6773" t="str">
            <v>Q2</v>
          </cell>
          <cell r="D6773" t="str">
            <v>BALEARES PORTUGAL AÉREO 2</v>
          </cell>
          <cell r="E6773" t="str">
            <v>08</v>
          </cell>
          <cell r="F6773" t="str">
            <v>PAQ10a12</v>
          </cell>
          <cell r="G6773" t="str">
            <v>B</v>
          </cell>
          <cell r="H6773">
            <v>8</v>
          </cell>
        </row>
        <row r="6774">
          <cell r="A6774" t="str">
            <v>1;08;Q2;B;PAQ10a12</v>
          </cell>
          <cell r="B6774">
            <v>730069</v>
          </cell>
          <cell r="C6774" t="str">
            <v>Q2</v>
          </cell>
          <cell r="D6774" t="str">
            <v>BALEARES PORTUGAL AÉREO 2</v>
          </cell>
          <cell r="E6774" t="str">
            <v>08</v>
          </cell>
          <cell r="F6774" t="str">
            <v>PAQ10a12</v>
          </cell>
          <cell r="G6774" t="str">
            <v>B</v>
          </cell>
          <cell r="H6774">
            <v>62.25</v>
          </cell>
        </row>
        <row r="6775">
          <cell r="A6775" t="str">
            <v>1;08;Q2;B;PAQ12a14</v>
          </cell>
          <cell r="B6775">
            <v>730069</v>
          </cell>
          <cell r="C6775" t="str">
            <v>Q2</v>
          </cell>
          <cell r="D6775" t="str">
            <v>BALEARES PORTUGAL AÉREO 2</v>
          </cell>
          <cell r="E6775" t="str">
            <v>08</v>
          </cell>
          <cell r="F6775" t="str">
            <v>PAQ12a14</v>
          </cell>
          <cell r="G6775" t="str">
            <v>B</v>
          </cell>
          <cell r="H6775">
            <v>71.849999999999994</v>
          </cell>
        </row>
        <row r="6776">
          <cell r="A6776" t="str">
            <v>4;08;Q2;B;PAQ12a14</v>
          </cell>
          <cell r="B6776">
            <v>730069</v>
          </cell>
          <cell r="C6776" t="str">
            <v>Q2</v>
          </cell>
          <cell r="D6776" t="str">
            <v>BALEARES PORTUGAL AÉREO 2</v>
          </cell>
          <cell r="E6776" t="str">
            <v>08</v>
          </cell>
          <cell r="F6776" t="str">
            <v>PAQ12a14</v>
          </cell>
          <cell r="G6776" t="str">
            <v>B</v>
          </cell>
          <cell r="H6776">
            <v>8</v>
          </cell>
        </row>
        <row r="6777">
          <cell r="A6777" t="str">
            <v>1;08;Q2;B;PAQ14a16</v>
          </cell>
          <cell r="B6777">
            <v>730069</v>
          </cell>
          <cell r="C6777" t="str">
            <v>Q2</v>
          </cell>
          <cell r="D6777" t="str">
            <v>BALEARES PORTUGAL AÉREO 2</v>
          </cell>
          <cell r="E6777" t="str">
            <v>08</v>
          </cell>
          <cell r="F6777" t="str">
            <v>PAQ14a16</v>
          </cell>
          <cell r="G6777" t="str">
            <v>B</v>
          </cell>
          <cell r="H6777">
            <v>81.45</v>
          </cell>
        </row>
        <row r="6778">
          <cell r="A6778" t="str">
            <v>4;08;Q2;B;PAQ14a16</v>
          </cell>
          <cell r="B6778">
            <v>730069</v>
          </cell>
          <cell r="C6778" t="str">
            <v>Q2</v>
          </cell>
          <cell r="D6778" t="str">
            <v>BALEARES PORTUGAL AÉREO 2</v>
          </cell>
          <cell r="E6778" t="str">
            <v>08</v>
          </cell>
          <cell r="F6778" t="str">
            <v>PAQ14a16</v>
          </cell>
          <cell r="G6778" t="str">
            <v>B</v>
          </cell>
          <cell r="H6778">
            <v>8</v>
          </cell>
        </row>
        <row r="6779">
          <cell r="A6779" t="str">
            <v>1;08;Q2;B;PAQ16a18</v>
          </cell>
          <cell r="B6779">
            <v>730069</v>
          </cell>
          <cell r="C6779" t="str">
            <v>Q2</v>
          </cell>
          <cell r="D6779" t="str">
            <v>BALEARES PORTUGAL AÉREO 2</v>
          </cell>
          <cell r="E6779" t="str">
            <v>08</v>
          </cell>
          <cell r="F6779" t="str">
            <v>PAQ16a18</v>
          </cell>
          <cell r="G6779" t="str">
            <v>B</v>
          </cell>
          <cell r="H6779">
            <v>91.05</v>
          </cell>
        </row>
        <row r="6780">
          <cell r="A6780" t="str">
            <v>4;08;Q2;B;PAQ16a18</v>
          </cell>
          <cell r="B6780">
            <v>730069</v>
          </cell>
          <cell r="C6780" t="str">
            <v>Q2</v>
          </cell>
          <cell r="D6780" t="str">
            <v>BALEARES PORTUGAL AÉREO 2</v>
          </cell>
          <cell r="E6780" t="str">
            <v>08</v>
          </cell>
          <cell r="F6780" t="str">
            <v>PAQ16a18</v>
          </cell>
          <cell r="G6780" t="str">
            <v>B</v>
          </cell>
          <cell r="H6780">
            <v>8</v>
          </cell>
        </row>
        <row r="6781">
          <cell r="A6781" t="str">
            <v>4;08;Q2;B;PAQ18a20</v>
          </cell>
          <cell r="B6781">
            <v>730069</v>
          </cell>
          <cell r="C6781" t="str">
            <v>Q2</v>
          </cell>
          <cell r="D6781" t="str">
            <v>BALEARES PORTUGAL AÉREO 2</v>
          </cell>
          <cell r="E6781" t="str">
            <v>08</v>
          </cell>
          <cell r="F6781" t="str">
            <v>PAQ18a20</v>
          </cell>
          <cell r="G6781" t="str">
            <v>B</v>
          </cell>
          <cell r="H6781">
            <v>8</v>
          </cell>
        </row>
        <row r="6782">
          <cell r="A6782" t="str">
            <v>1;08;Q2;B;PAQ18a20</v>
          </cell>
          <cell r="B6782">
            <v>730069</v>
          </cell>
          <cell r="C6782" t="str">
            <v>Q2</v>
          </cell>
          <cell r="D6782" t="str">
            <v>BALEARES PORTUGAL AÉREO 2</v>
          </cell>
          <cell r="E6782" t="str">
            <v>08</v>
          </cell>
          <cell r="F6782" t="str">
            <v>PAQ18a20</v>
          </cell>
          <cell r="G6782" t="str">
            <v>B</v>
          </cell>
          <cell r="H6782">
            <v>100.65</v>
          </cell>
        </row>
        <row r="6783">
          <cell r="A6783" t="str">
            <v>4;08;Q2;B;PAQ20a22</v>
          </cell>
          <cell r="B6783">
            <v>730069</v>
          </cell>
          <cell r="C6783" t="str">
            <v>Q2</v>
          </cell>
          <cell r="D6783" t="str">
            <v>BALEARES PORTUGAL AÉREO 2</v>
          </cell>
          <cell r="E6783" t="str">
            <v>08</v>
          </cell>
          <cell r="F6783" t="str">
            <v>PAQ20a22</v>
          </cell>
          <cell r="G6783" t="str">
            <v>B</v>
          </cell>
          <cell r="H6783">
            <v>8</v>
          </cell>
        </row>
        <row r="6784">
          <cell r="A6784" t="str">
            <v>1;08;Q2;B;PAQ20a22</v>
          </cell>
          <cell r="B6784">
            <v>730069</v>
          </cell>
          <cell r="C6784" t="str">
            <v>Q2</v>
          </cell>
          <cell r="D6784" t="str">
            <v>BALEARES PORTUGAL AÉREO 2</v>
          </cell>
          <cell r="E6784" t="str">
            <v>08</v>
          </cell>
          <cell r="F6784" t="str">
            <v>PAQ20a22</v>
          </cell>
          <cell r="G6784" t="str">
            <v>B</v>
          </cell>
          <cell r="H6784">
            <v>110.25</v>
          </cell>
        </row>
        <row r="6785">
          <cell r="A6785" t="str">
            <v>4;08;Q2;B;PAQ22a24</v>
          </cell>
          <cell r="B6785">
            <v>730069</v>
          </cell>
          <cell r="C6785" t="str">
            <v>Q2</v>
          </cell>
          <cell r="D6785" t="str">
            <v>BALEARES PORTUGAL AÉREO 2</v>
          </cell>
          <cell r="E6785" t="str">
            <v>08</v>
          </cell>
          <cell r="F6785" t="str">
            <v>PAQ22a24</v>
          </cell>
          <cell r="G6785" t="str">
            <v>B</v>
          </cell>
          <cell r="H6785">
            <v>8</v>
          </cell>
        </row>
        <row r="6786">
          <cell r="A6786" t="str">
            <v>1;08;Q2;B;PAQ22a24</v>
          </cell>
          <cell r="B6786">
            <v>730069</v>
          </cell>
          <cell r="C6786" t="str">
            <v>Q2</v>
          </cell>
          <cell r="D6786" t="str">
            <v>BALEARES PORTUGAL AÉREO 2</v>
          </cell>
          <cell r="E6786" t="str">
            <v>08</v>
          </cell>
          <cell r="F6786" t="str">
            <v>PAQ22a24</v>
          </cell>
          <cell r="G6786" t="str">
            <v>B</v>
          </cell>
          <cell r="H6786">
            <v>119.85</v>
          </cell>
        </row>
        <row r="6787">
          <cell r="A6787" t="str">
            <v>4;08;Q2;B;PAQ24a26</v>
          </cell>
          <cell r="B6787">
            <v>730069</v>
          </cell>
          <cell r="C6787" t="str">
            <v>Q2</v>
          </cell>
          <cell r="D6787" t="str">
            <v>BALEARES PORTUGAL AÉREO 2</v>
          </cell>
          <cell r="E6787" t="str">
            <v>08</v>
          </cell>
          <cell r="F6787" t="str">
            <v>PAQ24a26</v>
          </cell>
          <cell r="G6787" t="str">
            <v>B</v>
          </cell>
          <cell r="H6787">
            <v>8</v>
          </cell>
        </row>
        <row r="6788">
          <cell r="A6788" t="str">
            <v>1;08;Q2;B;PAQ24a26</v>
          </cell>
          <cell r="B6788">
            <v>730069</v>
          </cell>
          <cell r="C6788" t="str">
            <v>Q2</v>
          </cell>
          <cell r="D6788" t="str">
            <v>BALEARES PORTUGAL AÉREO 2</v>
          </cell>
          <cell r="E6788" t="str">
            <v>08</v>
          </cell>
          <cell r="F6788" t="str">
            <v>PAQ24a26</v>
          </cell>
          <cell r="G6788" t="str">
            <v>B</v>
          </cell>
          <cell r="H6788">
            <v>129.44999999999999</v>
          </cell>
        </row>
        <row r="6789">
          <cell r="A6789" t="str">
            <v>4;08;Q2;B;PAQ26a28</v>
          </cell>
          <cell r="B6789">
            <v>730069</v>
          </cell>
          <cell r="C6789" t="str">
            <v>Q2</v>
          </cell>
          <cell r="D6789" t="str">
            <v>BALEARES PORTUGAL AÉREO 2</v>
          </cell>
          <cell r="E6789" t="str">
            <v>08</v>
          </cell>
          <cell r="F6789" t="str">
            <v>PAQ26a28</v>
          </cell>
          <cell r="G6789" t="str">
            <v>B</v>
          </cell>
          <cell r="H6789">
            <v>8</v>
          </cell>
        </row>
        <row r="6790">
          <cell r="A6790" t="str">
            <v>1;08;Q2;B;PAQ26a28</v>
          </cell>
          <cell r="B6790">
            <v>730069</v>
          </cell>
          <cell r="C6790" t="str">
            <v>Q2</v>
          </cell>
          <cell r="D6790" t="str">
            <v>BALEARES PORTUGAL AÉREO 2</v>
          </cell>
          <cell r="E6790" t="str">
            <v>08</v>
          </cell>
          <cell r="F6790" t="str">
            <v>PAQ26a28</v>
          </cell>
          <cell r="G6790" t="str">
            <v>B</v>
          </cell>
          <cell r="H6790">
            <v>139.05000000000001</v>
          </cell>
        </row>
        <row r="6791">
          <cell r="A6791" t="str">
            <v>1;08;Q2;B;PAQ28a30</v>
          </cell>
          <cell r="B6791">
            <v>730069</v>
          </cell>
          <cell r="C6791" t="str">
            <v>Q2</v>
          </cell>
          <cell r="D6791" t="str">
            <v>BALEARES PORTUGAL AÉREO 2</v>
          </cell>
          <cell r="E6791" t="str">
            <v>08</v>
          </cell>
          <cell r="F6791" t="str">
            <v>PAQ28a30</v>
          </cell>
          <cell r="G6791" t="str">
            <v>B</v>
          </cell>
          <cell r="H6791">
            <v>148.65</v>
          </cell>
        </row>
        <row r="6792">
          <cell r="A6792" t="str">
            <v>4;08;Q2;B;PAQ28a30</v>
          </cell>
          <cell r="B6792">
            <v>730069</v>
          </cell>
          <cell r="C6792" t="str">
            <v>Q2</v>
          </cell>
          <cell r="D6792" t="str">
            <v>BALEARES PORTUGAL AÉREO 2</v>
          </cell>
          <cell r="E6792" t="str">
            <v>08</v>
          </cell>
          <cell r="F6792" t="str">
            <v>PAQ28a30</v>
          </cell>
          <cell r="G6792" t="str">
            <v>B</v>
          </cell>
          <cell r="H6792">
            <v>8</v>
          </cell>
        </row>
        <row r="6793">
          <cell r="A6793" t="str">
            <v>4;08;Q2;B;PAQ30a32</v>
          </cell>
          <cell r="B6793">
            <v>730069</v>
          </cell>
          <cell r="C6793" t="str">
            <v>Q2</v>
          </cell>
          <cell r="D6793" t="str">
            <v>BALEARES PORTUGAL AÉREO 2</v>
          </cell>
          <cell r="E6793" t="str">
            <v>08</v>
          </cell>
          <cell r="F6793" t="str">
            <v>PAQ30a32</v>
          </cell>
          <cell r="G6793" t="str">
            <v>B</v>
          </cell>
          <cell r="H6793">
            <v>8</v>
          </cell>
        </row>
        <row r="6794">
          <cell r="A6794" t="str">
            <v>1;08;Q2;B;PAQ30a32</v>
          </cell>
          <cell r="B6794">
            <v>730069</v>
          </cell>
          <cell r="C6794" t="str">
            <v>Q2</v>
          </cell>
          <cell r="D6794" t="str">
            <v>BALEARES PORTUGAL AÉREO 2</v>
          </cell>
          <cell r="E6794" t="str">
            <v>08</v>
          </cell>
          <cell r="F6794" t="str">
            <v>PAQ30a32</v>
          </cell>
          <cell r="G6794" t="str">
            <v>B</v>
          </cell>
          <cell r="H6794">
            <v>158.25</v>
          </cell>
        </row>
        <row r="6795">
          <cell r="A6795" t="str">
            <v>1;08;Q2;B;PAQ32a34</v>
          </cell>
          <cell r="B6795">
            <v>730069</v>
          </cell>
          <cell r="C6795" t="str">
            <v>Q2</v>
          </cell>
          <cell r="D6795" t="str">
            <v>BALEARES PORTUGAL AÉREO 2</v>
          </cell>
          <cell r="E6795" t="str">
            <v>08</v>
          </cell>
          <cell r="F6795" t="str">
            <v>PAQ32a34</v>
          </cell>
          <cell r="G6795" t="str">
            <v>B</v>
          </cell>
          <cell r="H6795">
            <v>167.85</v>
          </cell>
        </row>
        <row r="6796">
          <cell r="A6796" t="str">
            <v>4;08;Q2;B;PAQ32a34</v>
          </cell>
          <cell r="B6796">
            <v>730069</v>
          </cell>
          <cell r="C6796" t="str">
            <v>Q2</v>
          </cell>
          <cell r="D6796" t="str">
            <v>BALEARES PORTUGAL AÉREO 2</v>
          </cell>
          <cell r="E6796" t="str">
            <v>08</v>
          </cell>
          <cell r="F6796" t="str">
            <v>PAQ32a34</v>
          </cell>
          <cell r="G6796" t="str">
            <v>B</v>
          </cell>
          <cell r="H6796">
            <v>8</v>
          </cell>
        </row>
        <row r="6797">
          <cell r="A6797" t="str">
            <v>1;08;Q2;B;PAQ34a36</v>
          </cell>
          <cell r="B6797">
            <v>730069</v>
          </cell>
          <cell r="C6797" t="str">
            <v>Q2</v>
          </cell>
          <cell r="D6797" t="str">
            <v>BALEARES PORTUGAL AÉREO 2</v>
          </cell>
          <cell r="E6797" t="str">
            <v>08</v>
          </cell>
          <cell r="F6797" t="str">
            <v>PAQ34a36</v>
          </cell>
          <cell r="G6797" t="str">
            <v>B</v>
          </cell>
          <cell r="H6797">
            <v>177.45</v>
          </cell>
        </row>
        <row r="6798">
          <cell r="A6798" t="str">
            <v>4;08;Q2;B;PAQ34a36</v>
          </cell>
          <cell r="B6798">
            <v>730069</v>
          </cell>
          <cell r="C6798" t="str">
            <v>Q2</v>
          </cell>
          <cell r="D6798" t="str">
            <v>BALEARES PORTUGAL AÉREO 2</v>
          </cell>
          <cell r="E6798" t="str">
            <v>08</v>
          </cell>
          <cell r="F6798" t="str">
            <v>PAQ34a36</v>
          </cell>
          <cell r="G6798" t="str">
            <v>B</v>
          </cell>
          <cell r="H6798">
            <v>8</v>
          </cell>
        </row>
        <row r="6799">
          <cell r="A6799" t="str">
            <v>1;08;Q2;B;PAQ36a38</v>
          </cell>
          <cell r="B6799">
            <v>730069</v>
          </cell>
          <cell r="C6799" t="str">
            <v>Q2</v>
          </cell>
          <cell r="D6799" t="str">
            <v>BALEARES PORTUGAL AÉREO 2</v>
          </cell>
          <cell r="E6799" t="str">
            <v>08</v>
          </cell>
          <cell r="F6799" t="str">
            <v>PAQ36a38</v>
          </cell>
          <cell r="G6799" t="str">
            <v>B</v>
          </cell>
          <cell r="H6799">
            <v>187.05</v>
          </cell>
        </row>
        <row r="6800">
          <cell r="A6800" t="str">
            <v>4;08;Q2;B;PAQ36a38</v>
          </cell>
          <cell r="B6800">
            <v>730069</v>
          </cell>
          <cell r="C6800" t="str">
            <v>Q2</v>
          </cell>
          <cell r="D6800" t="str">
            <v>BALEARES PORTUGAL AÉREO 2</v>
          </cell>
          <cell r="E6800" t="str">
            <v>08</v>
          </cell>
          <cell r="F6800" t="str">
            <v>PAQ36a38</v>
          </cell>
          <cell r="G6800" t="str">
            <v>B</v>
          </cell>
          <cell r="H6800">
            <v>8</v>
          </cell>
        </row>
        <row r="6801">
          <cell r="A6801" t="str">
            <v>1;08;Q2;F;</v>
          </cell>
          <cell r="B6801">
            <v>730069</v>
          </cell>
          <cell r="C6801" t="str">
            <v>Q2</v>
          </cell>
          <cell r="D6801" t="str">
            <v>BALEARES PORTUGAL AÉREO 2</v>
          </cell>
          <cell r="E6801" t="str">
            <v>08</v>
          </cell>
          <cell r="F6801" t="str">
            <v/>
          </cell>
          <cell r="G6801" t="str">
            <v>F</v>
          </cell>
          <cell r="H6801">
            <v>9.6</v>
          </cell>
        </row>
        <row r="6802">
          <cell r="A6802" t="str">
            <v>1;08;Q2;B;PAQ38a40</v>
          </cell>
          <cell r="B6802">
            <v>730069</v>
          </cell>
          <cell r="C6802" t="str">
            <v>Q2</v>
          </cell>
          <cell r="D6802" t="str">
            <v>BALEARES PORTUGAL AÉREO 2</v>
          </cell>
          <cell r="E6802" t="str">
            <v>08</v>
          </cell>
          <cell r="F6802" t="str">
            <v>PAQ38a40</v>
          </cell>
          <cell r="G6802" t="str">
            <v>B</v>
          </cell>
          <cell r="H6802">
            <v>196.65</v>
          </cell>
        </row>
        <row r="6803">
          <cell r="A6803" t="str">
            <v>4;08;Q2;B;PAQ38a40</v>
          </cell>
          <cell r="B6803">
            <v>730069</v>
          </cell>
          <cell r="C6803" t="str">
            <v>Q2</v>
          </cell>
          <cell r="D6803" t="str">
            <v>BALEARES PORTUGAL AÉREO 2</v>
          </cell>
          <cell r="E6803" t="str">
            <v>08</v>
          </cell>
          <cell r="F6803" t="str">
            <v>PAQ38a40</v>
          </cell>
          <cell r="G6803" t="str">
            <v>B</v>
          </cell>
          <cell r="H6803">
            <v>8</v>
          </cell>
        </row>
        <row r="6804">
          <cell r="A6804" t="str">
            <v>4;08;Q2;F;</v>
          </cell>
          <cell r="B6804">
            <v>730069</v>
          </cell>
          <cell r="C6804" t="str">
            <v>Q2</v>
          </cell>
          <cell r="D6804" t="str">
            <v>BALEARES PORTUGAL AÉREO 2</v>
          </cell>
          <cell r="E6804" t="str">
            <v>08</v>
          </cell>
          <cell r="F6804" t="str">
            <v/>
          </cell>
          <cell r="G6804" t="str">
            <v>F</v>
          </cell>
          <cell r="H6804">
            <v>0</v>
          </cell>
        </row>
        <row r="6805">
          <cell r="A6805" t="str">
            <v>4;08;Q2;P;</v>
          </cell>
          <cell r="B6805">
            <v>730069</v>
          </cell>
          <cell r="C6805" t="str">
            <v>Q2</v>
          </cell>
          <cell r="D6805" t="str">
            <v>BALEARES PORTUGAL AÉREO 2</v>
          </cell>
          <cell r="E6805" t="str">
            <v>08</v>
          </cell>
          <cell r="F6805" t="str">
            <v/>
          </cell>
          <cell r="G6805" t="str">
            <v>P</v>
          </cell>
          <cell r="H6805">
            <v>0</v>
          </cell>
        </row>
        <row r="6806">
          <cell r="A6806" t="str">
            <v>1;08;Q2;E;</v>
          </cell>
          <cell r="B6806">
            <v>730069</v>
          </cell>
          <cell r="C6806" t="str">
            <v>Q2</v>
          </cell>
          <cell r="D6806" t="str">
            <v>BALEARES PORTUGAL AÉREO 2</v>
          </cell>
          <cell r="E6806" t="str">
            <v>08</v>
          </cell>
          <cell r="F6806" t="str">
            <v/>
          </cell>
          <cell r="G6806" t="str">
            <v>E</v>
          </cell>
          <cell r="H6806">
            <v>0</v>
          </cell>
        </row>
        <row r="6807">
          <cell r="A6807" t="str">
            <v>1;08;Q2;P;</v>
          </cell>
          <cell r="B6807">
            <v>730069</v>
          </cell>
          <cell r="C6807" t="str">
            <v>Q2</v>
          </cell>
          <cell r="D6807" t="str">
            <v>BALEARES PORTUGAL AÉREO 2</v>
          </cell>
          <cell r="E6807" t="str">
            <v>08</v>
          </cell>
          <cell r="F6807" t="str">
            <v/>
          </cell>
          <cell r="G6807" t="str">
            <v>P</v>
          </cell>
          <cell r="H6807">
            <v>0</v>
          </cell>
        </row>
        <row r="6808">
          <cell r="A6808" t="str">
            <v>4;08;Q2;E;</v>
          </cell>
          <cell r="B6808">
            <v>730069</v>
          </cell>
          <cell r="C6808" t="str">
            <v>Q2</v>
          </cell>
          <cell r="D6808" t="str">
            <v>BALEARES PORTUGAL AÉREO 2</v>
          </cell>
          <cell r="E6808" t="str">
            <v>08</v>
          </cell>
          <cell r="F6808" t="str">
            <v/>
          </cell>
          <cell r="G6808" t="str">
            <v>E</v>
          </cell>
          <cell r="H6808">
            <v>0</v>
          </cell>
        </row>
        <row r="6809">
          <cell r="A6809" t="str">
            <v>4;11;Q2;B;BAG</v>
          </cell>
          <cell r="B6809">
            <v>730069</v>
          </cell>
          <cell r="C6809" t="str">
            <v>Q2</v>
          </cell>
          <cell r="D6809" t="str">
            <v>BALEARES PORTUGAL AÉREO 2</v>
          </cell>
          <cell r="E6809" t="str">
            <v>11</v>
          </cell>
          <cell r="F6809" t="str">
            <v>BAG</v>
          </cell>
          <cell r="G6809" t="str">
            <v>B</v>
          </cell>
          <cell r="H6809">
            <v>8</v>
          </cell>
        </row>
        <row r="6810">
          <cell r="A6810" t="str">
            <v>1;11;Q2;B;BAG</v>
          </cell>
          <cell r="B6810">
            <v>730069</v>
          </cell>
          <cell r="C6810" t="str">
            <v>Q2</v>
          </cell>
          <cell r="D6810" t="str">
            <v>BALEARES PORTUGAL AÉREO 2</v>
          </cell>
          <cell r="E6810" t="str">
            <v>11</v>
          </cell>
          <cell r="F6810" t="str">
            <v>BAG</v>
          </cell>
          <cell r="G6810" t="str">
            <v>B</v>
          </cell>
          <cell r="H6810">
            <v>37.4</v>
          </cell>
        </row>
        <row r="6811">
          <cell r="A6811" t="str">
            <v>1;11;Q2;B;PAQ00a02</v>
          </cell>
          <cell r="B6811">
            <v>730069</v>
          </cell>
          <cell r="C6811" t="str">
            <v>Q2</v>
          </cell>
          <cell r="D6811" t="str">
            <v>BALEARES PORTUGAL AÉREO 2</v>
          </cell>
          <cell r="E6811" t="str">
            <v>11</v>
          </cell>
          <cell r="F6811" t="str">
            <v>PAQ00a02</v>
          </cell>
          <cell r="G6811" t="str">
            <v>B</v>
          </cell>
          <cell r="H6811">
            <v>43.12</v>
          </cell>
        </row>
        <row r="6812">
          <cell r="A6812" t="str">
            <v>4;11;Q2;B;PAQ00a02</v>
          </cell>
          <cell r="B6812">
            <v>730069</v>
          </cell>
          <cell r="C6812" t="str">
            <v>Q2</v>
          </cell>
          <cell r="D6812" t="str">
            <v>BALEARES PORTUGAL AÉREO 2</v>
          </cell>
          <cell r="E6812" t="str">
            <v>11</v>
          </cell>
          <cell r="F6812" t="str">
            <v>PAQ00a02</v>
          </cell>
          <cell r="G6812" t="str">
            <v>B</v>
          </cell>
          <cell r="H6812">
            <v>8</v>
          </cell>
        </row>
        <row r="6813">
          <cell r="A6813" t="str">
            <v>4;11;Q2;B;PAQ02a04</v>
          </cell>
          <cell r="B6813">
            <v>730069</v>
          </cell>
          <cell r="C6813" t="str">
            <v>Q2</v>
          </cell>
          <cell r="D6813" t="str">
            <v>BALEARES PORTUGAL AÉREO 2</v>
          </cell>
          <cell r="E6813" t="str">
            <v>11</v>
          </cell>
          <cell r="F6813" t="str">
            <v>PAQ02a04</v>
          </cell>
          <cell r="G6813" t="str">
            <v>B</v>
          </cell>
          <cell r="H6813">
            <v>8</v>
          </cell>
        </row>
        <row r="6814">
          <cell r="A6814" t="str">
            <v>1;11;Q2;B;PAQ02a04</v>
          </cell>
          <cell r="B6814">
            <v>730069</v>
          </cell>
          <cell r="C6814" t="str">
            <v>Q2</v>
          </cell>
          <cell r="D6814" t="str">
            <v>BALEARES PORTUGAL AÉREO 2</v>
          </cell>
          <cell r="E6814" t="str">
            <v>11</v>
          </cell>
          <cell r="F6814" t="str">
            <v>PAQ02a04</v>
          </cell>
          <cell r="G6814" t="str">
            <v>B</v>
          </cell>
          <cell r="H6814">
            <v>64.88</v>
          </cell>
        </row>
        <row r="6815">
          <cell r="A6815" t="str">
            <v>1;11;Q2;B;PAQ04a06</v>
          </cell>
          <cell r="B6815">
            <v>730069</v>
          </cell>
          <cell r="C6815" t="str">
            <v>Q2</v>
          </cell>
          <cell r="D6815" t="str">
            <v>BALEARES PORTUGAL AÉREO 2</v>
          </cell>
          <cell r="E6815" t="str">
            <v>11</v>
          </cell>
          <cell r="F6815" t="str">
            <v>PAQ04a06</v>
          </cell>
          <cell r="G6815" t="str">
            <v>B</v>
          </cell>
          <cell r="H6815">
            <v>89.14</v>
          </cell>
        </row>
        <row r="6816">
          <cell r="A6816" t="str">
            <v>4;11;Q2;B;PAQ04a06</v>
          </cell>
          <cell r="B6816">
            <v>730069</v>
          </cell>
          <cell r="C6816" t="str">
            <v>Q2</v>
          </cell>
          <cell r="D6816" t="str">
            <v>BALEARES PORTUGAL AÉREO 2</v>
          </cell>
          <cell r="E6816" t="str">
            <v>11</v>
          </cell>
          <cell r="F6816" t="str">
            <v>PAQ04a06</v>
          </cell>
          <cell r="G6816" t="str">
            <v>B</v>
          </cell>
          <cell r="H6816">
            <v>8</v>
          </cell>
        </row>
        <row r="6817">
          <cell r="A6817" t="str">
            <v>1;11;Q2;B;PAQ06a08</v>
          </cell>
          <cell r="B6817">
            <v>730069</v>
          </cell>
          <cell r="C6817" t="str">
            <v>Q2</v>
          </cell>
          <cell r="D6817" t="str">
            <v>BALEARES PORTUGAL AÉREO 2</v>
          </cell>
          <cell r="E6817" t="str">
            <v>11</v>
          </cell>
          <cell r="F6817" t="str">
            <v>PAQ06a08</v>
          </cell>
          <cell r="G6817" t="str">
            <v>B</v>
          </cell>
          <cell r="H6817">
            <v>113.4</v>
          </cell>
        </row>
        <row r="6818">
          <cell r="A6818" t="str">
            <v>4;11;Q2;B;PAQ06a08</v>
          </cell>
          <cell r="B6818">
            <v>730069</v>
          </cell>
          <cell r="C6818" t="str">
            <v>Q2</v>
          </cell>
          <cell r="D6818" t="str">
            <v>BALEARES PORTUGAL AÉREO 2</v>
          </cell>
          <cell r="E6818" t="str">
            <v>11</v>
          </cell>
          <cell r="F6818" t="str">
            <v>PAQ06a08</v>
          </cell>
          <cell r="G6818" t="str">
            <v>B</v>
          </cell>
          <cell r="H6818">
            <v>8</v>
          </cell>
        </row>
        <row r="6819">
          <cell r="A6819" t="str">
            <v>1;11;Q2;B;PAQ08a10</v>
          </cell>
          <cell r="B6819">
            <v>730069</v>
          </cell>
          <cell r="C6819" t="str">
            <v>Q2</v>
          </cell>
          <cell r="D6819" t="str">
            <v>BALEARES PORTUGAL AÉREO 2</v>
          </cell>
          <cell r="E6819" t="str">
            <v>11</v>
          </cell>
          <cell r="F6819" t="str">
            <v>PAQ08a10</v>
          </cell>
          <cell r="G6819" t="str">
            <v>B</v>
          </cell>
          <cell r="H6819">
            <v>137.66999999999999</v>
          </cell>
        </row>
        <row r="6820">
          <cell r="A6820" t="str">
            <v>4;11;Q2;B;PAQ08a10</v>
          </cell>
          <cell r="B6820">
            <v>730069</v>
          </cell>
          <cell r="C6820" t="str">
            <v>Q2</v>
          </cell>
          <cell r="D6820" t="str">
            <v>BALEARES PORTUGAL AÉREO 2</v>
          </cell>
          <cell r="E6820" t="str">
            <v>11</v>
          </cell>
          <cell r="F6820" t="str">
            <v>PAQ08a10</v>
          </cell>
          <cell r="G6820" t="str">
            <v>B</v>
          </cell>
          <cell r="H6820">
            <v>8</v>
          </cell>
        </row>
        <row r="6821">
          <cell r="A6821" t="str">
            <v>4;11;Q2;B;PAQ10a12</v>
          </cell>
          <cell r="B6821">
            <v>730069</v>
          </cell>
          <cell r="C6821" t="str">
            <v>Q2</v>
          </cell>
          <cell r="D6821" t="str">
            <v>BALEARES PORTUGAL AÉREO 2</v>
          </cell>
          <cell r="E6821" t="str">
            <v>11</v>
          </cell>
          <cell r="F6821" t="str">
            <v>PAQ10a12</v>
          </cell>
          <cell r="G6821" t="str">
            <v>B</v>
          </cell>
          <cell r="H6821">
            <v>8</v>
          </cell>
        </row>
        <row r="6822">
          <cell r="A6822" t="str">
            <v>1;11;Q2;B;PAQ10a12</v>
          </cell>
          <cell r="B6822">
            <v>730069</v>
          </cell>
          <cell r="C6822" t="str">
            <v>Q2</v>
          </cell>
          <cell r="D6822" t="str">
            <v>BALEARES PORTUGAL AÉREO 2</v>
          </cell>
          <cell r="E6822" t="str">
            <v>11</v>
          </cell>
          <cell r="F6822" t="str">
            <v>PAQ10a12</v>
          </cell>
          <cell r="G6822" t="str">
            <v>B</v>
          </cell>
          <cell r="H6822">
            <v>161.94999999999999</v>
          </cell>
        </row>
        <row r="6823">
          <cell r="A6823" t="str">
            <v>4;11;Q2;B;PAQ12a14</v>
          </cell>
          <cell r="B6823">
            <v>730069</v>
          </cell>
          <cell r="C6823" t="str">
            <v>Q2</v>
          </cell>
          <cell r="D6823" t="str">
            <v>BALEARES PORTUGAL AÉREO 2</v>
          </cell>
          <cell r="E6823" t="str">
            <v>11</v>
          </cell>
          <cell r="F6823" t="str">
            <v>PAQ12a14</v>
          </cell>
          <cell r="G6823" t="str">
            <v>B</v>
          </cell>
          <cell r="H6823">
            <v>8</v>
          </cell>
        </row>
        <row r="6824">
          <cell r="A6824" t="str">
            <v>1;11;Q2;B;PAQ12a14</v>
          </cell>
          <cell r="B6824">
            <v>730069</v>
          </cell>
          <cell r="C6824" t="str">
            <v>Q2</v>
          </cell>
          <cell r="D6824" t="str">
            <v>BALEARES PORTUGAL AÉREO 2</v>
          </cell>
          <cell r="E6824" t="str">
            <v>11</v>
          </cell>
          <cell r="F6824" t="str">
            <v>PAQ12a14</v>
          </cell>
          <cell r="G6824" t="str">
            <v>B</v>
          </cell>
          <cell r="H6824">
            <v>186.2</v>
          </cell>
        </row>
        <row r="6825">
          <cell r="A6825" t="str">
            <v>1;11;Q2;B;PAQ14a16</v>
          </cell>
          <cell r="B6825">
            <v>730069</v>
          </cell>
          <cell r="C6825" t="str">
            <v>Q2</v>
          </cell>
          <cell r="D6825" t="str">
            <v>BALEARES PORTUGAL AÉREO 2</v>
          </cell>
          <cell r="E6825" t="str">
            <v>11</v>
          </cell>
          <cell r="F6825" t="str">
            <v>PAQ14a16</v>
          </cell>
          <cell r="G6825" t="str">
            <v>B</v>
          </cell>
          <cell r="H6825">
            <v>210.47</v>
          </cell>
        </row>
        <row r="6826">
          <cell r="A6826" t="str">
            <v>4;11;Q2;B;PAQ14a16</v>
          </cell>
          <cell r="B6826">
            <v>730069</v>
          </cell>
          <cell r="C6826" t="str">
            <v>Q2</v>
          </cell>
          <cell r="D6826" t="str">
            <v>BALEARES PORTUGAL AÉREO 2</v>
          </cell>
          <cell r="E6826" t="str">
            <v>11</v>
          </cell>
          <cell r="F6826" t="str">
            <v>PAQ14a16</v>
          </cell>
          <cell r="G6826" t="str">
            <v>B</v>
          </cell>
          <cell r="H6826">
            <v>8</v>
          </cell>
        </row>
        <row r="6827">
          <cell r="A6827" t="str">
            <v>4;11;Q2;B;PAQ16a18</v>
          </cell>
          <cell r="B6827">
            <v>730069</v>
          </cell>
          <cell r="C6827" t="str">
            <v>Q2</v>
          </cell>
          <cell r="D6827" t="str">
            <v>BALEARES PORTUGAL AÉREO 2</v>
          </cell>
          <cell r="E6827" t="str">
            <v>11</v>
          </cell>
          <cell r="F6827" t="str">
            <v>PAQ16a18</v>
          </cell>
          <cell r="G6827" t="str">
            <v>B</v>
          </cell>
          <cell r="H6827">
            <v>8</v>
          </cell>
        </row>
        <row r="6828">
          <cell r="A6828" t="str">
            <v>1;11;Q2;B;PAQ16a18</v>
          </cell>
          <cell r="B6828">
            <v>730069</v>
          </cell>
          <cell r="C6828" t="str">
            <v>Q2</v>
          </cell>
          <cell r="D6828" t="str">
            <v>BALEARES PORTUGAL AÉREO 2</v>
          </cell>
          <cell r="E6828" t="str">
            <v>11</v>
          </cell>
          <cell r="F6828" t="str">
            <v>PAQ16a18</v>
          </cell>
          <cell r="G6828" t="str">
            <v>B</v>
          </cell>
          <cell r="H6828">
            <v>234.74</v>
          </cell>
        </row>
        <row r="6829">
          <cell r="A6829" t="str">
            <v>4;11;Q2;B;PAQ18a20</v>
          </cell>
          <cell r="B6829">
            <v>730069</v>
          </cell>
          <cell r="C6829" t="str">
            <v>Q2</v>
          </cell>
          <cell r="D6829" t="str">
            <v>BALEARES PORTUGAL AÉREO 2</v>
          </cell>
          <cell r="E6829" t="str">
            <v>11</v>
          </cell>
          <cell r="F6829" t="str">
            <v>PAQ18a20</v>
          </cell>
          <cell r="G6829" t="str">
            <v>B</v>
          </cell>
          <cell r="H6829">
            <v>8</v>
          </cell>
        </row>
        <row r="6830">
          <cell r="A6830" t="str">
            <v>1;11;Q2;B;PAQ18a20</v>
          </cell>
          <cell r="B6830">
            <v>730069</v>
          </cell>
          <cell r="C6830" t="str">
            <v>Q2</v>
          </cell>
          <cell r="D6830" t="str">
            <v>BALEARES PORTUGAL AÉREO 2</v>
          </cell>
          <cell r="E6830" t="str">
            <v>11</v>
          </cell>
          <cell r="F6830" t="str">
            <v>PAQ18a20</v>
          </cell>
          <cell r="G6830" t="str">
            <v>B</v>
          </cell>
          <cell r="H6830">
            <v>259.01</v>
          </cell>
        </row>
        <row r="6831">
          <cell r="A6831" t="str">
            <v>4;11;Q2;B;PAQ20a22</v>
          </cell>
          <cell r="B6831">
            <v>730069</v>
          </cell>
          <cell r="C6831" t="str">
            <v>Q2</v>
          </cell>
          <cell r="D6831" t="str">
            <v>BALEARES PORTUGAL AÉREO 2</v>
          </cell>
          <cell r="E6831" t="str">
            <v>11</v>
          </cell>
          <cell r="F6831" t="str">
            <v>PAQ20a22</v>
          </cell>
          <cell r="G6831" t="str">
            <v>B</v>
          </cell>
          <cell r="H6831">
            <v>8</v>
          </cell>
        </row>
        <row r="6832">
          <cell r="A6832" t="str">
            <v>1;11;Q2;B;PAQ20a22</v>
          </cell>
          <cell r="B6832">
            <v>730069</v>
          </cell>
          <cell r="C6832" t="str">
            <v>Q2</v>
          </cell>
          <cell r="D6832" t="str">
            <v>BALEARES PORTUGAL AÉREO 2</v>
          </cell>
          <cell r="E6832" t="str">
            <v>11</v>
          </cell>
          <cell r="F6832" t="str">
            <v>PAQ20a22</v>
          </cell>
          <cell r="G6832" t="str">
            <v>B</v>
          </cell>
          <cell r="H6832">
            <v>283.27</v>
          </cell>
        </row>
        <row r="6833">
          <cell r="A6833" t="str">
            <v>4;11;Q2;B;PAQ22a24</v>
          </cell>
          <cell r="B6833">
            <v>730069</v>
          </cell>
          <cell r="C6833" t="str">
            <v>Q2</v>
          </cell>
          <cell r="D6833" t="str">
            <v>BALEARES PORTUGAL AÉREO 2</v>
          </cell>
          <cell r="E6833" t="str">
            <v>11</v>
          </cell>
          <cell r="F6833" t="str">
            <v>PAQ22a24</v>
          </cell>
          <cell r="G6833" t="str">
            <v>B</v>
          </cell>
          <cell r="H6833">
            <v>8</v>
          </cell>
        </row>
        <row r="6834">
          <cell r="A6834" t="str">
            <v>1;11;Q2;B;PAQ22a24</v>
          </cell>
          <cell r="B6834">
            <v>730069</v>
          </cell>
          <cell r="C6834" t="str">
            <v>Q2</v>
          </cell>
          <cell r="D6834" t="str">
            <v>BALEARES PORTUGAL AÉREO 2</v>
          </cell>
          <cell r="E6834" t="str">
            <v>11</v>
          </cell>
          <cell r="F6834" t="str">
            <v>PAQ22a24</v>
          </cell>
          <cell r="G6834" t="str">
            <v>B</v>
          </cell>
          <cell r="H6834">
            <v>307.54000000000002</v>
          </cell>
        </row>
        <row r="6835">
          <cell r="A6835" t="str">
            <v>1;11;Q2;B;PAQ24a26</v>
          </cell>
          <cell r="B6835">
            <v>730069</v>
          </cell>
          <cell r="C6835" t="str">
            <v>Q2</v>
          </cell>
          <cell r="D6835" t="str">
            <v>BALEARES PORTUGAL AÉREO 2</v>
          </cell>
          <cell r="E6835" t="str">
            <v>11</v>
          </cell>
          <cell r="F6835" t="str">
            <v>PAQ24a26</v>
          </cell>
          <cell r="G6835" t="str">
            <v>B</v>
          </cell>
          <cell r="H6835">
            <v>331.8</v>
          </cell>
        </row>
        <row r="6836">
          <cell r="A6836" t="str">
            <v>4;11;Q2;B;PAQ24a26</v>
          </cell>
          <cell r="B6836">
            <v>730069</v>
          </cell>
          <cell r="C6836" t="str">
            <v>Q2</v>
          </cell>
          <cell r="D6836" t="str">
            <v>BALEARES PORTUGAL AÉREO 2</v>
          </cell>
          <cell r="E6836" t="str">
            <v>11</v>
          </cell>
          <cell r="F6836" t="str">
            <v>PAQ24a26</v>
          </cell>
          <cell r="G6836" t="str">
            <v>B</v>
          </cell>
          <cell r="H6836">
            <v>8</v>
          </cell>
        </row>
        <row r="6837">
          <cell r="A6837" t="str">
            <v>1;11;Q2;B;PAQ26a28</v>
          </cell>
          <cell r="B6837">
            <v>730069</v>
          </cell>
          <cell r="C6837" t="str">
            <v>Q2</v>
          </cell>
          <cell r="D6837" t="str">
            <v>BALEARES PORTUGAL AÉREO 2</v>
          </cell>
          <cell r="E6837" t="str">
            <v>11</v>
          </cell>
          <cell r="F6837" t="str">
            <v>PAQ26a28</v>
          </cell>
          <cell r="G6837" t="str">
            <v>B</v>
          </cell>
          <cell r="H6837">
            <v>356.07</v>
          </cell>
        </row>
        <row r="6838">
          <cell r="A6838" t="str">
            <v>4;11;Q2;B;PAQ26a28</v>
          </cell>
          <cell r="B6838">
            <v>730069</v>
          </cell>
          <cell r="C6838" t="str">
            <v>Q2</v>
          </cell>
          <cell r="D6838" t="str">
            <v>BALEARES PORTUGAL AÉREO 2</v>
          </cell>
          <cell r="E6838" t="str">
            <v>11</v>
          </cell>
          <cell r="F6838" t="str">
            <v>PAQ26a28</v>
          </cell>
          <cell r="G6838" t="str">
            <v>B</v>
          </cell>
          <cell r="H6838">
            <v>8</v>
          </cell>
        </row>
        <row r="6839">
          <cell r="A6839" t="str">
            <v>1;11;Q2;B;PAQ28a30</v>
          </cell>
          <cell r="B6839">
            <v>730069</v>
          </cell>
          <cell r="C6839" t="str">
            <v>Q2</v>
          </cell>
          <cell r="D6839" t="str">
            <v>BALEARES PORTUGAL AÉREO 2</v>
          </cell>
          <cell r="E6839" t="str">
            <v>11</v>
          </cell>
          <cell r="F6839" t="str">
            <v>PAQ28a30</v>
          </cell>
          <cell r="G6839" t="str">
            <v>B</v>
          </cell>
          <cell r="H6839">
            <v>380.34</v>
          </cell>
        </row>
        <row r="6840">
          <cell r="A6840" t="str">
            <v>4;11;Q2;B;PAQ28a30</v>
          </cell>
          <cell r="B6840">
            <v>730069</v>
          </cell>
          <cell r="C6840" t="str">
            <v>Q2</v>
          </cell>
          <cell r="D6840" t="str">
            <v>BALEARES PORTUGAL AÉREO 2</v>
          </cell>
          <cell r="E6840" t="str">
            <v>11</v>
          </cell>
          <cell r="F6840" t="str">
            <v>PAQ28a30</v>
          </cell>
          <cell r="G6840" t="str">
            <v>B</v>
          </cell>
          <cell r="H6840">
            <v>8</v>
          </cell>
        </row>
        <row r="6841">
          <cell r="A6841" t="str">
            <v>4;11;Q2;B;PAQ30a32</v>
          </cell>
          <cell r="B6841">
            <v>730069</v>
          </cell>
          <cell r="C6841" t="str">
            <v>Q2</v>
          </cell>
          <cell r="D6841" t="str">
            <v>BALEARES PORTUGAL AÉREO 2</v>
          </cell>
          <cell r="E6841" t="str">
            <v>11</v>
          </cell>
          <cell r="F6841" t="str">
            <v>PAQ30a32</v>
          </cell>
          <cell r="G6841" t="str">
            <v>B</v>
          </cell>
          <cell r="H6841">
            <v>8</v>
          </cell>
        </row>
        <row r="6842">
          <cell r="A6842" t="str">
            <v>1;11;Q2;B;PAQ30a32</v>
          </cell>
          <cell r="B6842">
            <v>730069</v>
          </cell>
          <cell r="C6842" t="str">
            <v>Q2</v>
          </cell>
          <cell r="D6842" t="str">
            <v>BALEARES PORTUGAL AÉREO 2</v>
          </cell>
          <cell r="E6842" t="str">
            <v>11</v>
          </cell>
          <cell r="F6842" t="str">
            <v>PAQ30a32</v>
          </cell>
          <cell r="G6842" t="str">
            <v>B</v>
          </cell>
          <cell r="H6842">
            <v>404.6</v>
          </cell>
        </row>
        <row r="6843">
          <cell r="A6843" t="str">
            <v>1;11;Q2;B;PAQ32a34</v>
          </cell>
          <cell r="B6843">
            <v>730069</v>
          </cell>
          <cell r="C6843" t="str">
            <v>Q2</v>
          </cell>
          <cell r="D6843" t="str">
            <v>BALEARES PORTUGAL AÉREO 2</v>
          </cell>
          <cell r="E6843" t="str">
            <v>11</v>
          </cell>
          <cell r="F6843" t="str">
            <v>PAQ32a34</v>
          </cell>
          <cell r="G6843" t="str">
            <v>B</v>
          </cell>
          <cell r="H6843">
            <v>428.87</v>
          </cell>
        </row>
        <row r="6844">
          <cell r="A6844" t="str">
            <v>4;11;Q2;B;PAQ32a34</v>
          </cell>
          <cell r="B6844">
            <v>730069</v>
          </cell>
          <cell r="C6844" t="str">
            <v>Q2</v>
          </cell>
          <cell r="D6844" t="str">
            <v>BALEARES PORTUGAL AÉREO 2</v>
          </cell>
          <cell r="E6844" t="str">
            <v>11</v>
          </cell>
          <cell r="F6844" t="str">
            <v>PAQ32a34</v>
          </cell>
          <cell r="G6844" t="str">
            <v>B</v>
          </cell>
          <cell r="H6844">
            <v>8</v>
          </cell>
        </row>
        <row r="6845">
          <cell r="A6845" t="str">
            <v>4;11;Q2;B;PAQ34a36</v>
          </cell>
          <cell r="B6845">
            <v>730069</v>
          </cell>
          <cell r="C6845" t="str">
            <v>Q2</v>
          </cell>
          <cell r="D6845" t="str">
            <v>BALEARES PORTUGAL AÉREO 2</v>
          </cell>
          <cell r="E6845" t="str">
            <v>11</v>
          </cell>
          <cell r="F6845" t="str">
            <v>PAQ34a36</v>
          </cell>
          <cell r="G6845" t="str">
            <v>B</v>
          </cell>
          <cell r="H6845">
            <v>8</v>
          </cell>
        </row>
        <row r="6846">
          <cell r="A6846" t="str">
            <v>1;11;Q2;B;PAQ34a36</v>
          </cell>
          <cell r="B6846">
            <v>730069</v>
          </cell>
          <cell r="C6846" t="str">
            <v>Q2</v>
          </cell>
          <cell r="D6846" t="str">
            <v>BALEARES PORTUGAL AÉREO 2</v>
          </cell>
          <cell r="E6846" t="str">
            <v>11</v>
          </cell>
          <cell r="F6846" t="str">
            <v>PAQ34a36</v>
          </cell>
          <cell r="G6846" t="str">
            <v>B</v>
          </cell>
          <cell r="H6846">
            <v>453.14</v>
          </cell>
        </row>
        <row r="6847">
          <cell r="A6847" t="str">
            <v>4;11;Q2;B;PAQ36a38</v>
          </cell>
          <cell r="B6847">
            <v>730069</v>
          </cell>
          <cell r="C6847" t="str">
            <v>Q2</v>
          </cell>
          <cell r="D6847" t="str">
            <v>BALEARES PORTUGAL AÉREO 2</v>
          </cell>
          <cell r="E6847" t="str">
            <v>11</v>
          </cell>
          <cell r="F6847" t="str">
            <v>PAQ36a38</v>
          </cell>
          <cell r="G6847" t="str">
            <v>B</v>
          </cell>
          <cell r="H6847">
            <v>8</v>
          </cell>
        </row>
        <row r="6848">
          <cell r="A6848" t="str">
            <v>1;11;Q2;B;PAQ36a38</v>
          </cell>
          <cell r="B6848">
            <v>730069</v>
          </cell>
          <cell r="C6848" t="str">
            <v>Q2</v>
          </cell>
          <cell r="D6848" t="str">
            <v>BALEARES PORTUGAL AÉREO 2</v>
          </cell>
          <cell r="E6848" t="str">
            <v>11</v>
          </cell>
          <cell r="F6848" t="str">
            <v>PAQ36a38</v>
          </cell>
          <cell r="G6848" t="str">
            <v>B</v>
          </cell>
          <cell r="H6848">
            <v>477.39</v>
          </cell>
        </row>
        <row r="6849">
          <cell r="A6849" t="str">
            <v>1;11;Q2;B;PAQ38a40</v>
          </cell>
          <cell r="B6849">
            <v>730069</v>
          </cell>
          <cell r="C6849" t="str">
            <v>Q2</v>
          </cell>
          <cell r="D6849" t="str">
            <v>BALEARES PORTUGAL AÉREO 2</v>
          </cell>
          <cell r="E6849" t="str">
            <v>11</v>
          </cell>
          <cell r="F6849" t="str">
            <v>PAQ38a40</v>
          </cell>
          <cell r="G6849" t="str">
            <v>B</v>
          </cell>
          <cell r="H6849">
            <v>501.67</v>
          </cell>
        </row>
        <row r="6850">
          <cell r="A6850" t="str">
            <v>1;11;Q2;F;</v>
          </cell>
          <cell r="B6850">
            <v>730069</v>
          </cell>
          <cell r="C6850" t="str">
            <v>Q2</v>
          </cell>
          <cell r="D6850" t="str">
            <v>BALEARES PORTUGAL AÉREO 2</v>
          </cell>
          <cell r="E6850" t="str">
            <v>11</v>
          </cell>
          <cell r="F6850" t="str">
            <v/>
          </cell>
          <cell r="G6850" t="str">
            <v>F</v>
          </cell>
          <cell r="H6850">
            <v>24.27</v>
          </cell>
        </row>
        <row r="6851">
          <cell r="A6851" t="str">
            <v>4;11;Q2;F;</v>
          </cell>
          <cell r="B6851">
            <v>730069</v>
          </cell>
          <cell r="C6851" t="str">
            <v>Q2</v>
          </cell>
          <cell r="D6851" t="str">
            <v>BALEARES PORTUGAL AÉREO 2</v>
          </cell>
          <cell r="E6851" t="str">
            <v>11</v>
          </cell>
          <cell r="F6851" t="str">
            <v/>
          </cell>
          <cell r="G6851" t="str">
            <v>F</v>
          </cell>
          <cell r="H6851">
            <v>0</v>
          </cell>
        </row>
        <row r="6852">
          <cell r="A6852" t="str">
            <v>4;11;Q2;B;PAQ38a40</v>
          </cell>
          <cell r="B6852">
            <v>730069</v>
          </cell>
          <cell r="C6852" t="str">
            <v>Q2</v>
          </cell>
          <cell r="D6852" t="str">
            <v>BALEARES PORTUGAL AÉREO 2</v>
          </cell>
          <cell r="E6852" t="str">
            <v>11</v>
          </cell>
          <cell r="F6852" t="str">
            <v>PAQ38a40</v>
          </cell>
          <cell r="G6852" t="str">
            <v>B</v>
          </cell>
          <cell r="H6852">
            <v>8</v>
          </cell>
        </row>
        <row r="6853">
          <cell r="A6853" t="str">
            <v>1;11;Q2;E;</v>
          </cell>
          <cell r="B6853">
            <v>730069</v>
          </cell>
          <cell r="C6853" t="str">
            <v>Q2</v>
          </cell>
          <cell r="D6853" t="str">
            <v>BALEARES PORTUGAL AÉREO 2</v>
          </cell>
          <cell r="E6853" t="str">
            <v>11</v>
          </cell>
          <cell r="F6853" t="str">
            <v/>
          </cell>
          <cell r="G6853" t="str">
            <v>E</v>
          </cell>
          <cell r="H6853">
            <v>0</v>
          </cell>
        </row>
        <row r="6854">
          <cell r="A6854" t="str">
            <v>1;11;Q2;P;</v>
          </cell>
          <cell r="B6854">
            <v>730069</v>
          </cell>
          <cell r="C6854" t="str">
            <v>Q2</v>
          </cell>
          <cell r="D6854" t="str">
            <v>BALEARES PORTUGAL AÉREO 2</v>
          </cell>
          <cell r="E6854" t="str">
            <v>11</v>
          </cell>
          <cell r="F6854" t="str">
            <v/>
          </cell>
          <cell r="G6854" t="str">
            <v>P</v>
          </cell>
          <cell r="H6854">
            <v>0</v>
          </cell>
        </row>
        <row r="6855">
          <cell r="A6855" t="str">
            <v>4;11;Q2;P;</v>
          </cell>
          <cell r="B6855">
            <v>730069</v>
          </cell>
          <cell r="C6855" t="str">
            <v>Q2</v>
          </cell>
          <cell r="D6855" t="str">
            <v>BALEARES PORTUGAL AÉREO 2</v>
          </cell>
          <cell r="E6855" t="str">
            <v>11</v>
          </cell>
          <cell r="F6855" t="str">
            <v/>
          </cell>
          <cell r="G6855" t="str">
            <v>P</v>
          </cell>
          <cell r="H6855">
            <v>0</v>
          </cell>
        </row>
        <row r="6856">
          <cell r="A6856" t="str">
            <v>4;11;Q2;E;</v>
          </cell>
          <cell r="B6856">
            <v>730069</v>
          </cell>
          <cell r="C6856" t="str">
            <v>Q2</v>
          </cell>
          <cell r="D6856" t="str">
            <v>BALEARES PORTUGAL AÉREO 2</v>
          </cell>
          <cell r="E6856" t="str">
            <v>11</v>
          </cell>
          <cell r="F6856" t="str">
            <v/>
          </cell>
          <cell r="G6856" t="str">
            <v>E</v>
          </cell>
          <cell r="H6856">
            <v>0</v>
          </cell>
        </row>
        <row r="6857">
          <cell r="A6857" t="str">
            <v>1;13;Q2;B;PAQ00a02</v>
          </cell>
          <cell r="B6857">
            <v>730069</v>
          </cell>
          <cell r="C6857" t="str">
            <v>Q2</v>
          </cell>
          <cell r="D6857" t="str">
            <v>BALEARES PORTUGAL AÉREO 2</v>
          </cell>
          <cell r="E6857" t="str">
            <v>13</v>
          </cell>
          <cell r="F6857" t="str">
            <v>PAQ00a02</v>
          </cell>
          <cell r="G6857" t="str">
            <v>B</v>
          </cell>
          <cell r="H6857">
            <v>0</v>
          </cell>
        </row>
        <row r="6858">
          <cell r="A6858" t="str">
            <v>1;13;Q2;B;PAQ02a04</v>
          </cell>
          <cell r="B6858">
            <v>730069</v>
          </cell>
          <cell r="C6858" t="str">
            <v>Q2</v>
          </cell>
          <cell r="D6858" t="str">
            <v>BALEARES PORTUGAL AÉREO 2</v>
          </cell>
          <cell r="E6858" t="str">
            <v>13</v>
          </cell>
          <cell r="F6858" t="str">
            <v>PAQ02a04</v>
          </cell>
          <cell r="G6858" t="str">
            <v>B</v>
          </cell>
          <cell r="H6858">
            <v>0</v>
          </cell>
        </row>
        <row r="6859">
          <cell r="A6859" t="str">
            <v>1;13;Q2;B;PAQ04a06</v>
          </cell>
          <cell r="B6859">
            <v>730069</v>
          </cell>
          <cell r="C6859" t="str">
            <v>Q2</v>
          </cell>
          <cell r="D6859" t="str">
            <v>BALEARES PORTUGAL AÉREO 2</v>
          </cell>
          <cell r="E6859" t="str">
            <v>13</v>
          </cell>
          <cell r="F6859" t="str">
            <v>PAQ04a06</v>
          </cell>
          <cell r="G6859" t="str">
            <v>B</v>
          </cell>
          <cell r="H6859">
            <v>0</v>
          </cell>
        </row>
        <row r="6860">
          <cell r="A6860" t="str">
            <v>1;13;Q2;B;PAQ06a08</v>
          </cell>
          <cell r="B6860">
            <v>730069</v>
          </cell>
          <cell r="C6860" t="str">
            <v>Q2</v>
          </cell>
          <cell r="D6860" t="str">
            <v>BALEARES PORTUGAL AÉREO 2</v>
          </cell>
          <cell r="E6860" t="str">
            <v>13</v>
          </cell>
          <cell r="F6860" t="str">
            <v>PAQ06a08</v>
          </cell>
          <cell r="G6860" t="str">
            <v>B</v>
          </cell>
          <cell r="H6860">
            <v>0</v>
          </cell>
        </row>
        <row r="6861">
          <cell r="A6861" t="str">
            <v>1;13;Q2;B;PAQ08a10</v>
          </cell>
          <cell r="B6861">
            <v>730069</v>
          </cell>
          <cell r="C6861" t="str">
            <v>Q2</v>
          </cell>
          <cell r="D6861" t="str">
            <v>BALEARES PORTUGAL AÉREO 2</v>
          </cell>
          <cell r="E6861" t="str">
            <v>13</v>
          </cell>
          <cell r="F6861" t="str">
            <v>PAQ08a10</v>
          </cell>
          <cell r="G6861" t="str">
            <v>B</v>
          </cell>
          <cell r="H6861">
            <v>0</v>
          </cell>
        </row>
        <row r="6862">
          <cell r="A6862" t="str">
            <v>1;13;Q2;B;PAQ10a12</v>
          </cell>
          <cell r="B6862">
            <v>730069</v>
          </cell>
          <cell r="C6862" t="str">
            <v>Q2</v>
          </cell>
          <cell r="D6862" t="str">
            <v>BALEARES PORTUGAL AÉREO 2</v>
          </cell>
          <cell r="E6862" t="str">
            <v>13</v>
          </cell>
          <cell r="F6862" t="str">
            <v>PAQ10a12</v>
          </cell>
          <cell r="G6862" t="str">
            <v>B</v>
          </cell>
          <cell r="H6862">
            <v>0</v>
          </cell>
        </row>
        <row r="6863">
          <cell r="A6863" t="str">
            <v>1;13;Q2;B;PAQ12a14</v>
          </cell>
          <cell r="B6863">
            <v>730069</v>
          </cell>
          <cell r="C6863" t="str">
            <v>Q2</v>
          </cell>
          <cell r="D6863" t="str">
            <v>BALEARES PORTUGAL AÉREO 2</v>
          </cell>
          <cell r="E6863" t="str">
            <v>13</v>
          </cell>
          <cell r="F6863" t="str">
            <v>PAQ12a14</v>
          </cell>
          <cell r="G6863" t="str">
            <v>B</v>
          </cell>
          <cell r="H6863">
            <v>0</v>
          </cell>
        </row>
        <row r="6864">
          <cell r="A6864" t="str">
            <v>1;13;Q2;B;PAQ14a16</v>
          </cell>
          <cell r="B6864">
            <v>730069</v>
          </cell>
          <cell r="C6864" t="str">
            <v>Q2</v>
          </cell>
          <cell r="D6864" t="str">
            <v>BALEARES PORTUGAL AÉREO 2</v>
          </cell>
          <cell r="E6864" t="str">
            <v>13</v>
          </cell>
          <cell r="F6864" t="str">
            <v>PAQ14a16</v>
          </cell>
          <cell r="G6864" t="str">
            <v>B</v>
          </cell>
          <cell r="H6864">
            <v>0</v>
          </cell>
        </row>
        <row r="6865">
          <cell r="A6865" t="str">
            <v>1;13;Q2;B;PAQ16a18</v>
          </cell>
          <cell r="B6865">
            <v>730069</v>
          </cell>
          <cell r="C6865" t="str">
            <v>Q2</v>
          </cell>
          <cell r="D6865" t="str">
            <v>BALEARES PORTUGAL AÉREO 2</v>
          </cell>
          <cell r="E6865" t="str">
            <v>13</v>
          </cell>
          <cell r="F6865" t="str">
            <v>PAQ16a18</v>
          </cell>
          <cell r="G6865" t="str">
            <v>B</v>
          </cell>
          <cell r="H6865">
            <v>0</v>
          </cell>
        </row>
        <row r="6866">
          <cell r="A6866" t="str">
            <v>1;13;Q2;B;PAQ18a20</v>
          </cell>
          <cell r="B6866">
            <v>730069</v>
          </cell>
          <cell r="C6866" t="str">
            <v>Q2</v>
          </cell>
          <cell r="D6866" t="str">
            <v>BALEARES PORTUGAL AÉREO 2</v>
          </cell>
          <cell r="E6866" t="str">
            <v>13</v>
          </cell>
          <cell r="F6866" t="str">
            <v>PAQ18a20</v>
          </cell>
          <cell r="G6866" t="str">
            <v>B</v>
          </cell>
          <cell r="H6866">
            <v>0</v>
          </cell>
        </row>
        <row r="6867">
          <cell r="A6867" t="str">
            <v>1;13;Q2;B;PAQ20a22</v>
          </cell>
          <cell r="B6867">
            <v>730069</v>
          </cell>
          <cell r="C6867" t="str">
            <v>Q2</v>
          </cell>
          <cell r="D6867" t="str">
            <v>BALEARES PORTUGAL AÉREO 2</v>
          </cell>
          <cell r="E6867" t="str">
            <v>13</v>
          </cell>
          <cell r="F6867" t="str">
            <v>PAQ20a22</v>
          </cell>
          <cell r="G6867" t="str">
            <v>B</v>
          </cell>
          <cell r="H6867">
            <v>0</v>
          </cell>
        </row>
        <row r="6868">
          <cell r="A6868" t="str">
            <v>1;13;Q2;B;PAQ22a24</v>
          </cell>
          <cell r="B6868">
            <v>730069</v>
          </cell>
          <cell r="C6868" t="str">
            <v>Q2</v>
          </cell>
          <cell r="D6868" t="str">
            <v>BALEARES PORTUGAL AÉREO 2</v>
          </cell>
          <cell r="E6868" t="str">
            <v>13</v>
          </cell>
          <cell r="F6868" t="str">
            <v>PAQ22a24</v>
          </cell>
          <cell r="G6868" t="str">
            <v>B</v>
          </cell>
          <cell r="H6868">
            <v>0</v>
          </cell>
        </row>
        <row r="6869">
          <cell r="A6869" t="str">
            <v>1;13;Q2;B;PAQ24a26</v>
          </cell>
          <cell r="B6869">
            <v>730069</v>
          </cell>
          <cell r="C6869" t="str">
            <v>Q2</v>
          </cell>
          <cell r="D6869" t="str">
            <v>BALEARES PORTUGAL AÉREO 2</v>
          </cell>
          <cell r="E6869" t="str">
            <v>13</v>
          </cell>
          <cell r="F6869" t="str">
            <v>PAQ24a26</v>
          </cell>
          <cell r="G6869" t="str">
            <v>B</v>
          </cell>
          <cell r="H6869">
            <v>0</v>
          </cell>
        </row>
        <row r="6870">
          <cell r="A6870" t="str">
            <v>1;13;Q2;B;PAQ26a28</v>
          </cell>
          <cell r="B6870">
            <v>730069</v>
          </cell>
          <cell r="C6870" t="str">
            <v>Q2</v>
          </cell>
          <cell r="D6870" t="str">
            <v>BALEARES PORTUGAL AÉREO 2</v>
          </cell>
          <cell r="E6870" t="str">
            <v>13</v>
          </cell>
          <cell r="F6870" t="str">
            <v>PAQ26a28</v>
          </cell>
          <cell r="G6870" t="str">
            <v>B</v>
          </cell>
          <cell r="H6870">
            <v>0</v>
          </cell>
        </row>
        <row r="6871">
          <cell r="A6871" t="str">
            <v>1;13;Q2;B;PAQ28a30</v>
          </cell>
          <cell r="B6871">
            <v>730069</v>
          </cell>
          <cell r="C6871" t="str">
            <v>Q2</v>
          </cell>
          <cell r="D6871" t="str">
            <v>BALEARES PORTUGAL AÉREO 2</v>
          </cell>
          <cell r="E6871" t="str">
            <v>13</v>
          </cell>
          <cell r="F6871" t="str">
            <v>PAQ28a30</v>
          </cell>
          <cell r="G6871" t="str">
            <v>B</v>
          </cell>
          <cell r="H6871">
            <v>0</v>
          </cell>
        </row>
        <row r="6872">
          <cell r="A6872" t="str">
            <v>1;13;Q2;B;PAQ30a32</v>
          </cell>
          <cell r="B6872">
            <v>730069</v>
          </cell>
          <cell r="C6872" t="str">
            <v>Q2</v>
          </cell>
          <cell r="D6872" t="str">
            <v>BALEARES PORTUGAL AÉREO 2</v>
          </cell>
          <cell r="E6872" t="str">
            <v>13</v>
          </cell>
          <cell r="F6872" t="str">
            <v>PAQ30a32</v>
          </cell>
          <cell r="G6872" t="str">
            <v>B</v>
          </cell>
          <cell r="H6872">
            <v>0</v>
          </cell>
        </row>
        <row r="6873">
          <cell r="A6873" t="str">
            <v>1;13;Q2;B;PAQ32a34</v>
          </cell>
          <cell r="B6873">
            <v>730069</v>
          </cell>
          <cell r="C6873" t="str">
            <v>Q2</v>
          </cell>
          <cell r="D6873" t="str">
            <v>BALEARES PORTUGAL AÉREO 2</v>
          </cell>
          <cell r="E6873" t="str">
            <v>13</v>
          </cell>
          <cell r="F6873" t="str">
            <v>PAQ32a34</v>
          </cell>
          <cell r="G6873" t="str">
            <v>B</v>
          </cell>
          <cell r="H6873">
            <v>0</v>
          </cell>
        </row>
        <row r="6874">
          <cell r="A6874" t="str">
            <v>1;13;Q2;B;PAQ34a36</v>
          </cell>
          <cell r="B6874">
            <v>730069</v>
          </cell>
          <cell r="C6874" t="str">
            <v>Q2</v>
          </cell>
          <cell r="D6874" t="str">
            <v>BALEARES PORTUGAL AÉREO 2</v>
          </cell>
          <cell r="E6874" t="str">
            <v>13</v>
          </cell>
          <cell r="F6874" t="str">
            <v>PAQ34a36</v>
          </cell>
          <cell r="G6874" t="str">
            <v>B</v>
          </cell>
          <cell r="H6874">
            <v>0</v>
          </cell>
        </row>
        <row r="6875">
          <cell r="A6875" t="str">
            <v>1;13;Q2;B;PAQ36a38</v>
          </cell>
          <cell r="B6875">
            <v>730069</v>
          </cell>
          <cell r="C6875" t="str">
            <v>Q2</v>
          </cell>
          <cell r="D6875" t="str">
            <v>BALEARES PORTUGAL AÉREO 2</v>
          </cell>
          <cell r="E6875" t="str">
            <v>13</v>
          </cell>
          <cell r="F6875" t="str">
            <v>PAQ36a38</v>
          </cell>
          <cell r="G6875" t="str">
            <v>B</v>
          </cell>
          <cell r="H6875">
            <v>0</v>
          </cell>
        </row>
        <row r="6876">
          <cell r="A6876" t="str">
            <v>1;13;Q2;B;PAQ38a40</v>
          </cell>
          <cell r="B6876">
            <v>730069</v>
          </cell>
          <cell r="C6876" t="str">
            <v>Q2</v>
          </cell>
          <cell r="D6876" t="str">
            <v>BALEARES PORTUGAL AÉREO 2</v>
          </cell>
          <cell r="E6876" t="str">
            <v>13</v>
          </cell>
          <cell r="F6876" t="str">
            <v>PAQ38a40</v>
          </cell>
          <cell r="G6876" t="str">
            <v>B</v>
          </cell>
          <cell r="H6876">
            <v>0</v>
          </cell>
        </row>
        <row r="6877">
          <cell r="A6877" t="str">
            <v>1;13;Q2;F;</v>
          </cell>
          <cell r="B6877">
            <v>730069</v>
          </cell>
          <cell r="C6877" t="str">
            <v>Q2</v>
          </cell>
          <cell r="D6877" t="str">
            <v>BALEARES PORTUGAL AÉREO 2</v>
          </cell>
          <cell r="E6877" t="str">
            <v>13</v>
          </cell>
          <cell r="F6877" t="str">
            <v/>
          </cell>
          <cell r="G6877" t="str">
            <v>F</v>
          </cell>
          <cell r="H6877">
            <v>0</v>
          </cell>
        </row>
        <row r="6878">
          <cell r="A6878" t="str">
            <v>1;13;Q2;P;</v>
          </cell>
          <cell r="B6878">
            <v>730069</v>
          </cell>
          <cell r="C6878" t="str">
            <v>Q2</v>
          </cell>
          <cell r="D6878" t="str">
            <v>BALEARES PORTUGAL AÉREO 2</v>
          </cell>
          <cell r="E6878" t="str">
            <v>13</v>
          </cell>
          <cell r="F6878" t="str">
            <v/>
          </cell>
          <cell r="G6878" t="str">
            <v>P</v>
          </cell>
          <cell r="H6878">
            <v>0</v>
          </cell>
        </row>
        <row r="6879">
          <cell r="A6879" t="str">
            <v>1;13;Q2;E;</v>
          </cell>
          <cell r="B6879">
            <v>730069</v>
          </cell>
          <cell r="C6879" t="str">
            <v>Q2</v>
          </cell>
          <cell r="D6879" t="str">
            <v>BALEARES PORTUGAL AÉREO 2</v>
          </cell>
          <cell r="E6879" t="str">
            <v>13</v>
          </cell>
          <cell r="F6879" t="str">
            <v/>
          </cell>
          <cell r="G6879" t="str">
            <v>E</v>
          </cell>
          <cell r="H6879">
            <v>0</v>
          </cell>
        </row>
        <row r="6880">
          <cell r="A6880" t="str">
            <v>4;17;Q2;B;PAQ00a02</v>
          </cell>
          <cell r="B6880">
            <v>730069</v>
          </cell>
          <cell r="C6880" t="str">
            <v>Q2</v>
          </cell>
          <cell r="D6880" t="str">
            <v>BALEARES PORTUGAL AÉREO 2</v>
          </cell>
          <cell r="E6880" t="str">
            <v>17</v>
          </cell>
          <cell r="F6880" t="str">
            <v>PAQ00a02</v>
          </cell>
          <cell r="G6880" t="str">
            <v>B</v>
          </cell>
          <cell r="H6880">
            <v>8</v>
          </cell>
        </row>
        <row r="6881">
          <cell r="A6881" t="str">
            <v>1;17;Q2;B;PAQ00a02</v>
          </cell>
          <cell r="B6881">
            <v>730069</v>
          </cell>
          <cell r="C6881" t="str">
            <v>Q2</v>
          </cell>
          <cell r="D6881" t="str">
            <v>BALEARES PORTUGAL AÉREO 2</v>
          </cell>
          <cell r="E6881" t="str">
            <v>17</v>
          </cell>
          <cell r="F6881" t="str">
            <v>PAQ00a02</v>
          </cell>
          <cell r="G6881" t="str">
            <v>B</v>
          </cell>
          <cell r="H6881">
            <v>10.71</v>
          </cell>
        </row>
        <row r="6882">
          <cell r="A6882" t="str">
            <v>4;17;Q2;B;PAQ02a04</v>
          </cell>
          <cell r="B6882">
            <v>730069</v>
          </cell>
          <cell r="C6882" t="str">
            <v>Q2</v>
          </cell>
          <cell r="D6882" t="str">
            <v>BALEARES PORTUGAL AÉREO 2</v>
          </cell>
          <cell r="E6882" t="str">
            <v>17</v>
          </cell>
          <cell r="F6882" t="str">
            <v>PAQ02a04</v>
          </cell>
          <cell r="G6882" t="str">
            <v>B</v>
          </cell>
          <cell r="H6882">
            <v>8</v>
          </cell>
        </row>
        <row r="6883">
          <cell r="A6883" t="str">
            <v>1;17;Q2;B;PAQ02a04</v>
          </cell>
          <cell r="B6883">
            <v>730069</v>
          </cell>
          <cell r="C6883" t="str">
            <v>Q2</v>
          </cell>
          <cell r="D6883" t="str">
            <v>BALEARES PORTUGAL AÉREO 2</v>
          </cell>
          <cell r="E6883" t="str">
            <v>17</v>
          </cell>
          <cell r="F6883" t="str">
            <v>PAQ02a04</v>
          </cell>
          <cell r="G6883" t="str">
            <v>B</v>
          </cell>
          <cell r="H6883">
            <v>18.62</v>
          </cell>
        </row>
        <row r="6884">
          <cell r="A6884" t="str">
            <v>4;17;Q2;B;PAQ04a06</v>
          </cell>
          <cell r="B6884">
            <v>730069</v>
          </cell>
          <cell r="C6884" t="str">
            <v>Q2</v>
          </cell>
          <cell r="D6884" t="str">
            <v>BALEARES PORTUGAL AÉREO 2</v>
          </cell>
          <cell r="E6884" t="str">
            <v>17</v>
          </cell>
          <cell r="F6884" t="str">
            <v>PAQ04a06</v>
          </cell>
          <cell r="G6884" t="str">
            <v>B</v>
          </cell>
          <cell r="H6884">
            <v>8</v>
          </cell>
        </row>
        <row r="6885">
          <cell r="A6885" t="str">
            <v>1;17;Q2;B;PAQ04a06</v>
          </cell>
          <cell r="B6885">
            <v>730069</v>
          </cell>
          <cell r="C6885" t="str">
            <v>Q2</v>
          </cell>
          <cell r="D6885" t="str">
            <v>BALEARES PORTUGAL AÉREO 2</v>
          </cell>
          <cell r="E6885" t="str">
            <v>17</v>
          </cell>
          <cell r="F6885" t="str">
            <v>PAQ04a06</v>
          </cell>
          <cell r="G6885" t="str">
            <v>B</v>
          </cell>
          <cell r="H6885">
            <v>27.3</v>
          </cell>
        </row>
        <row r="6886">
          <cell r="A6886" t="str">
            <v>4;17;Q2;B;PAQ06a08</v>
          </cell>
          <cell r="B6886">
            <v>730069</v>
          </cell>
          <cell r="C6886" t="str">
            <v>Q2</v>
          </cell>
          <cell r="D6886" t="str">
            <v>BALEARES PORTUGAL AÉREO 2</v>
          </cell>
          <cell r="E6886" t="str">
            <v>17</v>
          </cell>
          <cell r="F6886" t="str">
            <v>PAQ06a08</v>
          </cell>
          <cell r="G6886" t="str">
            <v>B</v>
          </cell>
          <cell r="H6886">
            <v>8</v>
          </cell>
        </row>
        <row r="6887">
          <cell r="A6887" t="str">
            <v>1;17;Q2;B;PAQ06a08</v>
          </cell>
          <cell r="B6887">
            <v>730069</v>
          </cell>
          <cell r="C6887" t="str">
            <v>Q2</v>
          </cell>
          <cell r="D6887" t="str">
            <v>BALEARES PORTUGAL AÉREO 2</v>
          </cell>
          <cell r="E6887" t="str">
            <v>17</v>
          </cell>
          <cell r="F6887" t="str">
            <v>PAQ06a08</v>
          </cell>
          <cell r="G6887" t="str">
            <v>B</v>
          </cell>
          <cell r="H6887">
            <v>35.03</v>
          </cell>
        </row>
        <row r="6888">
          <cell r="A6888" t="str">
            <v>4;17;Q2;B;PAQ08a10</v>
          </cell>
          <cell r="B6888">
            <v>730069</v>
          </cell>
          <cell r="C6888" t="str">
            <v>Q2</v>
          </cell>
          <cell r="D6888" t="str">
            <v>BALEARES PORTUGAL AÉREO 2</v>
          </cell>
          <cell r="E6888" t="str">
            <v>17</v>
          </cell>
          <cell r="F6888" t="str">
            <v>PAQ08a10</v>
          </cell>
          <cell r="G6888" t="str">
            <v>B</v>
          </cell>
          <cell r="H6888">
            <v>8</v>
          </cell>
        </row>
        <row r="6889">
          <cell r="A6889" t="str">
            <v>1;17;Q2;B;PAQ08a10</v>
          </cell>
          <cell r="B6889">
            <v>730069</v>
          </cell>
          <cell r="C6889" t="str">
            <v>Q2</v>
          </cell>
          <cell r="D6889" t="str">
            <v>BALEARES PORTUGAL AÉREO 2</v>
          </cell>
          <cell r="E6889" t="str">
            <v>17</v>
          </cell>
          <cell r="F6889" t="str">
            <v>PAQ08a10</v>
          </cell>
          <cell r="G6889" t="str">
            <v>B</v>
          </cell>
          <cell r="H6889">
            <v>42.67</v>
          </cell>
        </row>
        <row r="6890">
          <cell r="A6890" t="str">
            <v>4;17;Q2;B;PAQ10a12</v>
          </cell>
          <cell r="B6890">
            <v>730069</v>
          </cell>
          <cell r="C6890" t="str">
            <v>Q2</v>
          </cell>
          <cell r="D6890" t="str">
            <v>BALEARES PORTUGAL AÉREO 2</v>
          </cell>
          <cell r="E6890" t="str">
            <v>17</v>
          </cell>
          <cell r="F6890" t="str">
            <v>PAQ10a12</v>
          </cell>
          <cell r="G6890" t="str">
            <v>B</v>
          </cell>
          <cell r="H6890">
            <v>8</v>
          </cell>
        </row>
        <row r="6891">
          <cell r="A6891" t="str">
            <v>1;17;Q2;B;PAQ10a12</v>
          </cell>
          <cell r="B6891">
            <v>730069</v>
          </cell>
          <cell r="C6891" t="str">
            <v>Q2</v>
          </cell>
          <cell r="D6891" t="str">
            <v>BALEARES PORTUGAL AÉREO 2</v>
          </cell>
          <cell r="E6891" t="str">
            <v>17</v>
          </cell>
          <cell r="F6891" t="str">
            <v>PAQ10a12</v>
          </cell>
          <cell r="G6891" t="str">
            <v>B</v>
          </cell>
          <cell r="H6891">
            <v>51.9</v>
          </cell>
        </row>
        <row r="6892">
          <cell r="A6892" t="str">
            <v>1;17;Q2;B;PAQ12a14</v>
          </cell>
          <cell r="B6892">
            <v>730069</v>
          </cell>
          <cell r="C6892" t="str">
            <v>Q2</v>
          </cell>
          <cell r="D6892" t="str">
            <v>BALEARES PORTUGAL AÉREO 2</v>
          </cell>
          <cell r="E6892" t="str">
            <v>17</v>
          </cell>
          <cell r="F6892" t="str">
            <v>PAQ12a14</v>
          </cell>
          <cell r="G6892" t="str">
            <v>B</v>
          </cell>
          <cell r="H6892">
            <v>61.21</v>
          </cell>
        </row>
        <row r="6893">
          <cell r="A6893" t="str">
            <v>4;17;Q2;B;PAQ12a14</v>
          </cell>
          <cell r="B6893">
            <v>730069</v>
          </cell>
          <cell r="C6893" t="str">
            <v>Q2</v>
          </cell>
          <cell r="D6893" t="str">
            <v>BALEARES PORTUGAL AÉREO 2</v>
          </cell>
          <cell r="E6893" t="str">
            <v>17</v>
          </cell>
          <cell r="F6893" t="str">
            <v>PAQ12a14</v>
          </cell>
          <cell r="G6893" t="str">
            <v>B</v>
          </cell>
          <cell r="H6893">
            <v>8</v>
          </cell>
        </row>
        <row r="6894">
          <cell r="A6894" t="str">
            <v>1;17;Q2;B;PAQ14a16</v>
          </cell>
          <cell r="B6894">
            <v>730069</v>
          </cell>
          <cell r="C6894" t="str">
            <v>Q2</v>
          </cell>
          <cell r="D6894" t="str">
            <v>BALEARES PORTUGAL AÉREO 2</v>
          </cell>
          <cell r="E6894" t="str">
            <v>17</v>
          </cell>
          <cell r="F6894" t="str">
            <v>PAQ14a16</v>
          </cell>
          <cell r="G6894" t="str">
            <v>B</v>
          </cell>
          <cell r="H6894">
            <v>70.59</v>
          </cell>
        </row>
        <row r="6895">
          <cell r="A6895" t="str">
            <v>4;17;Q2;B;PAQ14a16</v>
          </cell>
          <cell r="B6895">
            <v>730069</v>
          </cell>
          <cell r="C6895" t="str">
            <v>Q2</v>
          </cell>
          <cell r="D6895" t="str">
            <v>BALEARES PORTUGAL AÉREO 2</v>
          </cell>
          <cell r="E6895" t="str">
            <v>17</v>
          </cell>
          <cell r="F6895" t="str">
            <v>PAQ14a16</v>
          </cell>
          <cell r="G6895" t="str">
            <v>B</v>
          </cell>
          <cell r="H6895">
            <v>8</v>
          </cell>
        </row>
        <row r="6896">
          <cell r="A6896" t="str">
            <v>4;17;Q2;B;PAQ16a18</v>
          </cell>
          <cell r="B6896">
            <v>730069</v>
          </cell>
          <cell r="C6896" t="str">
            <v>Q2</v>
          </cell>
          <cell r="D6896" t="str">
            <v>BALEARES PORTUGAL AÉREO 2</v>
          </cell>
          <cell r="E6896" t="str">
            <v>17</v>
          </cell>
          <cell r="F6896" t="str">
            <v>PAQ16a18</v>
          </cell>
          <cell r="G6896" t="str">
            <v>B</v>
          </cell>
          <cell r="H6896">
            <v>8</v>
          </cell>
        </row>
        <row r="6897">
          <cell r="A6897" t="str">
            <v>1;17;Q2;B;PAQ16a18</v>
          </cell>
          <cell r="B6897">
            <v>730069</v>
          </cell>
          <cell r="C6897" t="str">
            <v>Q2</v>
          </cell>
          <cell r="D6897" t="str">
            <v>BALEARES PORTUGAL AÉREO 2</v>
          </cell>
          <cell r="E6897" t="str">
            <v>17</v>
          </cell>
          <cell r="F6897" t="str">
            <v>PAQ16a18</v>
          </cell>
          <cell r="G6897" t="str">
            <v>B</v>
          </cell>
          <cell r="H6897">
            <v>80</v>
          </cell>
        </row>
        <row r="6898">
          <cell r="A6898" t="str">
            <v>4;17;Q2;B;PAQ18a20</v>
          </cell>
          <cell r="B6898">
            <v>730069</v>
          </cell>
          <cell r="C6898" t="str">
            <v>Q2</v>
          </cell>
          <cell r="D6898" t="str">
            <v>BALEARES PORTUGAL AÉREO 2</v>
          </cell>
          <cell r="E6898" t="str">
            <v>17</v>
          </cell>
          <cell r="F6898" t="str">
            <v>PAQ18a20</v>
          </cell>
          <cell r="G6898" t="str">
            <v>B</v>
          </cell>
          <cell r="H6898">
            <v>8</v>
          </cell>
        </row>
        <row r="6899">
          <cell r="A6899" t="str">
            <v>1;17;Q2;B;PAQ18a20</v>
          </cell>
          <cell r="B6899">
            <v>730069</v>
          </cell>
          <cell r="C6899" t="str">
            <v>Q2</v>
          </cell>
          <cell r="D6899" t="str">
            <v>BALEARES PORTUGAL AÉREO 2</v>
          </cell>
          <cell r="E6899" t="str">
            <v>17</v>
          </cell>
          <cell r="F6899" t="str">
            <v>PAQ18a20</v>
          </cell>
          <cell r="G6899" t="str">
            <v>B</v>
          </cell>
          <cell r="H6899">
            <v>89.42</v>
          </cell>
        </row>
        <row r="6900">
          <cell r="A6900" t="str">
            <v>4;17;Q2;B;PAQ20a22</v>
          </cell>
          <cell r="B6900">
            <v>730069</v>
          </cell>
          <cell r="C6900" t="str">
            <v>Q2</v>
          </cell>
          <cell r="D6900" t="str">
            <v>BALEARES PORTUGAL AÉREO 2</v>
          </cell>
          <cell r="E6900" t="str">
            <v>17</v>
          </cell>
          <cell r="F6900" t="str">
            <v>PAQ20a22</v>
          </cell>
          <cell r="G6900" t="str">
            <v>B</v>
          </cell>
          <cell r="H6900">
            <v>8</v>
          </cell>
        </row>
        <row r="6901">
          <cell r="A6901" t="str">
            <v>1;17;Q2;B;PAQ20a22</v>
          </cell>
          <cell r="B6901">
            <v>730069</v>
          </cell>
          <cell r="C6901" t="str">
            <v>Q2</v>
          </cell>
          <cell r="D6901" t="str">
            <v>BALEARES PORTUGAL AÉREO 2</v>
          </cell>
          <cell r="E6901" t="str">
            <v>17</v>
          </cell>
          <cell r="F6901" t="str">
            <v>PAQ20a22</v>
          </cell>
          <cell r="G6901" t="str">
            <v>B</v>
          </cell>
          <cell r="H6901">
            <v>98.89</v>
          </cell>
        </row>
        <row r="6902">
          <cell r="A6902" t="str">
            <v>4;17;Q2;B;PAQ22a24</v>
          </cell>
          <cell r="B6902">
            <v>730069</v>
          </cell>
          <cell r="C6902" t="str">
            <v>Q2</v>
          </cell>
          <cell r="D6902" t="str">
            <v>BALEARES PORTUGAL AÉREO 2</v>
          </cell>
          <cell r="E6902" t="str">
            <v>17</v>
          </cell>
          <cell r="F6902" t="str">
            <v>PAQ22a24</v>
          </cell>
          <cell r="G6902" t="str">
            <v>B</v>
          </cell>
          <cell r="H6902">
            <v>8</v>
          </cell>
        </row>
        <row r="6903">
          <cell r="A6903" t="str">
            <v>1;17;Q2;B;PAQ22a24</v>
          </cell>
          <cell r="B6903">
            <v>730069</v>
          </cell>
          <cell r="C6903" t="str">
            <v>Q2</v>
          </cell>
          <cell r="D6903" t="str">
            <v>BALEARES PORTUGAL AÉREO 2</v>
          </cell>
          <cell r="E6903" t="str">
            <v>17</v>
          </cell>
          <cell r="F6903" t="str">
            <v>PAQ22a24</v>
          </cell>
          <cell r="G6903" t="str">
            <v>B</v>
          </cell>
          <cell r="H6903">
            <v>108.38</v>
          </cell>
        </row>
        <row r="6904">
          <cell r="A6904" t="str">
            <v>4;17;Q2;B;PAQ24a26</v>
          </cell>
          <cell r="B6904">
            <v>730069</v>
          </cell>
          <cell r="C6904" t="str">
            <v>Q2</v>
          </cell>
          <cell r="D6904" t="str">
            <v>BALEARES PORTUGAL AÉREO 2</v>
          </cell>
          <cell r="E6904" t="str">
            <v>17</v>
          </cell>
          <cell r="F6904" t="str">
            <v>PAQ24a26</v>
          </cell>
          <cell r="G6904" t="str">
            <v>B</v>
          </cell>
          <cell r="H6904">
            <v>8</v>
          </cell>
        </row>
        <row r="6905">
          <cell r="A6905" t="str">
            <v>1;17;Q2;B;PAQ24a26</v>
          </cell>
          <cell r="B6905">
            <v>730069</v>
          </cell>
          <cell r="C6905" t="str">
            <v>Q2</v>
          </cell>
          <cell r="D6905" t="str">
            <v>BALEARES PORTUGAL AÉREO 2</v>
          </cell>
          <cell r="E6905" t="str">
            <v>17</v>
          </cell>
          <cell r="F6905" t="str">
            <v>PAQ24a26</v>
          </cell>
          <cell r="G6905" t="str">
            <v>B</v>
          </cell>
          <cell r="H6905">
            <v>117.89</v>
          </cell>
        </row>
        <row r="6906">
          <cell r="A6906" t="str">
            <v>1;17;Q2;B;PAQ26a28</v>
          </cell>
          <cell r="B6906">
            <v>730069</v>
          </cell>
          <cell r="C6906" t="str">
            <v>Q2</v>
          </cell>
          <cell r="D6906" t="str">
            <v>BALEARES PORTUGAL AÉREO 2</v>
          </cell>
          <cell r="E6906" t="str">
            <v>17</v>
          </cell>
          <cell r="F6906" t="str">
            <v>PAQ26a28</v>
          </cell>
          <cell r="G6906" t="str">
            <v>B</v>
          </cell>
          <cell r="H6906">
            <v>127.4</v>
          </cell>
        </row>
        <row r="6907">
          <cell r="A6907" t="str">
            <v>4;17;Q2;B;PAQ26a28</v>
          </cell>
          <cell r="B6907">
            <v>730069</v>
          </cell>
          <cell r="C6907" t="str">
            <v>Q2</v>
          </cell>
          <cell r="D6907" t="str">
            <v>BALEARES PORTUGAL AÉREO 2</v>
          </cell>
          <cell r="E6907" t="str">
            <v>17</v>
          </cell>
          <cell r="F6907" t="str">
            <v>PAQ26a28</v>
          </cell>
          <cell r="G6907" t="str">
            <v>B</v>
          </cell>
          <cell r="H6907">
            <v>8</v>
          </cell>
        </row>
        <row r="6908">
          <cell r="A6908" t="str">
            <v>4;17;Q2;B;PAQ28a30</v>
          </cell>
          <cell r="B6908">
            <v>730069</v>
          </cell>
          <cell r="C6908" t="str">
            <v>Q2</v>
          </cell>
          <cell r="D6908" t="str">
            <v>BALEARES PORTUGAL AÉREO 2</v>
          </cell>
          <cell r="E6908" t="str">
            <v>17</v>
          </cell>
          <cell r="F6908" t="str">
            <v>PAQ28a30</v>
          </cell>
          <cell r="G6908" t="str">
            <v>B</v>
          </cell>
          <cell r="H6908">
            <v>8</v>
          </cell>
        </row>
        <row r="6909">
          <cell r="A6909" t="str">
            <v>1;17;Q2;B;PAQ28a30</v>
          </cell>
          <cell r="B6909">
            <v>730069</v>
          </cell>
          <cell r="C6909" t="str">
            <v>Q2</v>
          </cell>
          <cell r="D6909" t="str">
            <v>BALEARES PORTUGAL AÉREO 2</v>
          </cell>
          <cell r="E6909" t="str">
            <v>17</v>
          </cell>
          <cell r="F6909" t="str">
            <v>PAQ28a30</v>
          </cell>
          <cell r="G6909" t="str">
            <v>B</v>
          </cell>
          <cell r="H6909">
            <v>136.93</v>
          </cell>
        </row>
        <row r="6910">
          <cell r="A6910" t="str">
            <v>1;17;Q2;B;PAQ30a32</v>
          </cell>
          <cell r="B6910">
            <v>730069</v>
          </cell>
          <cell r="C6910" t="str">
            <v>Q2</v>
          </cell>
          <cell r="D6910" t="str">
            <v>BALEARES PORTUGAL AÉREO 2</v>
          </cell>
          <cell r="E6910" t="str">
            <v>17</v>
          </cell>
          <cell r="F6910" t="str">
            <v>PAQ30a32</v>
          </cell>
          <cell r="G6910" t="str">
            <v>B</v>
          </cell>
          <cell r="H6910">
            <v>146.46</v>
          </cell>
        </row>
        <row r="6911">
          <cell r="A6911" t="str">
            <v>4;17;Q2;B;PAQ30a32</v>
          </cell>
          <cell r="B6911">
            <v>730069</v>
          </cell>
          <cell r="C6911" t="str">
            <v>Q2</v>
          </cell>
          <cell r="D6911" t="str">
            <v>BALEARES PORTUGAL AÉREO 2</v>
          </cell>
          <cell r="E6911" t="str">
            <v>17</v>
          </cell>
          <cell r="F6911" t="str">
            <v>PAQ30a32</v>
          </cell>
          <cell r="G6911" t="str">
            <v>B</v>
          </cell>
          <cell r="H6911">
            <v>8</v>
          </cell>
        </row>
        <row r="6912">
          <cell r="A6912" t="str">
            <v>4;17;Q2;B;PAQ32a34</v>
          </cell>
          <cell r="B6912">
            <v>730069</v>
          </cell>
          <cell r="C6912" t="str">
            <v>Q2</v>
          </cell>
          <cell r="D6912" t="str">
            <v>BALEARES PORTUGAL AÉREO 2</v>
          </cell>
          <cell r="E6912" t="str">
            <v>17</v>
          </cell>
          <cell r="F6912" t="str">
            <v>PAQ32a34</v>
          </cell>
          <cell r="G6912" t="str">
            <v>B</v>
          </cell>
          <cell r="H6912">
            <v>8</v>
          </cell>
        </row>
        <row r="6913">
          <cell r="A6913" t="str">
            <v>1;17;Q2;B;PAQ32a34</v>
          </cell>
          <cell r="B6913">
            <v>730069</v>
          </cell>
          <cell r="C6913" t="str">
            <v>Q2</v>
          </cell>
          <cell r="D6913" t="str">
            <v>BALEARES PORTUGAL AÉREO 2</v>
          </cell>
          <cell r="E6913" t="str">
            <v>17</v>
          </cell>
          <cell r="F6913" t="str">
            <v>PAQ32a34</v>
          </cell>
          <cell r="G6913" t="str">
            <v>B</v>
          </cell>
          <cell r="H6913">
            <v>155.99</v>
          </cell>
        </row>
        <row r="6914">
          <cell r="A6914" t="str">
            <v>1;17;Q2;B;PAQ34a36</v>
          </cell>
          <cell r="B6914">
            <v>730069</v>
          </cell>
          <cell r="C6914" t="str">
            <v>Q2</v>
          </cell>
          <cell r="D6914" t="str">
            <v>BALEARES PORTUGAL AÉREO 2</v>
          </cell>
          <cell r="E6914" t="str">
            <v>17</v>
          </cell>
          <cell r="F6914" t="str">
            <v>PAQ34a36</v>
          </cell>
          <cell r="G6914" t="str">
            <v>B</v>
          </cell>
          <cell r="H6914">
            <v>165.54</v>
          </cell>
        </row>
        <row r="6915">
          <cell r="A6915" t="str">
            <v>4;17;Q2;B;PAQ34a36</v>
          </cell>
          <cell r="B6915">
            <v>730069</v>
          </cell>
          <cell r="C6915" t="str">
            <v>Q2</v>
          </cell>
          <cell r="D6915" t="str">
            <v>BALEARES PORTUGAL AÉREO 2</v>
          </cell>
          <cell r="E6915" t="str">
            <v>17</v>
          </cell>
          <cell r="F6915" t="str">
            <v>PAQ34a36</v>
          </cell>
          <cell r="G6915" t="str">
            <v>B</v>
          </cell>
          <cell r="H6915">
            <v>8</v>
          </cell>
        </row>
        <row r="6916">
          <cell r="A6916" t="str">
            <v>4;17;Q2;B;PAQ36a38</v>
          </cell>
          <cell r="B6916">
            <v>730069</v>
          </cell>
          <cell r="C6916" t="str">
            <v>Q2</v>
          </cell>
          <cell r="D6916" t="str">
            <v>BALEARES PORTUGAL AÉREO 2</v>
          </cell>
          <cell r="E6916" t="str">
            <v>17</v>
          </cell>
          <cell r="F6916" t="str">
            <v>PAQ36a38</v>
          </cell>
          <cell r="G6916" t="str">
            <v>B</v>
          </cell>
          <cell r="H6916">
            <v>8</v>
          </cell>
        </row>
        <row r="6917">
          <cell r="A6917" t="str">
            <v>1;17;Q2;B;PAQ36a38</v>
          </cell>
          <cell r="B6917">
            <v>730069</v>
          </cell>
          <cell r="C6917" t="str">
            <v>Q2</v>
          </cell>
          <cell r="D6917" t="str">
            <v>BALEARES PORTUGAL AÉREO 2</v>
          </cell>
          <cell r="E6917" t="str">
            <v>17</v>
          </cell>
          <cell r="F6917" t="str">
            <v>PAQ36a38</v>
          </cell>
          <cell r="G6917" t="str">
            <v>B</v>
          </cell>
          <cell r="H6917">
            <v>175.09</v>
          </cell>
        </row>
        <row r="6918">
          <cell r="A6918" t="str">
            <v>1;17;Q2;B;PAQ38a40</v>
          </cell>
          <cell r="B6918">
            <v>730069</v>
          </cell>
          <cell r="C6918" t="str">
            <v>Q2</v>
          </cell>
          <cell r="D6918" t="str">
            <v>BALEARES PORTUGAL AÉREO 2</v>
          </cell>
          <cell r="E6918" t="str">
            <v>17</v>
          </cell>
          <cell r="F6918" t="str">
            <v>PAQ38a40</v>
          </cell>
          <cell r="G6918" t="str">
            <v>B</v>
          </cell>
          <cell r="H6918">
            <v>184.63</v>
          </cell>
        </row>
        <row r="6919">
          <cell r="A6919" t="str">
            <v>4;17;Q2;B;PAQ38a40</v>
          </cell>
          <cell r="B6919">
            <v>730069</v>
          </cell>
          <cell r="C6919" t="str">
            <v>Q2</v>
          </cell>
          <cell r="D6919" t="str">
            <v>BALEARES PORTUGAL AÉREO 2</v>
          </cell>
          <cell r="E6919" t="str">
            <v>17</v>
          </cell>
          <cell r="F6919" t="str">
            <v>PAQ38a40</v>
          </cell>
          <cell r="G6919" t="str">
            <v>B</v>
          </cell>
          <cell r="H6919">
            <v>8</v>
          </cell>
        </row>
        <row r="6920">
          <cell r="A6920" t="str">
            <v>4;17;Q2;F;</v>
          </cell>
          <cell r="B6920">
            <v>730069</v>
          </cell>
          <cell r="C6920" t="str">
            <v>Q2</v>
          </cell>
          <cell r="D6920" t="str">
            <v>BALEARES PORTUGAL AÉREO 2</v>
          </cell>
          <cell r="E6920" t="str">
            <v>17</v>
          </cell>
          <cell r="F6920" t="str">
            <v/>
          </cell>
          <cell r="G6920" t="str">
            <v>F</v>
          </cell>
          <cell r="H6920">
            <v>0</v>
          </cell>
        </row>
        <row r="6921">
          <cell r="A6921" t="str">
            <v>1;17;Q2;F;</v>
          </cell>
          <cell r="B6921">
            <v>730069</v>
          </cell>
          <cell r="C6921" t="str">
            <v>Q2</v>
          </cell>
          <cell r="D6921" t="str">
            <v>BALEARES PORTUGAL AÉREO 2</v>
          </cell>
          <cell r="E6921" t="str">
            <v>17</v>
          </cell>
          <cell r="F6921" t="str">
            <v/>
          </cell>
          <cell r="G6921" t="str">
            <v>F</v>
          </cell>
          <cell r="H6921">
            <v>9.6</v>
          </cell>
        </row>
        <row r="6922">
          <cell r="A6922" t="str">
            <v>1;17;Q2;E;</v>
          </cell>
          <cell r="B6922">
            <v>730069</v>
          </cell>
          <cell r="C6922" t="str">
            <v>Q2</v>
          </cell>
          <cell r="D6922" t="str">
            <v>BALEARES PORTUGAL AÉREO 2</v>
          </cell>
          <cell r="E6922" t="str">
            <v>17</v>
          </cell>
          <cell r="F6922" t="str">
            <v/>
          </cell>
          <cell r="G6922" t="str">
            <v>E</v>
          </cell>
          <cell r="H6922">
            <v>0</v>
          </cell>
        </row>
        <row r="6923">
          <cell r="A6923" t="str">
            <v>1;17;Q2;P;</v>
          </cell>
          <cell r="B6923">
            <v>730069</v>
          </cell>
          <cell r="C6923" t="str">
            <v>Q2</v>
          </cell>
          <cell r="D6923" t="str">
            <v>BALEARES PORTUGAL AÉREO 2</v>
          </cell>
          <cell r="E6923" t="str">
            <v>17</v>
          </cell>
          <cell r="F6923" t="str">
            <v/>
          </cell>
          <cell r="G6923" t="str">
            <v>P</v>
          </cell>
          <cell r="H6923">
            <v>0</v>
          </cell>
        </row>
        <row r="6924">
          <cell r="A6924" t="str">
            <v>4;17;Q2;E;</v>
          </cell>
          <cell r="B6924">
            <v>730069</v>
          </cell>
          <cell r="C6924" t="str">
            <v>Q2</v>
          </cell>
          <cell r="D6924" t="str">
            <v>BALEARES PORTUGAL AÉREO 2</v>
          </cell>
          <cell r="E6924" t="str">
            <v>17</v>
          </cell>
          <cell r="F6924" t="str">
            <v/>
          </cell>
          <cell r="G6924" t="str">
            <v>E</v>
          </cell>
          <cell r="H6924">
            <v>0</v>
          </cell>
        </row>
        <row r="6925">
          <cell r="A6925" t="str">
            <v>4;17;Q2;P;</v>
          </cell>
          <cell r="B6925">
            <v>730069</v>
          </cell>
          <cell r="C6925" t="str">
            <v>Q2</v>
          </cell>
          <cell r="D6925" t="str">
            <v>BALEARES PORTUGAL AÉREO 2</v>
          </cell>
          <cell r="E6925" t="str">
            <v>17</v>
          </cell>
          <cell r="F6925" t="str">
            <v/>
          </cell>
          <cell r="G6925" t="str">
            <v>P</v>
          </cell>
          <cell r="H6925">
            <v>0</v>
          </cell>
        </row>
        <row r="6926">
          <cell r="A6926" t="str">
            <v>1;21;Q2;B;BAG</v>
          </cell>
          <cell r="B6926">
            <v>730069</v>
          </cell>
          <cell r="C6926" t="str">
            <v>Q2</v>
          </cell>
          <cell r="D6926" t="str">
            <v>BALEARES PORTUGAL AÉREO 2</v>
          </cell>
          <cell r="E6926" t="str">
            <v>21</v>
          </cell>
          <cell r="F6926" t="str">
            <v>BAG</v>
          </cell>
          <cell r="G6926" t="str">
            <v>B</v>
          </cell>
          <cell r="H6926">
            <v>26.89</v>
          </cell>
        </row>
        <row r="6927">
          <cell r="A6927" t="str">
            <v>4;21;Q2;B;BAG</v>
          </cell>
          <cell r="B6927">
            <v>730069</v>
          </cell>
          <cell r="C6927" t="str">
            <v>Q2</v>
          </cell>
          <cell r="D6927" t="str">
            <v>BALEARES PORTUGAL AÉREO 2</v>
          </cell>
          <cell r="E6927" t="str">
            <v>21</v>
          </cell>
          <cell r="F6927" t="str">
            <v>BAG</v>
          </cell>
          <cell r="G6927" t="str">
            <v>B</v>
          </cell>
          <cell r="H6927">
            <v>8</v>
          </cell>
        </row>
        <row r="6928">
          <cell r="A6928" t="str">
            <v>1;21;Q2;B;PAQ00a02</v>
          </cell>
          <cell r="B6928">
            <v>730069</v>
          </cell>
          <cell r="C6928" t="str">
            <v>Q2</v>
          </cell>
          <cell r="D6928" t="str">
            <v>BALEARES PORTUGAL AÉREO 2</v>
          </cell>
          <cell r="E6928" t="str">
            <v>21</v>
          </cell>
          <cell r="F6928" t="str">
            <v>PAQ00a02</v>
          </cell>
          <cell r="G6928" t="str">
            <v>B</v>
          </cell>
          <cell r="H6928">
            <v>30.28</v>
          </cell>
        </row>
        <row r="6929">
          <cell r="A6929" t="str">
            <v>4;21;Q2;B;PAQ00a02</v>
          </cell>
          <cell r="B6929">
            <v>730069</v>
          </cell>
          <cell r="C6929" t="str">
            <v>Q2</v>
          </cell>
          <cell r="D6929" t="str">
            <v>BALEARES PORTUGAL AÉREO 2</v>
          </cell>
          <cell r="E6929" t="str">
            <v>21</v>
          </cell>
          <cell r="F6929" t="str">
            <v>PAQ00a02</v>
          </cell>
          <cell r="G6929" t="str">
            <v>B</v>
          </cell>
          <cell r="H6929">
            <v>8</v>
          </cell>
        </row>
        <row r="6930">
          <cell r="A6930" t="str">
            <v>4;21;Q2;B;PAQ02a04</v>
          </cell>
          <cell r="B6930">
            <v>730069</v>
          </cell>
          <cell r="C6930" t="str">
            <v>Q2</v>
          </cell>
          <cell r="D6930" t="str">
            <v>BALEARES PORTUGAL AÉREO 2</v>
          </cell>
          <cell r="E6930" t="str">
            <v>21</v>
          </cell>
          <cell r="F6930" t="str">
            <v>PAQ02a04</v>
          </cell>
          <cell r="G6930" t="str">
            <v>B</v>
          </cell>
          <cell r="H6930">
            <v>8</v>
          </cell>
        </row>
        <row r="6931">
          <cell r="A6931" t="str">
            <v>1;21;Q2;B;PAQ02a04</v>
          </cell>
          <cell r="B6931">
            <v>730069</v>
          </cell>
          <cell r="C6931" t="str">
            <v>Q2</v>
          </cell>
          <cell r="D6931" t="str">
            <v>BALEARES PORTUGAL AÉREO 2</v>
          </cell>
          <cell r="E6931" t="str">
            <v>21</v>
          </cell>
          <cell r="F6931" t="str">
            <v>PAQ02a04</v>
          </cell>
          <cell r="G6931" t="str">
            <v>B</v>
          </cell>
          <cell r="H6931">
            <v>43.22</v>
          </cell>
        </row>
        <row r="6932">
          <cell r="A6932" t="str">
            <v>4;21;Q2;B;PAQ04a06</v>
          </cell>
          <cell r="B6932">
            <v>730069</v>
          </cell>
          <cell r="C6932" t="str">
            <v>Q2</v>
          </cell>
          <cell r="D6932" t="str">
            <v>BALEARES PORTUGAL AÉREO 2</v>
          </cell>
          <cell r="E6932" t="str">
            <v>21</v>
          </cell>
          <cell r="F6932" t="str">
            <v>PAQ04a06</v>
          </cell>
          <cell r="G6932" t="str">
            <v>B</v>
          </cell>
          <cell r="H6932">
            <v>8</v>
          </cell>
        </row>
        <row r="6933">
          <cell r="A6933" t="str">
            <v>1;21;Q2;B;PAQ04a06</v>
          </cell>
          <cell r="B6933">
            <v>730069</v>
          </cell>
          <cell r="C6933" t="str">
            <v>Q2</v>
          </cell>
          <cell r="D6933" t="str">
            <v>BALEARES PORTUGAL AÉREO 2</v>
          </cell>
          <cell r="E6933" t="str">
            <v>21</v>
          </cell>
          <cell r="F6933" t="str">
            <v>PAQ04a06</v>
          </cell>
          <cell r="G6933" t="str">
            <v>B</v>
          </cell>
          <cell r="H6933">
            <v>56.49</v>
          </cell>
        </row>
        <row r="6934">
          <cell r="A6934" t="str">
            <v>1;21;Q2;B;PAQ06a08</v>
          </cell>
          <cell r="B6934">
            <v>730069</v>
          </cell>
          <cell r="C6934" t="str">
            <v>Q2</v>
          </cell>
          <cell r="D6934" t="str">
            <v>BALEARES PORTUGAL AÉREO 2</v>
          </cell>
          <cell r="E6934" t="str">
            <v>21</v>
          </cell>
          <cell r="F6934" t="str">
            <v>PAQ06a08</v>
          </cell>
          <cell r="G6934" t="str">
            <v>B</v>
          </cell>
          <cell r="H6934">
            <v>69.760000000000005</v>
          </cell>
        </row>
        <row r="6935">
          <cell r="A6935" t="str">
            <v>4;21;Q2;B;PAQ06a08</v>
          </cell>
          <cell r="B6935">
            <v>730069</v>
          </cell>
          <cell r="C6935" t="str">
            <v>Q2</v>
          </cell>
          <cell r="D6935" t="str">
            <v>BALEARES PORTUGAL AÉREO 2</v>
          </cell>
          <cell r="E6935" t="str">
            <v>21</v>
          </cell>
          <cell r="F6935" t="str">
            <v>PAQ06a08</v>
          </cell>
          <cell r="G6935" t="str">
            <v>B</v>
          </cell>
          <cell r="H6935">
            <v>8</v>
          </cell>
        </row>
        <row r="6936">
          <cell r="A6936" t="str">
            <v>1;21;Q2;B;PAQ08a10</v>
          </cell>
          <cell r="B6936">
            <v>730069</v>
          </cell>
          <cell r="C6936" t="str">
            <v>Q2</v>
          </cell>
          <cell r="D6936" t="str">
            <v>BALEARES PORTUGAL AÉREO 2</v>
          </cell>
          <cell r="E6936" t="str">
            <v>21</v>
          </cell>
          <cell r="F6936" t="str">
            <v>PAQ08a10</v>
          </cell>
          <cell r="G6936" t="str">
            <v>B</v>
          </cell>
          <cell r="H6936">
            <v>83.03</v>
          </cell>
        </row>
        <row r="6937">
          <cell r="A6937" t="str">
            <v>4;21;Q2;B;PAQ08a10</v>
          </cell>
          <cell r="B6937">
            <v>730069</v>
          </cell>
          <cell r="C6937" t="str">
            <v>Q2</v>
          </cell>
          <cell r="D6937" t="str">
            <v>BALEARES PORTUGAL AÉREO 2</v>
          </cell>
          <cell r="E6937" t="str">
            <v>21</v>
          </cell>
          <cell r="F6937" t="str">
            <v>PAQ08a10</v>
          </cell>
          <cell r="G6937" t="str">
            <v>B</v>
          </cell>
          <cell r="H6937">
            <v>8</v>
          </cell>
        </row>
        <row r="6938">
          <cell r="A6938" t="str">
            <v>4;21;Q2;B;PAQ10a12</v>
          </cell>
          <cell r="B6938">
            <v>730069</v>
          </cell>
          <cell r="C6938" t="str">
            <v>Q2</v>
          </cell>
          <cell r="D6938" t="str">
            <v>BALEARES PORTUGAL AÉREO 2</v>
          </cell>
          <cell r="E6938" t="str">
            <v>21</v>
          </cell>
          <cell r="F6938" t="str">
            <v>PAQ10a12</v>
          </cell>
          <cell r="G6938" t="str">
            <v>B</v>
          </cell>
          <cell r="H6938">
            <v>8</v>
          </cell>
        </row>
        <row r="6939">
          <cell r="A6939" t="str">
            <v>1;21;Q2;B;PAQ10a12</v>
          </cell>
          <cell r="B6939">
            <v>730069</v>
          </cell>
          <cell r="C6939" t="str">
            <v>Q2</v>
          </cell>
          <cell r="D6939" t="str">
            <v>BALEARES PORTUGAL AÉREO 2</v>
          </cell>
          <cell r="E6939" t="str">
            <v>21</v>
          </cell>
          <cell r="F6939" t="str">
            <v>PAQ10a12</v>
          </cell>
          <cell r="G6939" t="str">
            <v>B</v>
          </cell>
          <cell r="H6939">
            <v>96.31</v>
          </cell>
        </row>
        <row r="6940">
          <cell r="A6940" t="str">
            <v>4;21;Q2;B;PAQ12a14</v>
          </cell>
          <cell r="B6940">
            <v>730069</v>
          </cell>
          <cell r="C6940" t="str">
            <v>Q2</v>
          </cell>
          <cell r="D6940" t="str">
            <v>BALEARES PORTUGAL AÉREO 2</v>
          </cell>
          <cell r="E6940" t="str">
            <v>21</v>
          </cell>
          <cell r="F6940" t="str">
            <v>PAQ12a14</v>
          </cell>
          <cell r="G6940" t="str">
            <v>B</v>
          </cell>
          <cell r="H6940">
            <v>8</v>
          </cell>
        </row>
        <row r="6941">
          <cell r="A6941" t="str">
            <v>1;21;Q2;B;PAQ12a14</v>
          </cell>
          <cell r="B6941">
            <v>730069</v>
          </cell>
          <cell r="C6941" t="str">
            <v>Q2</v>
          </cell>
          <cell r="D6941" t="str">
            <v>BALEARES PORTUGAL AÉREO 2</v>
          </cell>
          <cell r="E6941" t="str">
            <v>21</v>
          </cell>
          <cell r="F6941" t="str">
            <v>PAQ12a14</v>
          </cell>
          <cell r="G6941" t="str">
            <v>B</v>
          </cell>
          <cell r="H6941">
            <v>109.56</v>
          </cell>
        </row>
        <row r="6942">
          <cell r="A6942" t="str">
            <v>1;21;Q2;B;PAQ14a16</v>
          </cell>
          <cell r="B6942">
            <v>730069</v>
          </cell>
          <cell r="C6942" t="str">
            <v>Q2</v>
          </cell>
          <cell r="D6942" t="str">
            <v>BALEARES PORTUGAL AÉREO 2</v>
          </cell>
          <cell r="E6942" t="str">
            <v>21</v>
          </cell>
          <cell r="F6942" t="str">
            <v>PAQ14a16</v>
          </cell>
          <cell r="G6942" t="str">
            <v>B</v>
          </cell>
          <cell r="H6942">
            <v>122.84</v>
          </cell>
        </row>
        <row r="6943">
          <cell r="A6943" t="str">
            <v>4;21;Q2;B;PAQ14a16</v>
          </cell>
          <cell r="B6943">
            <v>730069</v>
          </cell>
          <cell r="C6943" t="str">
            <v>Q2</v>
          </cell>
          <cell r="D6943" t="str">
            <v>BALEARES PORTUGAL AÉREO 2</v>
          </cell>
          <cell r="E6943" t="str">
            <v>21</v>
          </cell>
          <cell r="F6943" t="str">
            <v>PAQ14a16</v>
          </cell>
          <cell r="G6943" t="str">
            <v>B</v>
          </cell>
          <cell r="H6943">
            <v>8</v>
          </cell>
        </row>
        <row r="6944">
          <cell r="A6944" t="str">
            <v>1;21;Q2;B;PAQ16a18</v>
          </cell>
          <cell r="B6944">
            <v>730069</v>
          </cell>
          <cell r="C6944" t="str">
            <v>Q2</v>
          </cell>
          <cell r="D6944" t="str">
            <v>BALEARES PORTUGAL AÉREO 2</v>
          </cell>
          <cell r="E6944" t="str">
            <v>21</v>
          </cell>
          <cell r="F6944" t="str">
            <v>PAQ16a18</v>
          </cell>
          <cell r="G6944" t="str">
            <v>B</v>
          </cell>
          <cell r="H6944">
            <v>136.1</v>
          </cell>
        </row>
        <row r="6945">
          <cell r="A6945" t="str">
            <v>4;21;Q2;B;PAQ16a18</v>
          </cell>
          <cell r="B6945">
            <v>730069</v>
          </cell>
          <cell r="C6945" t="str">
            <v>Q2</v>
          </cell>
          <cell r="D6945" t="str">
            <v>BALEARES PORTUGAL AÉREO 2</v>
          </cell>
          <cell r="E6945" t="str">
            <v>21</v>
          </cell>
          <cell r="F6945" t="str">
            <v>PAQ16a18</v>
          </cell>
          <cell r="G6945" t="str">
            <v>B</v>
          </cell>
          <cell r="H6945">
            <v>8</v>
          </cell>
        </row>
        <row r="6946">
          <cell r="A6946" t="str">
            <v>4;21;Q2;B;PAQ18a20</v>
          </cell>
          <cell r="B6946">
            <v>730069</v>
          </cell>
          <cell r="C6946" t="str">
            <v>Q2</v>
          </cell>
          <cell r="D6946" t="str">
            <v>BALEARES PORTUGAL AÉREO 2</v>
          </cell>
          <cell r="E6946" t="str">
            <v>21</v>
          </cell>
          <cell r="F6946" t="str">
            <v>PAQ18a20</v>
          </cell>
          <cell r="G6946" t="str">
            <v>B</v>
          </cell>
          <cell r="H6946">
            <v>8</v>
          </cell>
        </row>
        <row r="6947">
          <cell r="A6947" t="str">
            <v>1;21;Q2;B;PAQ18a20</v>
          </cell>
          <cell r="B6947">
            <v>730069</v>
          </cell>
          <cell r="C6947" t="str">
            <v>Q2</v>
          </cell>
          <cell r="D6947" t="str">
            <v>BALEARES PORTUGAL AÉREO 2</v>
          </cell>
          <cell r="E6947" t="str">
            <v>21</v>
          </cell>
          <cell r="F6947" t="str">
            <v>PAQ18a20</v>
          </cell>
          <cell r="G6947" t="str">
            <v>B</v>
          </cell>
          <cell r="H6947">
            <v>149.38</v>
          </cell>
        </row>
        <row r="6948">
          <cell r="A6948" t="str">
            <v>1;21;Q2;B;PAQ20a22</v>
          </cell>
          <cell r="B6948">
            <v>730069</v>
          </cell>
          <cell r="C6948" t="str">
            <v>Q2</v>
          </cell>
          <cell r="D6948" t="str">
            <v>BALEARES PORTUGAL AÉREO 2</v>
          </cell>
          <cell r="E6948" t="str">
            <v>21</v>
          </cell>
          <cell r="F6948" t="str">
            <v>PAQ20a22</v>
          </cell>
          <cell r="G6948" t="str">
            <v>B</v>
          </cell>
          <cell r="H6948">
            <v>162.65</v>
          </cell>
        </row>
        <row r="6949">
          <cell r="A6949" t="str">
            <v>4;21;Q2;B;PAQ20a22</v>
          </cell>
          <cell r="B6949">
            <v>730069</v>
          </cell>
          <cell r="C6949" t="str">
            <v>Q2</v>
          </cell>
          <cell r="D6949" t="str">
            <v>BALEARES PORTUGAL AÉREO 2</v>
          </cell>
          <cell r="E6949" t="str">
            <v>21</v>
          </cell>
          <cell r="F6949" t="str">
            <v>PAQ20a22</v>
          </cell>
          <cell r="G6949" t="str">
            <v>B</v>
          </cell>
          <cell r="H6949">
            <v>8</v>
          </cell>
        </row>
        <row r="6950">
          <cell r="A6950" t="str">
            <v>1;21;Q2;B;PAQ22a24</v>
          </cell>
          <cell r="B6950">
            <v>730069</v>
          </cell>
          <cell r="C6950" t="str">
            <v>Q2</v>
          </cell>
          <cell r="D6950" t="str">
            <v>BALEARES PORTUGAL AÉREO 2</v>
          </cell>
          <cell r="E6950" t="str">
            <v>21</v>
          </cell>
          <cell r="F6950" t="str">
            <v>PAQ22a24</v>
          </cell>
          <cell r="G6950" t="str">
            <v>B</v>
          </cell>
          <cell r="H6950">
            <v>175.92</v>
          </cell>
        </row>
        <row r="6951">
          <cell r="A6951" t="str">
            <v>4;21;Q2;B;PAQ22a24</v>
          </cell>
          <cell r="B6951">
            <v>730069</v>
          </cell>
          <cell r="C6951" t="str">
            <v>Q2</v>
          </cell>
          <cell r="D6951" t="str">
            <v>BALEARES PORTUGAL AÉREO 2</v>
          </cell>
          <cell r="E6951" t="str">
            <v>21</v>
          </cell>
          <cell r="F6951" t="str">
            <v>PAQ22a24</v>
          </cell>
          <cell r="G6951" t="str">
            <v>B</v>
          </cell>
          <cell r="H6951">
            <v>8</v>
          </cell>
        </row>
        <row r="6952">
          <cell r="A6952" t="str">
            <v>1;21;Q2;B;PAQ24a26</v>
          </cell>
          <cell r="B6952">
            <v>730069</v>
          </cell>
          <cell r="C6952" t="str">
            <v>Q2</v>
          </cell>
          <cell r="D6952" t="str">
            <v>BALEARES PORTUGAL AÉREO 2</v>
          </cell>
          <cell r="E6952" t="str">
            <v>21</v>
          </cell>
          <cell r="F6952" t="str">
            <v>PAQ24a26</v>
          </cell>
          <cell r="G6952" t="str">
            <v>B</v>
          </cell>
          <cell r="H6952">
            <v>189.19</v>
          </cell>
        </row>
        <row r="6953">
          <cell r="A6953" t="str">
            <v>4;21;Q2;B;PAQ24a26</v>
          </cell>
          <cell r="B6953">
            <v>730069</v>
          </cell>
          <cell r="C6953" t="str">
            <v>Q2</v>
          </cell>
          <cell r="D6953" t="str">
            <v>BALEARES PORTUGAL AÉREO 2</v>
          </cell>
          <cell r="E6953" t="str">
            <v>21</v>
          </cell>
          <cell r="F6953" t="str">
            <v>PAQ24a26</v>
          </cell>
          <cell r="G6953" t="str">
            <v>B</v>
          </cell>
          <cell r="H6953">
            <v>8</v>
          </cell>
        </row>
        <row r="6954">
          <cell r="A6954" t="str">
            <v>1;21;Q2;B;PAQ26a28</v>
          </cell>
          <cell r="B6954">
            <v>730069</v>
          </cell>
          <cell r="C6954" t="str">
            <v>Q2</v>
          </cell>
          <cell r="D6954" t="str">
            <v>BALEARES PORTUGAL AÉREO 2</v>
          </cell>
          <cell r="E6954" t="str">
            <v>21</v>
          </cell>
          <cell r="F6954" t="str">
            <v>PAQ26a28</v>
          </cell>
          <cell r="G6954" t="str">
            <v>B</v>
          </cell>
          <cell r="H6954">
            <v>202.47</v>
          </cell>
        </row>
        <row r="6955">
          <cell r="A6955" t="str">
            <v>4;21;Q2;B;PAQ26a28</v>
          </cell>
          <cell r="B6955">
            <v>730069</v>
          </cell>
          <cell r="C6955" t="str">
            <v>Q2</v>
          </cell>
          <cell r="D6955" t="str">
            <v>BALEARES PORTUGAL AÉREO 2</v>
          </cell>
          <cell r="E6955" t="str">
            <v>21</v>
          </cell>
          <cell r="F6955" t="str">
            <v>PAQ26a28</v>
          </cell>
          <cell r="G6955" t="str">
            <v>B</v>
          </cell>
          <cell r="H6955">
            <v>8</v>
          </cell>
        </row>
        <row r="6956">
          <cell r="A6956" t="str">
            <v>1;21;Q2;B;PAQ28a30</v>
          </cell>
          <cell r="B6956">
            <v>730069</v>
          </cell>
          <cell r="C6956" t="str">
            <v>Q2</v>
          </cell>
          <cell r="D6956" t="str">
            <v>BALEARES PORTUGAL AÉREO 2</v>
          </cell>
          <cell r="E6956" t="str">
            <v>21</v>
          </cell>
          <cell r="F6956" t="str">
            <v>PAQ28a30</v>
          </cell>
          <cell r="G6956" t="str">
            <v>B</v>
          </cell>
          <cell r="H6956">
            <v>215.73</v>
          </cell>
        </row>
        <row r="6957">
          <cell r="A6957" t="str">
            <v>4;21;Q2;B;PAQ28a30</v>
          </cell>
          <cell r="B6957">
            <v>730069</v>
          </cell>
          <cell r="C6957" t="str">
            <v>Q2</v>
          </cell>
          <cell r="D6957" t="str">
            <v>BALEARES PORTUGAL AÉREO 2</v>
          </cell>
          <cell r="E6957" t="str">
            <v>21</v>
          </cell>
          <cell r="F6957" t="str">
            <v>PAQ28a30</v>
          </cell>
          <cell r="G6957" t="str">
            <v>B</v>
          </cell>
          <cell r="H6957">
            <v>8</v>
          </cell>
        </row>
        <row r="6958">
          <cell r="A6958" t="str">
            <v>1;21;Q2;B;PAQ30a32</v>
          </cell>
          <cell r="B6958">
            <v>730069</v>
          </cell>
          <cell r="C6958" t="str">
            <v>Q2</v>
          </cell>
          <cell r="D6958" t="str">
            <v>BALEARES PORTUGAL AÉREO 2</v>
          </cell>
          <cell r="E6958" t="str">
            <v>21</v>
          </cell>
          <cell r="F6958" t="str">
            <v>PAQ30a32</v>
          </cell>
          <cell r="G6958" t="str">
            <v>B</v>
          </cell>
          <cell r="H6958">
            <v>229.01</v>
          </cell>
        </row>
        <row r="6959">
          <cell r="A6959" t="str">
            <v>4;21;Q2;B;PAQ30a32</v>
          </cell>
          <cell r="B6959">
            <v>730069</v>
          </cell>
          <cell r="C6959" t="str">
            <v>Q2</v>
          </cell>
          <cell r="D6959" t="str">
            <v>BALEARES PORTUGAL AÉREO 2</v>
          </cell>
          <cell r="E6959" t="str">
            <v>21</v>
          </cell>
          <cell r="F6959" t="str">
            <v>PAQ30a32</v>
          </cell>
          <cell r="G6959" t="str">
            <v>B</v>
          </cell>
          <cell r="H6959">
            <v>8</v>
          </cell>
        </row>
        <row r="6960">
          <cell r="A6960" t="str">
            <v>1;21;Q2;B;PAQ32a34</v>
          </cell>
          <cell r="B6960">
            <v>730069</v>
          </cell>
          <cell r="C6960" t="str">
            <v>Q2</v>
          </cell>
          <cell r="D6960" t="str">
            <v>BALEARES PORTUGAL AÉREO 2</v>
          </cell>
          <cell r="E6960" t="str">
            <v>21</v>
          </cell>
          <cell r="F6960" t="str">
            <v>PAQ32a34</v>
          </cell>
          <cell r="G6960" t="str">
            <v>B</v>
          </cell>
          <cell r="H6960">
            <v>242.27</v>
          </cell>
        </row>
        <row r="6961">
          <cell r="A6961" t="str">
            <v>4;21;Q2;B;PAQ32a34</v>
          </cell>
          <cell r="B6961">
            <v>730069</v>
          </cell>
          <cell r="C6961" t="str">
            <v>Q2</v>
          </cell>
          <cell r="D6961" t="str">
            <v>BALEARES PORTUGAL AÉREO 2</v>
          </cell>
          <cell r="E6961" t="str">
            <v>21</v>
          </cell>
          <cell r="F6961" t="str">
            <v>PAQ32a34</v>
          </cell>
          <cell r="G6961" t="str">
            <v>B</v>
          </cell>
          <cell r="H6961">
            <v>8</v>
          </cell>
        </row>
        <row r="6962">
          <cell r="A6962" t="str">
            <v>1;21;Q2;B;PAQ34a36</v>
          </cell>
          <cell r="B6962">
            <v>730069</v>
          </cell>
          <cell r="C6962" t="str">
            <v>Q2</v>
          </cell>
          <cell r="D6962" t="str">
            <v>BALEARES PORTUGAL AÉREO 2</v>
          </cell>
          <cell r="E6962" t="str">
            <v>21</v>
          </cell>
          <cell r="F6962" t="str">
            <v>PAQ34a36</v>
          </cell>
          <cell r="G6962" t="str">
            <v>B</v>
          </cell>
          <cell r="H6962">
            <v>255.54</v>
          </cell>
        </row>
        <row r="6963">
          <cell r="A6963" t="str">
            <v>4;21;Q2;B;PAQ34a36</v>
          </cell>
          <cell r="B6963">
            <v>730069</v>
          </cell>
          <cell r="C6963" t="str">
            <v>Q2</v>
          </cell>
          <cell r="D6963" t="str">
            <v>BALEARES PORTUGAL AÉREO 2</v>
          </cell>
          <cell r="E6963" t="str">
            <v>21</v>
          </cell>
          <cell r="F6963" t="str">
            <v>PAQ34a36</v>
          </cell>
          <cell r="G6963" t="str">
            <v>B</v>
          </cell>
          <cell r="H6963">
            <v>8</v>
          </cell>
        </row>
        <row r="6964">
          <cell r="A6964" t="str">
            <v>1;21;Q2;B;PAQ36a38</v>
          </cell>
          <cell r="B6964">
            <v>730069</v>
          </cell>
          <cell r="C6964" t="str">
            <v>Q2</v>
          </cell>
          <cell r="D6964" t="str">
            <v>BALEARES PORTUGAL AÉREO 2</v>
          </cell>
          <cell r="E6964" t="str">
            <v>21</v>
          </cell>
          <cell r="F6964" t="str">
            <v>PAQ36a38</v>
          </cell>
          <cell r="G6964" t="str">
            <v>B</v>
          </cell>
          <cell r="H6964">
            <v>268.81</v>
          </cell>
        </row>
        <row r="6965">
          <cell r="A6965" t="str">
            <v>4;21;Q2;B;PAQ36a38</v>
          </cell>
          <cell r="B6965">
            <v>730069</v>
          </cell>
          <cell r="C6965" t="str">
            <v>Q2</v>
          </cell>
          <cell r="D6965" t="str">
            <v>BALEARES PORTUGAL AÉREO 2</v>
          </cell>
          <cell r="E6965" t="str">
            <v>21</v>
          </cell>
          <cell r="F6965" t="str">
            <v>PAQ36a38</v>
          </cell>
          <cell r="G6965" t="str">
            <v>B</v>
          </cell>
          <cell r="H6965">
            <v>8</v>
          </cell>
        </row>
        <row r="6966">
          <cell r="A6966" t="str">
            <v>1;21;Q2;F;</v>
          </cell>
          <cell r="B6966">
            <v>730069</v>
          </cell>
          <cell r="C6966" t="str">
            <v>Q2</v>
          </cell>
          <cell r="D6966" t="str">
            <v>BALEARES PORTUGAL AÉREO 2</v>
          </cell>
          <cell r="E6966" t="str">
            <v>21</v>
          </cell>
          <cell r="F6966" t="str">
            <v/>
          </cell>
          <cell r="G6966" t="str">
            <v>F</v>
          </cell>
          <cell r="H6966">
            <v>13.28</v>
          </cell>
        </row>
        <row r="6967">
          <cell r="A6967" t="str">
            <v>1;21;Q2;B;PAQ38a40</v>
          </cell>
          <cell r="B6967">
            <v>730069</v>
          </cell>
          <cell r="C6967" t="str">
            <v>Q2</v>
          </cell>
          <cell r="D6967" t="str">
            <v>BALEARES PORTUGAL AÉREO 2</v>
          </cell>
          <cell r="E6967" t="str">
            <v>21</v>
          </cell>
          <cell r="F6967" t="str">
            <v>PAQ38a40</v>
          </cell>
          <cell r="G6967" t="str">
            <v>B</v>
          </cell>
          <cell r="H6967">
            <v>282.08999999999997</v>
          </cell>
        </row>
        <row r="6968">
          <cell r="A6968" t="str">
            <v>4;21;Q2;B;PAQ38a40</v>
          </cell>
          <cell r="B6968">
            <v>730069</v>
          </cell>
          <cell r="C6968" t="str">
            <v>Q2</v>
          </cell>
          <cell r="D6968" t="str">
            <v>BALEARES PORTUGAL AÉREO 2</v>
          </cell>
          <cell r="E6968" t="str">
            <v>21</v>
          </cell>
          <cell r="F6968" t="str">
            <v>PAQ38a40</v>
          </cell>
          <cell r="G6968" t="str">
            <v>B</v>
          </cell>
          <cell r="H6968">
            <v>8</v>
          </cell>
        </row>
        <row r="6969">
          <cell r="A6969" t="str">
            <v>4;21;Q2;F;</v>
          </cell>
          <cell r="B6969">
            <v>730069</v>
          </cell>
          <cell r="C6969" t="str">
            <v>Q2</v>
          </cell>
          <cell r="D6969" t="str">
            <v>BALEARES PORTUGAL AÉREO 2</v>
          </cell>
          <cell r="E6969" t="str">
            <v>21</v>
          </cell>
          <cell r="F6969" t="str">
            <v/>
          </cell>
          <cell r="G6969" t="str">
            <v>F</v>
          </cell>
          <cell r="H6969">
            <v>0</v>
          </cell>
        </row>
        <row r="6970">
          <cell r="A6970" t="str">
            <v>4;21;Q2;P;</v>
          </cell>
          <cell r="B6970">
            <v>730069</v>
          </cell>
          <cell r="C6970" t="str">
            <v>Q2</v>
          </cell>
          <cell r="D6970" t="str">
            <v>BALEARES PORTUGAL AÉREO 2</v>
          </cell>
          <cell r="E6970" t="str">
            <v>21</v>
          </cell>
          <cell r="F6970" t="str">
            <v/>
          </cell>
          <cell r="G6970" t="str">
            <v>P</v>
          </cell>
          <cell r="H6970">
            <v>0</v>
          </cell>
        </row>
        <row r="6971">
          <cell r="A6971" t="str">
            <v>4;21;Q2;E;</v>
          </cell>
          <cell r="B6971">
            <v>730069</v>
          </cell>
          <cell r="C6971" t="str">
            <v>Q2</v>
          </cell>
          <cell r="D6971" t="str">
            <v>BALEARES PORTUGAL AÉREO 2</v>
          </cell>
          <cell r="E6971" t="str">
            <v>21</v>
          </cell>
          <cell r="F6971" t="str">
            <v/>
          </cell>
          <cell r="G6971" t="str">
            <v>E</v>
          </cell>
          <cell r="H6971">
            <v>0</v>
          </cell>
        </row>
        <row r="6972">
          <cell r="A6972" t="str">
            <v>1;21;Q2;P;</v>
          </cell>
          <cell r="B6972">
            <v>730069</v>
          </cell>
          <cell r="C6972" t="str">
            <v>Q2</v>
          </cell>
          <cell r="D6972" t="str">
            <v>BALEARES PORTUGAL AÉREO 2</v>
          </cell>
          <cell r="E6972" t="str">
            <v>21</v>
          </cell>
          <cell r="F6972" t="str">
            <v/>
          </cell>
          <cell r="G6972" t="str">
            <v>P</v>
          </cell>
          <cell r="H6972">
            <v>0</v>
          </cell>
        </row>
        <row r="6973">
          <cell r="A6973" t="str">
            <v>1;21;Q2;E;</v>
          </cell>
          <cell r="B6973">
            <v>730069</v>
          </cell>
          <cell r="C6973" t="str">
            <v>Q2</v>
          </cell>
          <cell r="D6973" t="str">
            <v>BALEARES PORTUGAL AÉREO 2</v>
          </cell>
          <cell r="E6973" t="str">
            <v>21</v>
          </cell>
          <cell r="F6973" t="str">
            <v/>
          </cell>
          <cell r="G6973" t="str">
            <v>E</v>
          </cell>
          <cell r="H6973">
            <v>0</v>
          </cell>
        </row>
        <row r="6974">
          <cell r="A6974" t="str">
            <v>1;27;Q2;B;PAQ00a02</v>
          </cell>
          <cell r="B6974">
            <v>730069</v>
          </cell>
          <cell r="C6974" t="str">
            <v>Q2</v>
          </cell>
          <cell r="D6974" t="str">
            <v>BALEARES PORTUGAL AÉREO 2</v>
          </cell>
          <cell r="E6974" t="str">
            <v>27</v>
          </cell>
          <cell r="F6974" t="str">
            <v>PAQ00a02</v>
          </cell>
          <cell r="G6974" t="str">
            <v>B</v>
          </cell>
          <cell r="H6974">
            <v>18.91</v>
          </cell>
        </row>
        <row r="6975">
          <cell r="A6975" t="str">
            <v>4;27;Q2;B;PAQ00a02</v>
          </cell>
          <cell r="B6975">
            <v>730069</v>
          </cell>
          <cell r="C6975" t="str">
            <v>Q2</v>
          </cell>
          <cell r="D6975" t="str">
            <v>BALEARES PORTUGAL AÉREO 2</v>
          </cell>
          <cell r="E6975" t="str">
            <v>27</v>
          </cell>
          <cell r="F6975" t="str">
            <v>PAQ00a02</v>
          </cell>
          <cell r="G6975" t="str">
            <v>B</v>
          </cell>
          <cell r="H6975">
            <v>8</v>
          </cell>
        </row>
        <row r="6976">
          <cell r="A6976" t="str">
            <v>4;27;Q2;B;PAQ02a04</v>
          </cell>
          <cell r="B6976">
            <v>730069</v>
          </cell>
          <cell r="C6976" t="str">
            <v>Q2</v>
          </cell>
          <cell r="D6976" t="str">
            <v>BALEARES PORTUGAL AÉREO 2</v>
          </cell>
          <cell r="E6976" t="str">
            <v>27</v>
          </cell>
          <cell r="F6976" t="str">
            <v>PAQ02a04</v>
          </cell>
          <cell r="G6976" t="str">
            <v>B</v>
          </cell>
          <cell r="H6976">
            <v>8</v>
          </cell>
        </row>
        <row r="6977">
          <cell r="A6977" t="str">
            <v>1;27;Q2;B;PAQ02a04</v>
          </cell>
          <cell r="B6977">
            <v>730069</v>
          </cell>
          <cell r="C6977" t="str">
            <v>Q2</v>
          </cell>
          <cell r="D6977" t="str">
            <v>BALEARES PORTUGAL AÉREO 2</v>
          </cell>
          <cell r="E6977" t="str">
            <v>27</v>
          </cell>
          <cell r="F6977" t="str">
            <v>PAQ02a04</v>
          </cell>
          <cell r="G6977" t="str">
            <v>B</v>
          </cell>
          <cell r="H6977">
            <v>27.72</v>
          </cell>
        </row>
        <row r="6978">
          <cell r="A6978" t="str">
            <v>4;27;Q2;B;PAQ04a06</v>
          </cell>
          <cell r="B6978">
            <v>730069</v>
          </cell>
          <cell r="C6978" t="str">
            <v>Q2</v>
          </cell>
          <cell r="D6978" t="str">
            <v>BALEARES PORTUGAL AÉREO 2</v>
          </cell>
          <cell r="E6978" t="str">
            <v>27</v>
          </cell>
          <cell r="F6978" t="str">
            <v>PAQ04a06</v>
          </cell>
          <cell r="G6978" t="str">
            <v>B</v>
          </cell>
          <cell r="H6978">
            <v>8</v>
          </cell>
        </row>
        <row r="6979">
          <cell r="A6979" t="str">
            <v>1;27;Q2;B;PAQ04a06</v>
          </cell>
          <cell r="B6979">
            <v>730069</v>
          </cell>
          <cell r="C6979" t="str">
            <v>Q2</v>
          </cell>
          <cell r="D6979" t="str">
            <v>BALEARES PORTUGAL AÉREO 2</v>
          </cell>
          <cell r="E6979" t="str">
            <v>27</v>
          </cell>
          <cell r="F6979" t="str">
            <v>PAQ04a06</v>
          </cell>
          <cell r="G6979" t="str">
            <v>B</v>
          </cell>
          <cell r="H6979">
            <v>37.07</v>
          </cell>
        </row>
        <row r="6980">
          <cell r="A6980" t="str">
            <v>1;27;Q2;B;PAQ06a08</v>
          </cell>
          <cell r="B6980">
            <v>730069</v>
          </cell>
          <cell r="C6980" t="str">
            <v>Q2</v>
          </cell>
          <cell r="D6980" t="str">
            <v>BALEARES PORTUGAL AÉREO 2</v>
          </cell>
          <cell r="E6980" t="str">
            <v>27</v>
          </cell>
          <cell r="F6980" t="str">
            <v>PAQ06a08</v>
          </cell>
          <cell r="G6980" t="str">
            <v>B</v>
          </cell>
          <cell r="H6980">
            <v>44.95</v>
          </cell>
        </row>
        <row r="6981">
          <cell r="A6981" t="str">
            <v>4;27;Q2;B;PAQ06a08</v>
          </cell>
          <cell r="B6981">
            <v>730069</v>
          </cell>
          <cell r="C6981" t="str">
            <v>Q2</v>
          </cell>
          <cell r="D6981" t="str">
            <v>BALEARES PORTUGAL AÉREO 2</v>
          </cell>
          <cell r="E6981" t="str">
            <v>27</v>
          </cell>
          <cell r="F6981" t="str">
            <v>PAQ06a08</v>
          </cell>
          <cell r="G6981" t="str">
            <v>B</v>
          </cell>
          <cell r="H6981">
            <v>8</v>
          </cell>
        </row>
        <row r="6982">
          <cell r="A6982" t="str">
            <v>1;27;Q2;B;PAQ08a10</v>
          </cell>
          <cell r="B6982">
            <v>730069</v>
          </cell>
          <cell r="C6982" t="str">
            <v>Q2</v>
          </cell>
          <cell r="D6982" t="str">
            <v>BALEARES PORTUGAL AÉREO 2</v>
          </cell>
          <cell r="E6982" t="str">
            <v>27</v>
          </cell>
          <cell r="F6982" t="str">
            <v>PAQ08a10</v>
          </cell>
          <cell r="G6982" t="str">
            <v>B</v>
          </cell>
          <cell r="H6982">
            <v>52.65</v>
          </cell>
        </row>
        <row r="6983">
          <cell r="A6983" t="str">
            <v>4;27;Q2;B;PAQ08a10</v>
          </cell>
          <cell r="B6983">
            <v>730069</v>
          </cell>
          <cell r="C6983" t="str">
            <v>Q2</v>
          </cell>
          <cell r="D6983" t="str">
            <v>BALEARES PORTUGAL AÉREO 2</v>
          </cell>
          <cell r="E6983" t="str">
            <v>27</v>
          </cell>
          <cell r="F6983" t="str">
            <v>PAQ08a10</v>
          </cell>
          <cell r="G6983" t="str">
            <v>B</v>
          </cell>
          <cell r="H6983">
            <v>8</v>
          </cell>
        </row>
        <row r="6984">
          <cell r="A6984" t="str">
            <v>1;27;Q2;B;PAQ10a12</v>
          </cell>
          <cell r="B6984">
            <v>730069</v>
          </cell>
          <cell r="C6984" t="str">
            <v>Q2</v>
          </cell>
          <cell r="D6984" t="str">
            <v>BALEARES PORTUGAL AÉREO 2</v>
          </cell>
          <cell r="E6984" t="str">
            <v>27</v>
          </cell>
          <cell r="F6984" t="str">
            <v>PAQ10a12</v>
          </cell>
          <cell r="G6984" t="str">
            <v>B</v>
          </cell>
          <cell r="H6984">
            <v>62.25</v>
          </cell>
        </row>
        <row r="6985">
          <cell r="A6985" t="str">
            <v>4;27;Q2;B;PAQ10a12</v>
          </cell>
          <cell r="B6985">
            <v>730069</v>
          </cell>
          <cell r="C6985" t="str">
            <v>Q2</v>
          </cell>
          <cell r="D6985" t="str">
            <v>BALEARES PORTUGAL AÉREO 2</v>
          </cell>
          <cell r="E6985" t="str">
            <v>27</v>
          </cell>
          <cell r="F6985" t="str">
            <v>PAQ10a12</v>
          </cell>
          <cell r="G6985" t="str">
            <v>B</v>
          </cell>
          <cell r="H6985">
            <v>8</v>
          </cell>
        </row>
        <row r="6986">
          <cell r="A6986" t="str">
            <v>1;27;Q2;B;PAQ12a14</v>
          </cell>
          <cell r="B6986">
            <v>730069</v>
          </cell>
          <cell r="C6986" t="str">
            <v>Q2</v>
          </cell>
          <cell r="D6986" t="str">
            <v>BALEARES PORTUGAL AÉREO 2</v>
          </cell>
          <cell r="E6986" t="str">
            <v>27</v>
          </cell>
          <cell r="F6986" t="str">
            <v>PAQ12a14</v>
          </cell>
          <cell r="G6986" t="str">
            <v>B</v>
          </cell>
          <cell r="H6986">
            <v>71.849999999999994</v>
          </cell>
        </row>
        <row r="6987">
          <cell r="A6987" t="str">
            <v>4;27;Q2;B;PAQ12a14</v>
          </cell>
          <cell r="B6987">
            <v>730069</v>
          </cell>
          <cell r="C6987" t="str">
            <v>Q2</v>
          </cell>
          <cell r="D6987" t="str">
            <v>BALEARES PORTUGAL AÉREO 2</v>
          </cell>
          <cell r="E6987" t="str">
            <v>27</v>
          </cell>
          <cell r="F6987" t="str">
            <v>PAQ12a14</v>
          </cell>
          <cell r="G6987" t="str">
            <v>B</v>
          </cell>
          <cell r="H6987">
            <v>8</v>
          </cell>
        </row>
        <row r="6988">
          <cell r="A6988" t="str">
            <v>4;27;Q2;B;PAQ14a16</v>
          </cell>
          <cell r="B6988">
            <v>730069</v>
          </cell>
          <cell r="C6988" t="str">
            <v>Q2</v>
          </cell>
          <cell r="D6988" t="str">
            <v>BALEARES PORTUGAL AÉREO 2</v>
          </cell>
          <cell r="E6988" t="str">
            <v>27</v>
          </cell>
          <cell r="F6988" t="str">
            <v>PAQ14a16</v>
          </cell>
          <cell r="G6988" t="str">
            <v>B</v>
          </cell>
          <cell r="H6988">
            <v>8</v>
          </cell>
        </row>
        <row r="6989">
          <cell r="A6989" t="str">
            <v>1;27;Q2;B;PAQ14a16</v>
          </cell>
          <cell r="B6989">
            <v>730069</v>
          </cell>
          <cell r="C6989" t="str">
            <v>Q2</v>
          </cell>
          <cell r="D6989" t="str">
            <v>BALEARES PORTUGAL AÉREO 2</v>
          </cell>
          <cell r="E6989" t="str">
            <v>27</v>
          </cell>
          <cell r="F6989" t="str">
            <v>PAQ14a16</v>
          </cell>
          <cell r="G6989" t="str">
            <v>B</v>
          </cell>
          <cell r="H6989">
            <v>81.45</v>
          </cell>
        </row>
        <row r="6990">
          <cell r="A6990" t="str">
            <v>1;27;Q2;B;PAQ16a18</v>
          </cell>
          <cell r="B6990">
            <v>730069</v>
          </cell>
          <cell r="C6990" t="str">
            <v>Q2</v>
          </cell>
          <cell r="D6990" t="str">
            <v>BALEARES PORTUGAL AÉREO 2</v>
          </cell>
          <cell r="E6990" t="str">
            <v>27</v>
          </cell>
          <cell r="F6990" t="str">
            <v>PAQ16a18</v>
          </cell>
          <cell r="G6990" t="str">
            <v>B</v>
          </cell>
          <cell r="H6990">
            <v>91.05</v>
          </cell>
        </row>
        <row r="6991">
          <cell r="A6991" t="str">
            <v>4;27;Q2;B;PAQ16a18</v>
          </cell>
          <cell r="B6991">
            <v>730069</v>
          </cell>
          <cell r="C6991" t="str">
            <v>Q2</v>
          </cell>
          <cell r="D6991" t="str">
            <v>BALEARES PORTUGAL AÉREO 2</v>
          </cell>
          <cell r="E6991" t="str">
            <v>27</v>
          </cell>
          <cell r="F6991" t="str">
            <v>PAQ16a18</v>
          </cell>
          <cell r="G6991" t="str">
            <v>B</v>
          </cell>
          <cell r="H6991">
            <v>8</v>
          </cell>
        </row>
        <row r="6992">
          <cell r="A6992" t="str">
            <v>4;27;Q2;B;PAQ18a20</v>
          </cell>
          <cell r="B6992">
            <v>730069</v>
          </cell>
          <cell r="C6992" t="str">
            <v>Q2</v>
          </cell>
          <cell r="D6992" t="str">
            <v>BALEARES PORTUGAL AÉREO 2</v>
          </cell>
          <cell r="E6992" t="str">
            <v>27</v>
          </cell>
          <cell r="F6992" t="str">
            <v>PAQ18a20</v>
          </cell>
          <cell r="G6992" t="str">
            <v>B</v>
          </cell>
          <cell r="H6992">
            <v>8</v>
          </cell>
        </row>
        <row r="6993">
          <cell r="A6993" t="str">
            <v>1;27;Q2;B;PAQ18a20</v>
          </cell>
          <cell r="B6993">
            <v>730069</v>
          </cell>
          <cell r="C6993" t="str">
            <v>Q2</v>
          </cell>
          <cell r="D6993" t="str">
            <v>BALEARES PORTUGAL AÉREO 2</v>
          </cell>
          <cell r="E6993" t="str">
            <v>27</v>
          </cell>
          <cell r="F6993" t="str">
            <v>PAQ18a20</v>
          </cell>
          <cell r="G6993" t="str">
            <v>B</v>
          </cell>
          <cell r="H6993">
            <v>100.65</v>
          </cell>
        </row>
        <row r="6994">
          <cell r="A6994" t="str">
            <v>1;27;Q2;B;PAQ20a22</v>
          </cell>
          <cell r="B6994">
            <v>730069</v>
          </cell>
          <cell r="C6994" t="str">
            <v>Q2</v>
          </cell>
          <cell r="D6994" t="str">
            <v>BALEARES PORTUGAL AÉREO 2</v>
          </cell>
          <cell r="E6994" t="str">
            <v>27</v>
          </cell>
          <cell r="F6994" t="str">
            <v>PAQ20a22</v>
          </cell>
          <cell r="G6994" t="str">
            <v>B</v>
          </cell>
          <cell r="H6994">
            <v>110.25</v>
          </cell>
        </row>
        <row r="6995">
          <cell r="A6995" t="str">
            <v>4;27;Q2;B;PAQ20a22</v>
          </cell>
          <cell r="B6995">
            <v>730069</v>
          </cell>
          <cell r="C6995" t="str">
            <v>Q2</v>
          </cell>
          <cell r="D6995" t="str">
            <v>BALEARES PORTUGAL AÉREO 2</v>
          </cell>
          <cell r="E6995" t="str">
            <v>27</v>
          </cell>
          <cell r="F6995" t="str">
            <v>PAQ20a22</v>
          </cell>
          <cell r="G6995" t="str">
            <v>B</v>
          </cell>
          <cell r="H6995">
            <v>8</v>
          </cell>
        </row>
        <row r="6996">
          <cell r="A6996" t="str">
            <v>1;27;Q2;B;PAQ22a24</v>
          </cell>
          <cell r="B6996">
            <v>730069</v>
          </cell>
          <cell r="C6996" t="str">
            <v>Q2</v>
          </cell>
          <cell r="D6996" t="str">
            <v>BALEARES PORTUGAL AÉREO 2</v>
          </cell>
          <cell r="E6996" t="str">
            <v>27</v>
          </cell>
          <cell r="F6996" t="str">
            <v>PAQ22a24</v>
          </cell>
          <cell r="G6996" t="str">
            <v>B</v>
          </cell>
          <cell r="H6996">
            <v>119.85</v>
          </cell>
        </row>
        <row r="6997">
          <cell r="A6997" t="str">
            <v>4;27;Q2;B;PAQ22a24</v>
          </cell>
          <cell r="B6997">
            <v>730069</v>
          </cell>
          <cell r="C6997" t="str">
            <v>Q2</v>
          </cell>
          <cell r="D6997" t="str">
            <v>BALEARES PORTUGAL AÉREO 2</v>
          </cell>
          <cell r="E6997" t="str">
            <v>27</v>
          </cell>
          <cell r="F6997" t="str">
            <v>PAQ22a24</v>
          </cell>
          <cell r="G6997" t="str">
            <v>B</v>
          </cell>
          <cell r="H6997">
            <v>8</v>
          </cell>
        </row>
        <row r="6998">
          <cell r="A6998" t="str">
            <v>1;27;Q2;B;PAQ24a26</v>
          </cell>
          <cell r="B6998">
            <v>730069</v>
          </cell>
          <cell r="C6998" t="str">
            <v>Q2</v>
          </cell>
          <cell r="D6998" t="str">
            <v>BALEARES PORTUGAL AÉREO 2</v>
          </cell>
          <cell r="E6998" t="str">
            <v>27</v>
          </cell>
          <cell r="F6998" t="str">
            <v>PAQ24a26</v>
          </cell>
          <cell r="G6998" t="str">
            <v>B</v>
          </cell>
          <cell r="H6998">
            <v>129.44999999999999</v>
          </cell>
        </row>
        <row r="6999">
          <cell r="A6999" t="str">
            <v>4;27;Q2;B;PAQ24a26</v>
          </cell>
          <cell r="B6999">
            <v>730069</v>
          </cell>
          <cell r="C6999" t="str">
            <v>Q2</v>
          </cell>
          <cell r="D6999" t="str">
            <v>BALEARES PORTUGAL AÉREO 2</v>
          </cell>
          <cell r="E6999" t="str">
            <v>27</v>
          </cell>
          <cell r="F6999" t="str">
            <v>PAQ24a26</v>
          </cell>
          <cell r="G6999" t="str">
            <v>B</v>
          </cell>
          <cell r="H6999">
            <v>8</v>
          </cell>
        </row>
        <row r="7000">
          <cell r="A7000" t="str">
            <v>4;27;Q2;B;PAQ26a28</v>
          </cell>
          <cell r="B7000">
            <v>730069</v>
          </cell>
          <cell r="C7000" t="str">
            <v>Q2</v>
          </cell>
          <cell r="D7000" t="str">
            <v>BALEARES PORTUGAL AÉREO 2</v>
          </cell>
          <cell r="E7000" t="str">
            <v>27</v>
          </cell>
          <cell r="F7000" t="str">
            <v>PAQ26a28</v>
          </cell>
          <cell r="G7000" t="str">
            <v>B</v>
          </cell>
          <cell r="H7000">
            <v>8</v>
          </cell>
        </row>
        <row r="7001">
          <cell r="A7001" t="str">
            <v>1;27;Q2;B;PAQ26a28</v>
          </cell>
          <cell r="B7001">
            <v>730069</v>
          </cell>
          <cell r="C7001" t="str">
            <v>Q2</v>
          </cell>
          <cell r="D7001" t="str">
            <v>BALEARES PORTUGAL AÉREO 2</v>
          </cell>
          <cell r="E7001" t="str">
            <v>27</v>
          </cell>
          <cell r="F7001" t="str">
            <v>PAQ26a28</v>
          </cell>
          <cell r="G7001" t="str">
            <v>B</v>
          </cell>
          <cell r="H7001">
            <v>139.05000000000001</v>
          </cell>
        </row>
        <row r="7002">
          <cell r="A7002" t="str">
            <v>1;27;Q2;B;PAQ28a30</v>
          </cell>
          <cell r="B7002">
            <v>730069</v>
          </cell>
          <cell r="C7002" t="str">
            <v>Q2</v>
          </cell>
          <cell r="D7002" t="str">
            <v>BALEARES PORTUGAL AÉREO 2</v>
          </cell>
          <cell r="E7002" t="str">
            <v>27</v>
          </cell>
          <cell r="F7002" t="str">
            <v>PAQ28a30</v>
          </cell>
          <cell r="G7002" t="str">
            <v>B</v>
          </cell>
          <cell r="H7002">
            <v>148.65</v>
          </cell>
        </row>
        <row r="7003">
          <cell r="A7003" t="str">
            <v>4;27;Q2;B;PAQ28a30</v>
          </cell>
          <cell r="B7003">
            <v>730069</v>
          </cell>
          <cell r="C7003" t="str">
            <v>Q2</v>
          </cell>
          <cell r="D7003" t="str">
            <v>BALEARES PORTUGAL AÉREO 2</v>
          </cell>
          <cell r="E7003" t="str">
            <v>27</v>
          </cell>
          <cell r="F7003" t="str">
            <v>PAQ28a30</v>
          </cell>
          <cell r="G7003" t="str">
            <v>B</v>
          </cell>
          <cell r="H7003">
            <v>8</v>
          </cell>
        </row>
        <row r="7004">
          <cell r="A7004" t="str">
            <v>4;27;Q2;B;PAQ30a32</v>
          </cell>
          <cell r="B7004">
            <v>730069</v>
          </cell>
          <cell r="C7004" t="str">
            <v>Q2</v>
          </cell>
          <cell r="D7004" t="str">
            <v>BALEARES PORTUGAL AÉREO 2</v>
          </cell>
          <cell r="E7004" t="str">
            <v>27</v>
          </cell>
          <cell r="F7004" t="str">
            <v>PAQ30a32</v>
          </cell>
          <cell r="G7004" t="str">
            <v>B</v>
          </cell>
          <cell r="H7004">
            <v>8</v>
          </cell>
        </row>
        <row r="7005">
          <cell r="A7005" t="str">
            <v>1;27;Q2;B;PAQ30a32</v>
          </cell>
          <cell r="B7005">
            <v>730069</v>
          </cell>
          <cell r="C7005" t="str">
            <v>Q2</v>
          </cell>
          <cell r="D7005" t="str">
            <v>BALEARES PORTUGAL AÉREO 2</v>
          </cell>
          <cell r="E7005" t="str">
            <v>27</v>
          </cell>
          <cell r="F7005" t="str">
            <v>PAQ30a32</v>
          </cell>
          <cell r="G7005" t="str">
            <v>B</v>
          </cell>
          <cell r="H7005">
            <v>158.25</v>
          </cell>
        </row>
        <row r="7006">
          <cell r="A7006" t="str">
            <v>1;27;Q2;B;PAQ32a34</v>
          </cell>
          <cell r="B7006">
            <v>730069</v>
          </cell>
          <cell r="C7006" t="str">
            <v>Q2</v>
          </cell>
          <cell r="D7006" t="str">
            <v>BALEARES PORTUGAL AÉREO 2</v>
          </cell>
          <cell r="E7006" t="str">
            <v>27</v>
          </cell>
          <cell r="F7006" t="str">
            <v>PAQ32a34</v>
          </cell>
          <cell r="G7006" t="str">
            <v>B</v>
          </cell>
          <cell r="H7006">
            <v>167.85</v>
          </cell>
        </row>
        <row r="7007">
          <cell r="A7007" t="str">
            <v>4;27;Q2;B;PAQ32a34</v>
          </cell>
          <cell r="B7007">
            <v>730069</v>
          </cell>
          <cell r="C7007" t="str">
            <v>Q2</v>
          </cell>
          <cell r="D7007" t="str">
            <v>BALEARES PORTUGAL AÉREO 2</v>
          </cell>
          <cell r="E7007" t="str">
            <v>27</v>
          </cell>
          <cell r="F7007" t="str">
            <v>PAQ32a34</v>
          </cell>
          <cell r="G7007" t="str">
            <v>B</v>
          </cell>
          <cell r="H7007">
            <v>8</v>
          </cell>
        </row>
        <row r="7008">
          <cell r="A7008" t="str">
            <v>4;27;Q2;B;PAQ34a36</v>
          </cell>
          <cell r="B7008">
            <v>730069</v>
          </cell>
          <cell r="C7008" t="str">
            <v>Q2</v>
          </cell>
          <cell r="D7008" t="str">
            <v>BALEARES PORTUGAL AÉREO 2</v>
          </cell>
          <cell r="E7008" t="str">
            <v>27</v>
          </cell>
          <cell r="F7008" t="str">
            <v>PAQ34a36</v>
          </cell>
          <cell r="G7008" t="str">
            <v>B</v>
          </cell>
          <cell r="H7008">
            <v>8</v>
          </cell>
        </row>
        <row r="7009">
          <cell r="A7009" t="str">
            <v>1;27;Q2;B;PAQ34a36</v>
          </cell>
          <cell r="B7009">
            <v>730069</v>
          </cell>
          <cell r="C7009" t="str">
            <v>Q2</v>
          </cell>
          <cell r="D7009" t="str">
            <v>BALEARES PORTUGAL AÉREO 2</v>
          </cell>
          <cell r="E7009" t="str">
            <v>27</v>
          </cell>
          <cell r="F7009" t="str">
            <v>PAQ34a36</v>
          </cell>
          <cell r="G7009" t="str">
            <v>B</v>
          </cell>
          <cell r="H7009">
            <v>177.45</v>
          </cell>
        </row>
        <row r="7010">
          <cell r="A7010" t="str">
            <v>1;27;Q2;B;PAQ36a38</v>
          </cell>
          <cell r="B7010">
            <v>730069</v>
          </cell>
          <cell r="C7010" t="str">
            <v>Q2</v>
          </cell>
          <cell r="D7010" t="str">
            <v>BALEARES PORTUGAL AÉREO 2</v>
          </cell>
          <cell r="E7010" t="str">
            <v>27</v>
          </cell>
          <cell r="F7010" t="str">
            <v>PAQ36a38</v>
          </cell>
          <cell r="G7010" t="str">
            <v>B</v>
          </cell>
          <cell r="H7010">
            <v>187.05</v>
          </cell>
        </row>
        <row r="7011">
          <cell r="A7011" t="str">
            <v>4;27;Q2;B;PAQ36a38</v>
          </cell>
          <cell r="B7011">
            <v>730069</v>
          </cell>
          <cell r="C7011" t="str">
            <v>Q2</v>
          </cell>
          <cell r="D7011" t="str">
            <v>BALEARES PORTUGAL AÉREO 2</v>
          </cell>
          <cell r="E7011" t="str">
            <v>27</v>
          </cell>
          <cell r="F7011" t="str">
            <v>PAQ36a38</v>
          </cell>
          <cell r="G7011" t="str">
            <v>B</v>
          </cell>
          <cell r="H7011">
            <v>8</v>
          </cell>
        </row>
        <row r="7012">
          <cell r="A7012" t="str">
            <v>4;27;Q2;B;PAQ38a40</v>
          </cell>
          <cell r="B7012">
            <v>730069</v>
          </cell>
          <cell r="C7012" t="str">
            <v>Q2</v>
          </cell>
          <cell r="D7012" t="str">
            <v>BALEARES PORTUGAL AÉREO 2</v>
          </cell>
          <cell r="E7012" t="str">
            <v>27</v>
          </cell>
          <cell r="F7012" t="str">
            <v>PAQ38a40</v>
          </cell>
          <cell r="G7012" t="str">
            <v>B</v>
          </cell>
          <cell r="H7012">
            <v>8</v>
          </cell>
        </row>
        <row r="7013">
          <cell r="A7013" t="str">
            <v>4;27;Q2;F;</v>
          </cell>
          <cell r="B7013">
            <v>730069</v>
          </cell>
          <cell r="C7013" t="str">
            <v>Q2</v>
          </cell>
          <cell r="D7013" t="str">
            <v>BALEARES PORTUGAL AÉREO 2</v>
          </cell>
          <cell r="E7013" t="str">
            <v>27</v>
          </cell>
          <cell r="F7013" t="str">
            <v/>
          </cell>
          <cell r="G7013" t="str">
            <v>F</v>
          </cell>
          <cell r="H7013">
            <v>0</v>
          </cell>
        </row>
        <row r="7014">
          <cell r="A7014" t="str">
            <v>1;27;Q2;F;</v>
          </cell>
          <cell r="B7014">
            <v>730069</v>
          </cell>
          <cell r="C7014" t="str">
            <v>Q2</v>
          </cell>
          <cell r="D7014" t="str">
            <v>BALEARES PORTUGAL AÉREO 2</v>
          </cell>
          <cell r="E7014" t="str">
            <v>27</v>
          </cell>
          <cell r="F7014" t="str">
            <v/>
          </cell>
          <cell r="G7014" t="str">
            <v>F</v>
          </cell>
          <cell r="H7014">
            <v>9.6</v>
          </cell>
        </row>
        <row r="7015">
          <cell r="A7015" t="str">
            <v>1;27;Q2;B;PAQ38a40</v>
          </cell>
          <cell r="B7015">
            <v>730069</v>
          </cell>
          <cell r="C7015" t="str">
            <v>Q2</v>
          </cell>
          <cell r="D7015" t="str">
            <v>BALEARES PORTUGAL AÉREO 2</v>
          </cell>
          <cell r="E7015" t="str">
            <v>27</v>
          </cell>
          <cell r="F7015" t="str">
            <v>PAQ38a40</v>
          </cell>
          <cell r="G7015" t="str">
            <v>B</v>
          </cell>
          <cell r="H7015">
            <v>196.65</v>
          </cell>
        </row>
        <row r="7016">
          <cell r="A7016" t="str">
            <v>4;27;Q2;E;</v>
          </cell>
          <cell r="B7016">
            <v>730069</v>
          </cell>
          <cell r="C7016" t="str">
            <v>Q2</v>
          </cell>
          <cell r="D7016" t="str">
            <v>BALEARES PORTUGAL AÉREO 2</v>
          </cell>
          <cell r="E7016" t="str">
            <v>27</v>
          </cell>
          <cell r="F7016" t="str">
            <v/>
          </cell>
          <cell r="G7016" t="str">
            <v>E</v>
          </cell>
          <cell r="H7016">
            <v>0</v>
          </cell>
        </row>
        <row r="7017">
          <cell r="A7017" t="str">
            <v>1;27;Q2;P;</v>
          </cell>
          <cell r="B7017">
            <v>730069</v>
          </cell>
          <cell r="C7017" t="str">
            <v>Q2</v>
          </cell>
          <cell r="D7017" t="str">
            <v>BALEARES PORTUGAL AÉREO 2</v>
          </cell>
          <cell r="E7017" t="str">
            <v>27</v>
          </cell>
          <cell r="F7017" t="str">
            <v/>
          </cell>
          <cell r="G7017" t="str">
            <v>P</v>
          </cell>
          <cell r="H7017">
            <v>0</v>
          </cell>
        </row>
        <row r="7018">
          <cell r="A7018" t="str">
            <v>4;27;Q2;P;</v>
          </cell>
          <cell r="B7018">
            <v>730069</v>
          </cell>
          <cell r="C7018" t="str">
            <v>Q2</v>
          </cell>
          <cell r="D7018" t="str">
            <v>BALEARES PORTUGAL AÉREO 2</v>
          </cell>
          <cell r="E7018" t="str">
            <v>27</v>
          </cell>
          <cell r="F7018" t="str">
            <v/>
          </cell>
          <cell r="G7018" t="str">
            <v>P</v>
          </cell>
          <cell r="H7018">
            <v>0</v>
          </cell>
        </row>
        <row r="7019">
          <cell r="A7019" t="str">
            <v>1;27;Q2;E;</v>
          </cell>
          <cell r="B7019">
            <v>730069</v>
          </cell>
          <cell r="C7019" t="str">
            <v>Q2</v>
          </cell>
          <cell r="D7019" t="str">
            <v>BALEARES PORTUGAL AÉREO 2</v>
          </cell>
          <cell r="E7019" t="str">
            <v>27</v>
          </cell>
          <cell r="F7019" t="str">
            <v/>
          </cell>
          <cell r="G7019" t="str">
            <v>E</v>
          </cell>
          <cell r="H7019">
            <v>0</v>
          </cell>
        </row>
        <row r="7020">
          <cell r="A7020" t="str">
            <v>1;33;Q2;B;PAQ00a02</v>
          </cell>
          <cell r="B7020">
            <v>730069</v>
          </cell>
          <cell r="C7020" t="str">
            <v>Q2</v>
          </cell>
          <cell r="D7020" t="str">
            <v>BALEARES PORTUGAL AÉREO 2</v>
          </cell>
          <cell r="E7020" t="str">
            <v>33</v>
          </cell>
          <cell r="F7020" t="str">
            <v>PAQ00a02</v>
          </cell>
          <cell r="G7020" t="str">
            <v>B</v>
          </cell>
          <cell r="H7020">
            <v>28.37</v>
          </cell>
        </row>
        <row r="7021">
          <cell r="A7021" t="str">
            <v>4;33;Q2;B;PAQ00a02</v>
          </cell>
          <cell r="B7021">
            <v>730069</v>
          </cell>
          <cell r="C7021" t="str">
            <v>Q2</v>
          </cell>
          <cell r="D7021" t="str">
            <v>BALEARES PORTUGAL AÉREO 2</v>
          </cell>
          <cell r="E7021" t="str">
            <v>33</v>
          </cell>
          <cell r="F7021" t="str">
            <v>PAQ00a02</v>
          </cell>
          <cell r="G7021" t="str">
            <v>B</v>
          </cell>
          <cell r="H7021">
            <v>8</v>
          </cell>
        </row>
        <row r="7022">
          <cell r="A7022" t="str">
            <v>1;33;Q2;B;PAQ02a04</v>
          </cell>
          <cell r="B7022">
            <v>730069</v>
          </cell>
          <cell r="C7022" t="str">
            <v>Q2</v>
          </cell>
          <cell r="D7022" t="str">
            <v>BALEARES PORTUGAL AÉREO 2</v>
          </cell>
          <cell r="E7022" t="str">
            <v>33</v>
          </cell>
          <cell r="F7022" t="str">
            <v>PAQ02a04</v>
          </cell>
          <cell r="G7022" t="str">
            <v>B</v>
          </cell>
          <cell r="H7022">
            <v>41.58</v>
          </cell>
        </row>
        <row r="7023">
          <cell r="A7023" t="str">
            <v>4;33;Q2;B;PAQ02a04</v>
          </cell>
          <cell r="B7023">
            <v>730069</v>
          </cell>
          <cell r="C7023" t="str">
            <v>Q2</v>
          </cell>
          <cell r="D7023" t="str">
            <v>BALEARES PORTUGAL AÉREO 2</v>
          </cell>
          <cell r="E7023" t="str">
            <v>33</v>
          </cell>
          <cell r="F7023" t="str">
            <v>PAQ02a04</v>
          </cell>
          <cell r="G7023" t="str">
            <v>B</v>
          </cell>
          <cell r="H7023">
            <v>8</v>
          </cell>
        </row>
        <row r="7024">
          <cell r="A7024" t="str">
            <v>1;33;Q2;B;PAQ04a06</v>
          </cell>
          <cell r="B7024">
            <v>730069</v>
          </cell>
          <cell r="C7024" t="str">
            <v>Q2</v>
          </cell>
          <cell r="D7024" t="str">
            <v>BALEARES PORTUGAL AÉREO 2</v>
          </cell>
          <cell r="E7024" t="str">
            <v>33</v>
          </cell>
          <cell r="F7024" t="str">
            <v>PAQ04a06</v>
          </cell>
          <cell r="G7024" t="str">
            <v>B</v>
          </cell>
          <cell r="H7024">
            <v>55.61</v>
          </cell>
        </row>
        <row r="7025">
          <cell r="A7025" t="str">
            <v>4;33;Q2;B;PAQ04a06</v>
          </cell>
          <cell r="B7025">
            <v>730069</v>
          </cell>
          <cell r="C7025" t="str">
            <v>Q2</v>
          </cell>
          <cell r="D7025" t="str">
            <v>BALEARES PORTUGAL AÉREO 2</v>
          </cell>
          <cell r="E7025" t="str">
            <v>33</v>
          </cell>
          <cell r="F7025" t="str">
            <v>PAQ04a06</v>
          </cell>
          <cell r="G7025" t="str">
            <v>B</v>
          </cell>
          <cell r="H7025">
            <v>8</v>
          </cell>
        </row>
        <row r="7026">
          <cell r="A7026" t="str">
            <v>4;33;Q2;B;PAQ06a08</v>
          </cell>
          <cell r="B7026">
            <v>730069</v>
          </cell>
          <cell r="C7026" t="str">
            <v>Q2</v>
          </cell>
          <cell r="D7026" t="str">
            <v>BALEARES PORTUGAL AÉREO 2</v>
          </cell>
          <cell r="E7026" t="str">
            <v>33</v>
          </cell>
          <cell r="F7026" t="str">
            <v>PAQ06a08</v>
          </cell>
          <cell r="G7026" t="str">
            <v>B</v>
          </cell>
          <cell r="H7026">
            <v>8</v>
          </cell>
        </row>
        <row r="7027">
          <cell r="A7027" t="str">
            <v>1;33;Q2;B;PAQ06a08</v>
          </cell>
          <cell r="B7027">
            <v>730069</v>
          </cell>
          <cell r="C7027" t="str">
            <v>Q2</v>
          </cell>
          <cell r="D7027" t="str">
            <v>BALEARES PORTUGAL AÉREO 2</v>
          </cell>
          <cell r="E7027" t="str">
            <v>33</v>
          </cell>
          <cell r="F7027" t="str">
            <v>PAQ06a08</v>
          </cell>
          <cell r="G7027" t="str">
            <v>B</v>
          </cell>
          <cell r="H7027">
            <v>67.41</v>
          </cell>
        </row>
        <row r="7028">
          <cell r="A7028" t="str">
            <v>4;33;Q2;B;PAQ08a10</v>
          </cell>
          <cell r="B7028">
            <v>730069</v>
          </cell>
          <cell r="C7028" t="str">
            <v>Q2</v>
          </cell>
          <cell r="D7028" t="str">
            <v>BALEARES PORTUGAL AÉREO 2</v>
          </cell>
          <cell r="E7028" t="str">
            <v>33</v>
          </cell>
          <cell r="F7028" t="str">
            <v>PAQ08a10</v>
          </cell>
          <cell r="G7028" t="str">
            <v>B</v>
          </cell>
          <cell r="H7028">
            <v>8</v>
          </cell>
        </row>
        <row r="7029">
          <cell r="A7029" t="str">
            <v>1;33;Q2;B;PAQ08a10</v>
          </cell>
          <cell r="B7029">
            <v>730069</v>
          </cell>
          <cell r="C7029" t="str">
            <v>Q2</v>
          </cell>
          <cell r="D7029" t="str">
            <v>BALEARES PORTUGAL AÉREO 2</v>
          </cell>
          <cell r="E7029" t="str">
            <v>33</v>
          </cell>
          <cell r="F7029" t="str">
            <v>PAQ08a10</v>
          </cell>
          <cell r="G7029" t="str">
            <v>B</v>
          </cell>
          <cell r="H7029">
            <v>78.98</v>
          </cell>
        </row>
        <row r="7030">
          <cell r="A7030" t="str">
            <v>4;33;Q2;B;PAQ10a12</v>
          </cell>
          <cell r="B7030">
            <v>730069</v>
          </cell>
          <cell r="C7030" t="str">
            <v>Q2</v>
          </cell>
          <cell r="D7030" t="str">
            <v>BALEARES PORTUGAL AÉREO 2</v>
          </cell>
          <cell r="E7030" t="str">
            <v>33</v>
          </cell>
          <cell r="F7030" t="str">
            <v>PAQ10a12</v>
          </cell>
          <cell r="G7030" t="str">
            <v>B</v>
          </cell>
          <cell r="H7030">
            <v>8</v>
          </cell>
        </row>
        <row r="7031">
          <cell r="A7031" t="str">
            <v>1;33;Q2;B;PAQ10a12</v>
          </cell>
          <cell r="B7031">
            <v>730069</v>
          </cell>
          <cell r="C7031" t="str">
            <v>Q2</v>
          </cell>
          <cell r="D7031" t="str">
            <v>BALEARES PORTUGAL AÉREO 2</v>
          </cell>
          <cell r="E7031" t="str">
            <v>33</v>
          </cell>
          <cell r="F7031" t="str">
            <v>PAQ10a12</v>
          </cell>
          <cell r="G7031" t="str">
            <v>B</v>
          </cell>
          <cell r="H7031">
            <v>93.38</v>
          </cell>
        </row>
        <row r="7032">
          <cell r="A7032" t="str">
            <v>4;33;Q2;B;PAQ12a14</v>
          </cell>
          <cell r="B7032">
            <v>730069</v>
          </cell>
          <cell r="C7032" t="str">
            <v>Q2</v>
          </cell>
          <cell r="D7032" t="str">
            <v>BALEARES PORTUGAL AÉREO 2</v>
          </cell>
          <cell r="E7032" t="str">
            <v>33</v>
          </cell>
          <cell r="F7032" t="str">
            <v>PAQ12a14</v>
          </cell>
          <cell r="G7032" t="str">
            <v>B</v>
          </cell>
          <cell r="H7032">
            <v>8</v>
          </cell>
        </row>
        <row r="7033">
          <cell r="A7033" t="str">
            <v>1;33;Q2;B;PAQ12a14</v>
          </cell>
          <cell r="B7033">
            <v>730069</v>
          </cell>
          <cell r="C7033" t="str">
            <v>Q2</v>
          </cell>
          <cell r="D7033" t="str">
            <v>BALEARES PORTUGAL AÉREO 2</v>
          </cell>
          <cell r="E7033" t="str">
            <v>33</v>
          </cell>
          <cell r="F7033" t="str">
            <v>PAQ12a14</v>
          </cell>
          <cell r="G7033" t="str">
            <v>B</v>
          </cell>
          <cell r="H7033">
            <v>107.78</v>
          </cell>
        </row>
        <row r="7034">
          <cell r="A7034" t="str">
            <v>1;33;Q2;B;PAQ14a16</v>
          </cell>
          <cell r="B7034">
            <v>730069</v>
          </cell>
          <cell r="C7034" t="str">
            <v>Q2</v>
          </cell>
          <cell r="D7034" t="str">
            <v>BALEARES PORTUGAL AÉREO 2</v>
          </cell>
          <cell r="E7034" t="str">
            <v>33</v>
          </cell>
          <cell r="F7034" t="str">
            <v>PAQ14a16</v>
          </cell>
          <cell r="G7034" t="str">
            <v>B</v>
          </cell>
          <cell r="H7034">
            <v>122.18</v>
          </cell>
        </row>
        <row r="7035">
          <cell r="A7035" t="str">
            <v>4;33;Q2;B;PAQ14a16</v>
          </cell>
          <cell r="B7035">
            <v>730069</v>
          </cell>
          <cell r="C7035" t="str">
            <v>Q2</v>
          </cell>
          <cell r="D7035" t="str">
            <v>BALEARES PORTUGAL AÉREO 2</v>
          </cell>
          <cell r="E7035" t="str">
            <v>33</v>
          </cell>
          <cell r="F7035" t="str">
            <v>PAQ14a16</v>
          </cell>
          <cell r="G7035" t="str">
            <v>B</v>
          </cell>
          <cell r="H7035">
            <v>8</v>
          </cell>
        </row>
        <row r="7036">
          <cell r="A7036" t="str">
            <v>1;33;Q2;B;PAQ16a18</v>
          </cell>
          <cell r="B7036">
            <v>730069</v>
          </cell>
          <cell r="C7036" t="str">
            <v>Q2</v>
          </cell>
          <cell r="D7036" t="str">
            <v>BALEARES PORTUGAL AÉREO 2</v>
          </cell>
          <cell r="E7036" t="str">
            <v>33</v>
          </cell>
          <cell r="F7036" t="str">
            <v>PAQ16a18</v>
          </cell>
          <cell r="G7036" t="str">
            <v>B</v>
          </cell>
          <cell r="H7036">
            <v>136.58000000000001</v>
          </cell>
        </row>
        <row r="7037">
          <cell r="A7037" t="str">
            <v>4;33;Q2;B;PAQ16a18</v>
          </cell>
          <cell r="B7037">
            <v>730069</v>
          </cell>
          <cell r="C7037" t="str">
            <v>Q2</v>
          </cell>
          <cell r="D7037" t="str">
            <v>BALEARES PORTUGAL AÉREO 2</v>
          </cell>
          <cell r="E7037" t="str">
            <v>33</v>
          </cell>
          <cell r="F7037" t="str">
            <v>PAQ16a18</v>
          </cell>
          <cell r="G7037" t="str">
            <v>B</v>
          </cell>
          <cell r="H7037">
            <v>8</v>
          </cell>
        </row>
        <row r="7038">
          <cell r="A7038" t="str">
            <v>4;33;Q2;B;PAQ18a20</v>
          </cell>
          <cell r="B7038">
            <v>730069</v>
          </cell>
          <cell r="C7038" t="str">
            <v>Q2</v>
          </cell>
          <cell r="D7038" t="str">
            <v>BALEARES PORTUGAL AÉREO 2</v>
          </cell>
          <cell r="E7038" t="str">
            <v>33</v>
          </cell>
          <cell r="F7038" t="str">
            <v>PAQ18a20</v>
          </cell>
          <cell r="G7038" t="str">
            <v>B</v>
          </cell>
          <cell r="H7038">
            <v>8</v>
          </cell>
        </row>
        <row r="7039">
          <cell r="A7039" t="str">
            <v>1;33;Q2;B;PAQ18a20</v>
          </cell>
          <cell r="B7039">
            <v>730069</v>
          </cell>
          <cell r="C7039" t="str">
            <v>Q2</v>
          </cell>
          <cell r="D7039" t="str">
            <v>BALEARES PORTUGAL AÉREO 2</v>
          </cell>
          <cell r="E7039" t="str">
            <v>33</v>
          </cell>
          <cell r="F7039" t="str">
            <v>PAQ18a20</v>
          </cell>
          <cell r="G7039" t="str">
            <v>B</v>
          </cell>
          <cell r="H7039">
            <v>150.97999999999999</v>
          </cell>
        </row>
        <row r="7040">
          <cell r="A7040" t="str">
            <v>4;33;Q2;B;PAQ20a22</v>
          </cell>
          <cell r="B7040">
            <v>730069</v>
          </cell>
          <cell r="C7040" t="str">
            <v>Q2</v>
          </cell>
          <cell r="D7040" t="str">
            <v>BALEARES PORTUGAL AÉREO 2</v>
          </cell>
          <cell r="E7040" t="str">
            <v>33</v>
          </cell>
          <cell r="F7040" t="str">
            <v>PAQ20a22</v>
          </cell>
          <cell r="G7040" t="str">
            <v>B</v>
          </cell>
          <cell r="H7040">
            <v>8</v>
          </cell>
        </row>
        <row r="7041">
          <cell r="A7041" t="str">
            <v>1;33;Q2;B;PAQ20a22</v>
          </cell>
          <cell r="B7041">
            <v>730069</v>
          </cell>
          <cell r="C7041" t="str">
            <v>Q2</v>
          </cell>
          <cell r="D7041" t="str">
            <v>BALEARES PORTUGAL AÉREO 2</v>
          </cell>
          <cell r="E7041" t="str">
            <v>33</v>
          </cell>
          <cell r="F7041" t="str">
            <v>PAQ20a22</v>
          </cell>
          <cell r="G7041" t="str">
            <v>B</v>
          </cell>
          <cell r="H7041">
            <v>165.38</v>
          </cell>
        </row>
        <row r="7042">
          <cell r="A7042" t="str">
            <v>1;33;Q2;B;PAQ22a24</v>
          </cell>
          <cell r="B7042">
            <v>730069</v>
          </cell>
          <cell r="C7042" t="str">
            <v>Q2</v>
          </cell>
          <cell r="D7042" t="str">
            <v>BALEARES PORTUGAL AÉREO 2</v>
          </cell>
          <cell r="E7042" t="str">
            <v>33</v>
          </cell>
          <cell r="F7042" t="str">
            <v>PAQ22a24</v>
          </cell>
          <cell r="G7042" t="str">
            <v>B</v>
          </cell>
          <cell r="H7042">
            <v>179.78</v>
          </cell>
        </row>
        <row r="7043">
          <cell r="A7043" t="str">
            <v>4;33;Q2;B;PAQ22a24</v>
          </cell>
          <cell r="B7043">
            <v>730069</v>
          </cell>
          <cell r="C7043" t="str">
            <v>Q2</v>
          </cell>
          <cell r="D7043" t="str">
            <v>BALEARES PORTUGAL AÉREO 2</v>
          </cell>
          <cell r="E7043" t="str">
            <v>33</v>
          </cell>
          <cell r="F7043" t="str">
            <v>PAQ22a24</v>
          </cell>
          <cell r="G7043" t="str">
            <v>B</v>
          </cell>
          <cell r="H7043">
            <v>8</v>
          </cell>
        </row>
        <row r="7044">
          <cell r="A7044" t="str">
            <v>4;33;Q2;B;PAQ24a26</v>
          </cell>
          <cell r="B7044">
            <v>730069</v>
          </cell>
          <cell r="C7044" t="str">
            <v>Q2</v>
          </cell>
          <cell r="D7044" t="str">
            <v>BALEARES PORTUGAL AÉREO 2</v>
          </cell>
          <cell r="E7044" t="str">
            <v>33</v>
          </cell>
          <cell r="F7044" t="str">
            <v>PAQ24a26</v>
          </cell>
          <cell r="G7044" t="str">
            <v>B</v>
          </cell>
          <cell r="H7044">
            <v>8</v>
          </cell>
        </row>
        <row r="7045">
          <cell r="A7045" t="str">
            <v>1;33;Q2;B;PAQ24a26</v>
          </cell>
          <cell r="B7045">
            <v>730069</v>
          </cell>
          <cell r="C7045" t="str">
            <v>Q2</v>
          </cell>
          <cell r="D7045" t="str">
            <v>BALEARES PORTUGAL AÉREO 2</v>
          </cell>
          <cell r="E7045" t="str">
            <v>33</v>
          </cell>
          <cell r="F7045" t="str">
            <v>PAQ24a26</v>
          </cell>
          <cell r="G7045" t="str">
            <v>B</v>
          </cell>
          <cell r="H7045">
            <v>194.18</v>
          </cell>
        </row>
        <row r="7046">
          <cell r="A7046" t="str">
            <v>1;33;Q2;B;PAQ26a28</v>
          </cell>
          <cell r="B7046">
            <v>730069</v>
          </cell>
          <cell r="C7046" t="str">
            <v>Q2</v>
          </cell>
          <cell r="D7046" t="str">
            <v>BALEARES PORTUGAL AÉREO 2</v>
          </cell>
          <cell r="E7046" t="str">
            <v>33</v>
          </cell>
          <cell r="F7046" t="str">
            <v>PAQ26a28</v>
          </cell>
          <cell r="G7046" t="str">
            <v>B</v>
          </cell>
          <cell r="H7046">
            <v>208.58</v>
          </cell>
        </row>
        <row r="7047">
          <cell r="A7047" t="str">
            <v>4;33;Q2;B;PAQ26a28</v>
          </cell>
          <cell r="B7047">
            <v>730069</v>
          </cell>
          <cell r="C7047" t="str">
            <v>Q2</v>
          </cell>
          <cell r="D7047" t="str">
            <v>BALEARES PORTUGAL AÉREO 2</v>
          </cell>
          <cell r="E7047" t="str">
            <v>33</v>
          </cell>
          <cell r="F7047" t="str">
            <v>PAQ26a28</v>
          </cell>
          <cell r="G7047" t="str">
            <v>B</v>
          </cell>
          <cell r="H7047">
            <v>8</v>
          </cell>
        </row>
        <row r="7048">
          <cell r="A7048" t="str">
            <v>1;33;Q2;B;PAQ28a30</v>
          </cell>
          <cell r="B7048">
            <v>730069</v>
          </cell>
          <cell r="C7048" t="str">
            <v>Q2</v>
          </cell>
          <cell r="D7048" t="str">
            <v>BALEARES PORTUGAL AÉREO 2</v>
          </cell>
          <cell r="E7048" t="str">
            <v>33</v>
          </cell>
          <cell r="F7048" t="str">
            <v>PAQ28a30</v>
          </cell>
          <cell r="G7048" t="str">
            <v>B</v>
          </cell>
          <cell r="H7048">
            <v>222.97</v>
          </cell>
        </row>
        <row r="7049">
          <cell r="A7049" t="str">
            <v>4;33;Q2;B;PAQ28a30</v>
          </cell>
          <cell r="B7049">
            <v>730069</v>
          </cell>
          <cell r="C7049" t="str">
            <v>Q2</v>
          </cell>
          <cell r="D7049" t="str">
            <v>BALEARES PORTUGAL AÉREO 2</v>
          </cell>
          <cell r="E7049" t="str">
            <v>33</v>
          </cell>
          <cell r="F7049" t="str">
            <v>PAQ28a30</v>
          </cell>
          <cell r="G7049" t="str">
            <v>B</v>
          </cell>
          <cell r="H7049">
            <v>8</v>
          </cell>
        </row>
        <row r="7050">
          <cell r="A7050" t="str">
            <v>1;33;Q2;B;PAQ30a32</v>
          </cell>
          <cell r="B7050">
            <v>730069</v>
          </cell>
          <cell r="C7050" t="str">
            <v>Q2</v>
          </cell>
          <cell r="D7050" t="str">
            <v>BALEARES PORTUGAL AÉREO 2</v>
          </cell>
          <cell r="E7050" t="str">
            <v>33</v>
          </cell>
          <cell r="F7050" t="str">
            <v>PAQ30a32</v>
          </cell>
          <cell r="G7050" t="str">
            <v>B</v>
          </cell>
          <cell r="H7050">
            <v>237.37</v>
          </cell>
        </row>
        <row r="7051">
          <cell r="A7051" t="str">
            <v>4;33;Q2;B;PAQ30a32</v>
          </cell>
          <cell r="B7051">
            <v>730069</v>
          </cell>
          <cell r="C7051" t="str">
            <v>Q2</v>
          </cell>
          <cell r="D7051" t="str">
            <v>BALEARES PORTUGAL AÉREO 2</v>
          </cell>
          <cell r="E7051" t="str">
            <v>33</v>
          </cell>
          <cell r="F7051" t="str">
            <v>PAQ30a32</v>
          </cell>
          <cell r="G7051" t="str">
            <v>B</v>
          </cell>
          <cell r="H7051">
            <v>8</v>
          </cell>
        </row>
        <row r="7052">
          <cell r="A7052" t="str">
            <v>4;33;Q2;B;PAQ32a34</v>
          </cell>
          <cell r="B7052">
            <v>730069</v>
          </cell>
          <cell r="C7052" t="str">
            <v>Q2</v>
          </cell>
          <cell r="D7052" t="str">
            <v>BALEARES PORTUGAL AÉREO 2</v>
          </cell>
          <cell r="E7052" t="str">
            <v>33</v>
          </cell>
          <cell r="F7052" t="str">
            <v>PAQ32a34</v>
          </cell>
          <cell r="G7052" t="str">
            <v>B</v>
          </cell>
          <cell r="H7052">
            <v>8</v>
          </cell>
        </row>
        <row r="7053">
          <cell r="A7053" t="str">
            <v>1;33;Q2;B;PAQ32a34</v>
          </cell>
          <cell r="B7053">
            <v>730069</v>
          </cell>
          <cell r="C7053" t="str">
            <v>Q2</v>
          </cell>
          <cell r="D7053" t="str">
            <v>BALEARES PORTUGAL AÉREO 2</v>
          </cell>
          <cell r="E7053" t="str">
            <v>33</v>
          </cell>
          <cell r="F7053" t="str">
            <v>PAQ32a34</v>
          </cell>
          <cell r="G7053" t="str">
            <v>B</v>
          </cell>
          <cell r="H7053">
            <v>251.77</v>
          </cell>
        </row>
        <row r="7054">
          <cell r="A7054" t="str">
            <v>4;33;Q2;B;PAQ34a36</v>
          </cell>
          <cell r="B7054">
            <v>730069</v>
          </cell>
          <cell r="C7054" t="str">
            <v>Q2</v>
          </cell>
          <cell r="D7054" t="str">
            <v>BALEARES PORTUGAL AÉREO 2</v>
          </cell>
          <cell r="E7054" t="str">
            <v>33</v>
          </cell>
          <cell r="F7054" t="str">
            <v>PAQ34a36</v>
          </cell>
          <cell r="G7054" t="str">
            <v>B</v>
          </cell>
          <cell r="H7054">
            <v>8</v>
          </cell>
        </row>
        <row r="7055">
          <cell r="A7055" t="str">
            <v>1;33;Q2;B;PAQ34a36</v>
          </cell>
          <cell r="B7055">
            <v>730069</v>
          </cell>
          <cell r="C7055" t="str">
            <v>Q2</v>
          </cell>
          <cell r="D7055" t="str">
            <v>BALEARES PORTUGAL AÉREO 2</v>
          </cell>
          <cell r="E7055" t="str">
            <v>33</v>
          </cell>
          <cell r="F7055" t="str">
            <v>PAQ34a36</v>
          </cell>
          <cell r="G7055" t="str">
            <v>B</v>
          </cell>
          <cell r="H7055">
            <v>266.17</v>
          </cell>
        </row>
        <row r="7056">
          <cell r="A7056" t="str">
            <v>1;33;Q2;B;PAQ36a38</v>
          </cell>
          <cell r="B7056">
            <v>730069</v>
          </cell>
          <cell r="C7056" t="str">
            <v>Q2</v>
          </cell>
          <cell r="D7056" t="str">
            <v>BALEARES PORTUGAL AÉREO 2</v>
          </cell>
          <cell r="E7056" t="str">
            <v>33</v>
          </cell>
          <cell r="F7056" t="str">
            <v>PAQ36a38</v>
          </cell>
          <cell r="G7056" t="str">
            <v>B</v>
          </cell>
          <cell r="H7056">
            <v>280.57</v>
          </cell>
        </row>
        <row r="7057">
          <cell r="A7057" t="str">
            <v>4;33;Q2;B;PAQ36a38</v>
          </cell>
          <cell r="B7057">
            <v>730069</v>
          </cell>
          <cell r="C7057" t="str">
            <v>Q2</v>
          </cell>
          <cell r="D7057" t="str">
            <v>BALEARES PORTUGAL AÉREO 2</v>
          </cell>
          <cell r="E7057" t="str">
            <v>33</v>
          </cell>
          <cell r="F7057" t="str">
            <v>PAQ36a38</v>
          </cell>
          <cell r="G7057" t="str">
            <v>B</v>
          </cell>
          <cell r="H7057">
            <v>8</v>
          </cell>
        </row>
        <row r="7058">
          <cell r="A7058" t="str">
            <v>1;33;Q2;B;PAQ38a40</v>
          </cell>
          <cell r="B7058">
            <v>730069</v>
          </cell>
          <cell r="C7058" t="str">
            <v>Q2</v>
          </cell>
          <cell r="D7058" t="str">
            <v>BALEARES PORTUGAL AÉREO 2</v>
          </cell>
          <cell r="E7058" t="str">
            <v>33</v>
          </cell>
          <cell r="F7058" t="str">
            <v>PAQ38a40</v>
          </cell>
          <cell r="G7058" t="str">
            <v>B</v>
          </cell>
          <cell r="H7058">
            <v>294.97000000000003</v>
          </cell>
        </row>
        <row r="7059">
          <cell r="A7059" t="str">
            <v>4;33;Q2;F;</v>
          </cell>
          <cell r="B7059">
            <v>730069</v>
          </cell>
          <cell r="C7059" t="str">
            <v>Q2</v>
          </cell>
          <cell r="D7059" t="str">
            <v>BALEARES PORTUGAL AÉREO 2</v>
          </cell>
          <cell r="E7059" t="str">
            <v>33</v>
          </cell>
          <cell r="F7059" t="str">
            <v/>
          </cell>
          <cell r="G7059" t="str">
            <v>F</v>
          </cell>
          <cell r="H7059">
            <v>0</v>
          </cell>
        </row>
        <row r="7060">
          <cell r="A7060" t="str">
            <v>4;33;Q2;B;PAQ38a40</v>
          </cell>
          <cell r="B7060">
            <v>730069</v>
          </cell>
          <cell r="C7060" t="str">
            <v>Q2</v>
          </cell>
          <cell r="D7060" t="str">
            <v>BALEARES PORTUGAL AÉREO 2</v>
          </cell>
          <cell r="E7060" t="str">
            <v>33</v>
          </cell>
          <cell r="F7060" t="str">
            <v>PAQ38a40</v>
          </cell>
          <cell r="G7060" t="str">
            <v>B</v>
          </cell>
          <cell r="H7060">
            <v>8</v>
          </cell>
        </row>
        <row r="7061">
          <cell r="A7061" t="str">
            <v>1;33;Q2;F;</v>
          </cell>
          <cell r="B7061">
            <v>730069</v>
          </cell>
          <cell r="C7061" t="str">
            <v>Q2</v>
          </cell>
          <cell r="D7061" t="str">
            <v>BALEARES PORTUGAL AÉREO 2</v>
          </cell>
          <cell r="E7061" t="str">
            <v>33</v>
          </cell>
          <cell r="F7061" t="str">
            <v/>
          </cell>
          <cell r="G7061" t="str">
            <v>F</v>
          </cell>
          <cell r="H7061">
            <v>15.17</v>
          </cell>
        </row>
        <row r="7062">
          <cell r="A7062" t="str">
            <v>4;33;Q2;P;</v>
          </cell>
          <cell r="B7062">
            <v>730069</v>
          </cell>
          <cell r="C7062" t="str">
            <v>Q2</v>
          </cell>
          <cell r="D7062" t="str">
            <v>BALEARES PORTUGAL AÉREO 2</v>
          </cell>
          <cell r="E7062" t="str">
            <v>33</v>
          </cell>
          <cell r="F7062" t="str">
            <v/>
          </cell>
          <cell r="G7062" t="str">
            <v>P</v>
          </cell>
          <cell r="H7062">
            <v>0</v>
          </cell>
        </row>
        <row r="7063">
          <cell r="A7063" t="str">
            <v>1;33;Q2;P;</v>
          </cell>
          <cell r="B7063">
            <v>730069</v>
          </cell>
          <cell r="C7063" t="str">
            <v>Q2</v>
          </cell>
          <cell r="D7063" t="str">
            <v>BALEARES PORTUGAL AÉREO 2</v>
          </cell>
          <cell r="E7063" t="str">
            <v>33</v>
          </cell>
          <cell r="F7063" t="str">
            <v/>
          </cell>
          <cell r="G7063" t="str">
            <v>P</v>
          </cell>
          <cell r="H7063">
            <v>0</v>
          </cell>
        </row>
        <row r="7064">
          <cell r="A7064" t="str">
            <v>4;33;Q2;E;</v>
          </cell>
          <cell r="B7064">
            <v>730069</v>
          </cell>
          <cell r="C7064" t="str">
            <v>Q2</v>
          </cell>
          <cell r="D7064" t="str">
            <v>BALEARES PORTUGAL AÉREO 2</v>
          </cell>
          <cell r="E7064" t="str">
            <v>33</v>
          </cell>
          <cell r="F7064" t="str">
            <v/>
          </cell>
          <cell r="G7064" t="str">
            <v>E</v>
          </cell>
          <cell r="H7064">
            <v>0</v>
          </cell>
        </row>
        <row r="7065">
          <cell r="A7065" t="str">
            <v>1;33;Q2;E;</v>
          </cell>
          <cell r="B7065">
            <v>730069</v>
          </cell>
          <cell r="C7065" t="str">
            <v>Q2</v>
          </cell>
          <cell r="D7065" t="str">
            <v>BALEARES PORTUGAL AÉREO 2</v>
          </cell>
          <cell r="E7065" t="str">
            <v>33</v>
          </cell>
          <cell r="F7065" t="str">
            <v/>
          </cell>
          <cell r="G7065" t="str">
            <v>E</v>
          </cell>
          <cell r="H7065">
            <v>0</v>
          </cell>
        </row>
        <row r="7066">
          <cell r="A7066" t="str">
            <v>1;E;R;B;BAG</v>
          </cell>
          <cell r="B7066">
            <v>730069</v>
          </cell>
          <cell r="C7066" t="str">
            <v>R</v>
          </cell>
          <cell r="D7066" t="str">
            <v>REGIONAL</v>
          </cell>
          <cell r="E7066" t="str">
            <v>E</v>
          </cell>
          <cell r="F7066" t="str">
            <v>BAG</v>
          </cell>
          <cell r="G7066" t="str">
            <v>B</v>
          </cell>
          <cell r="H7066">
            <v>0</v>
          </cell>
        </row>
        <row r="7067">
          <cell r="A7067" t="str">
            <v>1;E;R;B;PAQ00a05</v>
          </cell>
          <cell r="B7067">
            <v>730069</v>
          </cell>
          <cell r="C7067" t="str">
            <v>R</v>
          </cell>
          <cell r="D7067" t="str">
            <v>REGIONAL</v>
          </cell>
          <cell r="E7067" t="str">
            <v>E</v>
          </cell>
          <cell r="F7067" t="str">
            <v>PAQ00a05</v>
          </cell>
          <cell r="G7067" t="str">
            <v>B</v>
          </cell>
          <cell r="H7067">
            <v>0</v>
          </cell>
        </row>
        <row r="7068">
          <cell r="A7068" t="str">
            <v>1;E;R;B;PAQ05a10</v>
          </cell>
          <cell r="B7068">
            <v>730069</v>
          </cell>
          <cell r="C7068" t="str">
            <v>R</v>
          </cell>
          <cell r="D7068" t="str">
            <v>REGIONAL</v>
          </cell>
          <cell r="E7068" t="str">
            <v>E</v>
          </cell>
          <cell r="F7068" t="str">
            <v>PAQ05a10</v>
          </cell>
          <cell r="G7068" t="str">
            <v>B</v>
          </cell>
          <cell r="H7068">
            <v>0</v>
          </cell>
        </row>
        <row r="7069">
          <cell r="A7069" t="str">
            <v>1;E;R;B;PAQ10a15</v>
          </cell>
          <cell r="B7069">
            <v>730069</v>
          </cell>
          <cell r="C7069" t="str">
            <v>R</v>
          </cell>
          <cell r="D7069" t="str">
            <v>REGIONAL</v>
          </cell>
          <cell r="E7069" t="str">
            <v>E</v>
          </cell>
          <cell r="F7069" t="str">
            <v>PAQ10a15</v>
          </cell>
          <cell r="G7069" t="str">
            <v>B</v>
          </cell>
          <cell r="H7069">
            <v>0</v>
          </cell>
        </row>
        <row r="7070">
          <cell r="A7070" t="str">
            <v>1;E;R;B;PAQ15a20</v>
          </cell>
          <cell r="B7070">
            <v>730069</v>
          </cell>
          <cell r="C7070" t="str">
            <v>R</v>
          </cell>
          <cell r="D7070" t="str">
            <v>REGIONAL</v>
          </cell>
          <cell r="E7070" t="str">
            <v>E</v>
          </cell>
          <cell r="F7070" t="str">
            <v>PAQ15a20</v>
          </cell>
          <cell r="G7070" t="str">
            <v>B</v>
          </cell>
          <cell r="H7070">
            <v>0</v>
          </cell>
        </row>
        <row r="7071">
          <cell r="A7071" t="str">
            <v>1;E;R;B;PAQ20a25</v>
          </cell>
          <cell r="B7071">
            <v>730069</v>
          </cell>
          <cell r="C7071" t="str">
            <v>R</v>
          </cell>
          <cell r="D7071" t="str">
            <v>REGIONAL</v>
          </cell>
          <cell r="E7071" t="str">
            <v>E</v>
          </cell>
          <cell r="F7071" t="str">
            <v>PAQ20a25</v>
          </cell>
          <cell r="G7071" t="str">
            <v>B</v>
          </cell>
          <cell r="H7071">
            <v>0</v>
          </cell>
        </row>
        <row r="7072">
          <cell r="A7072" t="str">
            <v>1;E;R;B;PAQ25a30</v>
          </cell>
          <cell r="B7072">
            <v>730069</v>
          </cell>
          <cell r="C7072" t="str">
            <v>R</v>
          </cell>
          <cell r="D7072" t="str">
            <v>REGIONAL</v>
          </cell>
          <cell r="E7072" t="str">
            <v>E</v>
          </cell>
          <cell r="F7072" t="str">
            <v>PAQ25a30</v>
          </cell>
          <cell r="G7072" t="str">
            <v>B</v>
          </cell>
          <cell r="H7072">
            <v>0</v>
          </cell>
        </row>
        <row r="7073">
          <cell r="A7073" t="str">
            <v>1;E;R;B;PAQ30a35</v>
          </cell>
          <cell r="B7073">
            <v>730069</v>
          </cell>
          <cell r="C7073" t="str">
            <v>R</v>
          </cell>
          <cell r="D7073" t="str">
            <v>REGIONAL</v>
          </cell>
          <cell r="E7073" t="str">
            <v>E</v>
          </cell>
          <cell r="F7073" t="str">
            <v>PAQ30a35</v>
          </cell>
          <cell r="G7073" t="str">
            <v>B</v>
          </cell>
          <cell r="H7073">
            <v>0</v>
          </cell>
        </row>
        <row r="7074">
          <cell r="A7074" t="str">
            <v>1;E;R;B;PAQ35a40</v>
          </cell>
          <cell r="B7074">
            <v>730069</v>
          </cell>
          <cell r="C7074" t="str">
            <v>R</v>
          </cell>
          <cell r="D7074" t="str">
            <v>REGIONAL</v>
          </cell>
          <cell r="E7074" t="str">
            <v>E</v>
          </cell>
          <cell r="F7074" t="str">
            <v>PAQ35a40</v>
          </cell>
          <cell r="G7074" t="str">
            <v>B</v>
          </cell>
          <cell r="H7074">
            <v>0</v>
          </cell>
        </row>
        <row r="7075">
          <cell r="A7075" t="str">
            <v>1;E;R;F;</v>
          </cell>
          <cell r="B7075">
            <v>730069</v>
          </cell>
          <cell r="C7075" t="str">
            <v>R</v>
          </cell>
          <cell r="D7075" t="str">
            <v>REGIONAL</v>
          </cell>
          <cell r="E7075" t="str">
            <v>E</v>
          </cell>
          <cell r="F7075" t="str">
            <v/>
          </cell>
          <cell r="G7075" t="str">
            <v>F</v>
          </cell>
          <cell r="H7075">
            <v>0</v>
          </cell>
        </row>
        <row r="7076">
          <cell r="A7076" t="str">
            <v>1;E;R;E;</v>
          </cell>
          <cell r="B7076">
            <v>730069</v>
          </cell>
          <cell r="C7076" t="str">
            <v>R</v>
          </cell>
          <cell r="D7076" t="str">
            <v>REGIONAL</v>
          </cell>
          <cell r="E7076" t="str">
            <v>E</v>
          </cell>
          <cell r="F7076" t="str">
            <v/>
          </cell>
          <cell r="G7076" t="str">
            <v>E</v>
          </cell>
          <cell r="H7076">
            <v>0</v>
          </cell>
        </row>
        <row r="7077">
          <cell r="A7077" t="str">
            <v>1;E;R;P;</v>
          </cell>
          <cell r="B7077">
            <v>730069</v>
          </cell>
          <cell r="C7077" t="str">
            <v>R</v>
          </cell>
          <cell r="D7077" t="str">
            <v>REGIONAL</v>
          </cell>
          <cell r="E7077" t="str">
            <v>E</v>
          </cell>
          <cell r="F7077" t="str">
            <v/>
          </cell>
          <cell r="G7077" t="str">
            <v>P</v>
          </cell>
          <cell r="H7077">
            <v>0</v>
          </cell>
        </row>
        <row r="7078">
          <cell r="A7078" t="str">
            <v>1;F;R;B;BAG</v>
          </cell>
          <cell r="B7078">
            <v>730069</v>
          </cell>
          <cell r="C7078" t="str">
            <v>R</v>
          </cell>
          <cell r="D7078" t="str">
            <v>REGIONAL</v>
          </cell>
          <cell r="E7078" t="str">
            <v>F</v>
          </cell>
          <cell r="F7078" t="str">
            <v>BAG</v>
          </cell>
          <cell r="G7078" t="str">
            <v>B</v>
          </cell>
          <cell r="H7078">
            <v>0</v>
          </cell>
        </row>
        <row r="7079">
          <cell r="A7079" t="str">
            <v>1;F;R;B;PAQ00a05</v>
          </cell>
          <cell r="B7079">
            <v>730069</v>
          </cell>
          <cell r="C7079" t="str">
            <v>R</v>
          </cell>
          <cell r="D7079" t="str">
            <v>REGIONAL</v>
          </cell>
          <cell r="E7079" t="str">
            <v>F</v>
          </cell>
          <cell r="F7079" t="str">
            <v>PAQ00a05</v>
          </cell>
          <cell r="G7079" t="str">
            <v>B</v>
          </cell>
          <cell r="H7079">
            <v>0</v>
          </cell>
        </row>
        <row r="7080">
          <cell r="A7080" t="str">
            <v>1;F;R;B;PAQ05a10</v>
          </cell>
          <cell r="B7080">
            <v>730069</v>
          </cell>
          <cell r="C7080" t="str">
            <v>R</v>
          </cell>
          <cell r="D7080" t="str">
            <v>REGIONAL</v>
          </cell>
          <cell r="E7080" t="str">
            <v>F</v>
          </cell>
          <cell r="F7080" t="str">
            <v>PAQ05a10</v>
          </cell>
          <cell r="G7080" t="str">
            <v>B</v>
          </cell>
          <cell r="H7080">
            <v>0</v>
          </cell>
        </row>
        <row r="7081">
          <cell r="A7081" t="str">
            <v>1;F;R;B;PAQ10a15</v>
          </cell>
          <cell r="B7081">
            <v>730069</v>
          </cell>
          <cell r="C7081" t="str">
            <v>R</v>
          </cell>
          <cell r="D7081" t="str">
            <v>REGIONAL</v>
          </cell>
          <cell r="E7081" t="str">
            <v>F</v>
          </cell>
          <cell r="F7081" t="str">
            <v>PAQ10a15</v>
          </cell>
          <cell r="G7081" t="str">
            <v>B</v>
          </cell>
          <cell r="H7081">
            <v>0</v>
          </cell>
        </row>
        <row r="7082">
          <cell r="A7082" t="str">
            <v>1;F;R;B;PAQ15a20</v>
          </cell>
          <cell r="B7082">
            <v>730069</v>
          </cell>
          <cell r="C7082" t="str">
            <v>R</v>
          </cell>
          <cell r="D7082" t="str">
            <v>REGIONAL</v>
          </cell>
          <cell r="E7082" t="str">
            <v>F</v>
          </cell>
          <cell r="F7082" t="str">
            <v>PAQ15a20</v>
          </cell>
          <cell r="G7082" t="str">
            <v>B</v>
          </cell>
          <cell r="H7082">
            <v>0</v>
          </cell>
        </row>
        <row r="7083">
          <cell r="A7083" t="str">
            <v>1;F;R;B;PAQ20a25</v>
          </cell>
          <cell r="B7083">
            <v>730069</v>
          </cell>
          <cell r="C7083" t="str">
            <v>R</v>
          </cell>
          <cell r="D7083" t="str">
            <v>REGIONAL</v>
          </cell>
          <cell r="E7083" t="str">
            <v>F</v>
          </cell>
          <cell r="F7083" t="str">
            <v>PAQ20a25</v>
          </cell>
          <cell r="G7083" t="str">
            <v>B</v>
          </cell>
          <cell r="H7083">
            <v>0</v>
          </cell>
        </row>
        <row r="7084">
          <cell r="A7084" t="str">
            <v>1;F;R;B;PAQ25a30</v>
          </cell>
          <cell r="B7084">
            <v>730069</v>
          </cell>
          <cell r="C7084" t="str">
            <v>R</v>
          </cell>
          <cell r="D7084" t="str">
            <v>REGIONAL</v>
          </cell>
          <cell r="E7084" t="str">
            <v>F</v>
          </cell>
          <cell r="F7084" t="str">
            <v>PAQ25a30</v>
          </cell>
          <cell r="G7084" t="str">
            <v>B</v>
          </cell>
          <cell r="H7084">
            <v>0</v>
          </cell>
        </row>
        <row r="7085">
          <cell r="A7085" t="str">
            <v>1;F;R;B;PAQ30a35</v>
          </cell>
          <cell r="B7085">
            <v>730069</v>
          </cell>
          <cell r="C7085" t="str">
            <v>R</v>
          </cell>
          <cell r="D7085" t="str">
            <v>REGIONAL</v>
          </cell>
          <cell r="E7085" t="str">
            <v>F</v>
          </cell>
          <cell r="F7085" t="str">
            <v>PAQ30a35</v>
          </cell>
          <cell r="G7085" t="str">
            <v>B</v>
          </cell>
          <cell r="H7085">
            <v>0</v>
          </cell>
        </row>
        <row r="7086">
          <cell r="A7086" t="str">
            <v>1;F;R;B;PAQ35a40</v>
          </cell>
          <cell r="B7086">
            <v>730069</v>
          </cell>
          <cell r="C7086" t="str">
            <v>R</v>
          </cell>
          <cell r="D7086" t="str">
            <v>REGIONAL</v>
          </cell>
          <cell r="E7086" t="str">
            <v>F</v>
          </cell>
          <cell r="F7086" t="str">
            <v>PAQ35a40</v>
          </cell>
          <cell r="G7086" t="str">
            <v>B</v>
          </cell>
          <cell r="H7086">
            <v>0</v>
          </cell>
        </row>
        <row r="7087">
          <cell r="A7087" t="str">
            <v>1;F;R;F;</v>
          </cell>
          <cell r="B7087">
            <v>730069</v>
          </cell>
          <cell r="C7087" t="str">
            <v>R</v>
          </cell>
          <cell r="D7087" t="str">
            <v>REGIONAL</v>
          </cell>
          <cell r="E7087" t="str">
            <v>F</v>
          </cell>
          <cell r="F7087" t="str">
            <v/>
          </cell>
          <cell r="G7087" t="str">
            <v>F</v>
          </cell>
          <cell r="H7087">
            <v>0</v>
          </cell>
        </row>
        <row r="7088">
          <cell r="A7088" t="str">
            <v>1;F;R;P;</v>
          </cell>
          <cell r="B7088">
            <v>730069</v>
          </cell>
          <cell r="C7088" t="str">
            <v>R</v>
          </cell>
          <cell r="D7088" t="str">
            <v>REGIONAL</v>
          </cell>
          <cell r="E7088" t="str">
            <v>F</v>
          </cell>
          <cell r="F7088" t="str">
            <v/>
          </cell>
          <cell r="G7088" t="str">
            <v>P</v>
          </cell>
          <cell r="H7088">
            <v>0</v>
          </cell>
        </row>
        <row r="7089">
          <cell r="A7089" t="str">
            <v>1;F;R;E;</v>
          </cell>
          <cell r="B7089">
            <v>730069</v>
          </cell>
          <cell r="C7089" t="str">
            <v>R</v>
          </cell>
          <cell r="D7089" t="str">
            <v>REGIONAL</v>
          </cell>
          <cell r="E7089" t="str">
            <v>F</v>
          </cell>
          <cell r="F7089" t="str">
            <v/>
          </cell>
          <cell r="G7089" t="str">
            <v>E</v>
          </cell>
          <cell r="H7089">
            <v>0</v>
          </cell>
        </row>
        <row r="7090">
          <cell r="A7090" t="str">
            <v>1;G;R;B;BAG</v>
          </cell>
          <cell r="B7090">
            <v>730069</v>
          </cell>
          <cell r="C7090" t="str">
            <v>R</v>
          </cell>
          <cell r="D7090" t="str">
            <v>REGIONAL</v>
          </cell>
          <cell r="E7090" t="str">
            <v>G</v>
          </cell>
          <cell r="F7090" t="str">
            <v>BAG</v>
          </cell>
          <cell r="G7090" t="str">
            <v>B</v>
          </cell>
          <cell r="H7090">
            <v>0</v>
          </cell>
        </row>
        <row r="7091">
          <cell r="A7091" t="str">
            <v>1;G;R;B;PAQ00a05</v>
          </cell>
          <cell r="B7091">
            <v>730069</v>
          </cell>
          <cell r="C7091" t="str">
            <v>R</v>
          </cell>
          <cell r="D7091" t="str">
            <v>REGIONAL</v>
          </cell>
          <cell r="E7091" t="str">
            <v>G</v>
          </cell>
          <cell r="F7091" t="str">
            <v>PAQ00a05</v>
          </cell>
          <cell r="G7091" t="str">
            <v>B</v>
          </cell>
          <cell r="H7091">
            <v>0</v>
          </cell>
        </row>
        <row r="7092">
          <cell r="A7092" t="str">
            <v>1;G;R;B;PAQ05a10</v>
          </cell>
          <cell r="B7092">
            <v>730069</v>
          </cell>
          <cell r="C7092" t="str">
            <v>R</v>
          </cell>
          <cell r="D7092" t="str">
            <v>REGIONAL</v>
          </cell>
          <cell r="E7092" t="str">
            <v>G</v>
          </cell>
          <cell r="F7092" t="str">
            <v>PAQ05a10</v>
          </cell>
          <cell r="G7092" t="str">
            <v>B</v>
          </cell>
          <cell r="H7092">
            <v>0</v>
          </cell>
        </row>
        <row r="7093">
          <cell r="A7093" t="str">
            <v>1;G;R;B;PAQ10a15</v>
          </cell>
          <cell r="B7093">
            <v>730069</v>
          </cell>
          <cell r="C7093" t="str">
            <v>R</v>
          </cell>
          <cell r="D7093" t="str">
            <v>REGIONAL</v>
          </cell>
          <cell r="E7093" t="str">
            <v>G</v>
          </cell>
          <cell r="F7093" t="str">
            <v>PAQ10a15</v>
          </cell>
          <cell r="G7093" t="str">
            <v>B</v>
          </cell>
          <cell r="H7093">
            <v>0</v>
          </cell>
        </row>
        <row r="7094">
          <cell r="A7094" t="str">
            <v>1;G;R;B;PAQ15a20</v>
          </cell>
          <cell r="B7094">
            <v>730069</v>
          </cell>
          <cell r="C7094" t="str">
            <v>R</v>
          </cell>
          <cell r="D7094" t="str">
            <v>REGIONAL</v>
          </cell>
          <cell r="E7094" t="str">
            <v>G</v>
          </cell>
          <cell r="F7094" t="str">
            <v>PAQ15a20</v>
          </cell>
          <cell r="G7094" t="str">
            <v>B</v>
          </cell>
          <cell r="H7094">
            <v>0</v>
          </cell>
        </row>
        <row r="7095">
          <cell r="A7095" t="str">
            <v>1;G;R;B;PAQ20a25</v>
          </cell>
          <cell r="B7095">
            <v>730069</v>
          </cell>
          <cell r="C7095" t="str">
            <v>R</v>
          </cell>
          <cell r="D7095" t="str">
            <v>REGIONAL</v>
          </cell>
          <cell r="E7095" t="str">
            <v>G</v>
          </cell>
          <cell r="F7095" t="str">
            <v>PAQ20a25</v>
          </cell>
          <cell r="G7095" t="str">
            <v>B</v>
          </cell>
          <cell r="H7095">
            <v>0</v>
          </cell>
        </row>
        <row r="7096">
          <cell r="A7096" t="str">
            <v>1;G;R;B;PAQ25a30</v>
          </cell>
          <cell r="B7096">
            <v>730069</v>
          </cell>
          <cell r="C7096" t="str">
            <v>R</v>
          </cell>
          <cell r="D7096" t="str">
            <v>REGIONAL</v>
          </cell>
          <cell r="E7096" t="str">
            <v>G</v>
          </cell>
          <cell r="F7096" t="str">
            <v>PAQ25a30</v>
          </cell>
          <cell r="G7096" t="str">
            <v>B</v>
          </cell>
          <cell r="H7096">
            <v>0</v>
          </cell>
        </row>
        <row r="7097">
          <cell r="A7097" t="str">
            <v>1;G;R;B;PAQ30a35</v>
          </cell>
          <cell r="B7097">
            <v>730069</v>
          </cell>
          <cell r="C7097" t="str">
            <v>R</v>
          </cell>
          <cell r="D7097" t="str">
            <v>REGIONAL</v>
          </cell>
          <cell r="E7097" t="str">
            <v>G</v>
          </cell>
          <cell r="F7097" t="str">
            <v>PAQ30a35</v>
          </cell>
          <cell r="G7097" t="str">
            <v>B</v>
          </cell>
          <cell r="H7097">
            <v>0</v>
          </cell>
        </row>
        <row r="7098">
          <cell r="A7098" t="str">
            <v>1;G;R;B;PAQ35a40</v>
          </cell>
          <cell r="B7098">
            <v>730069</v>
          </cell>
          <cell r="C7098" t="str">
            <v>R</v>
          </cell>
          <cell r="D7098" t="str">
            <v>REGIONAL</v>
          </cell>
          <cell r="E7098" t="str">
            <v>G</v>
          </cell>
          <cell r="F7098" t="str">
            <v>PAQ35a40</v>
          </cell>
          <cell r="G7098" t="str">
            <v>B</v>
          </cell>
          <cell r="H7098">
            <v>0</v>
          </cell>
        </row>
        <row r="7099">
          <cell r="A7099" t="str">
            <v>1;G;R;F;</v>
          </cell>
          <cell r="B7099">
            <v>730069</v>
          </cell>
          <cell r="C7099" t="str">
            <v>R</v>
          </cell>
          <cell r="D7099" t="str">
            <v>REGIONAL</v>
          </cell>
          <cell r="E7099" t="str">
            <v>G</v>
          </cell>
          <cell r="F7099" t="str">
            <v/>
          </cell>
          <cell r="G7099" t="str">
            <v>F</v>
          </cell>
          <cell r="H7099">
            <v>0</v>
          </cell>
        </row>
        <row r="7100">
          <cell r="A7100" t="str">
            <v>1;G;R;E;</v>
          </cell>
          <cell r="B7100">
            <v>730069</v>
          </cell>
          <cell r="C7100" t="str">
            <v>R</v>
          </cell>
          <cell r="D7100" t="str">
            <v>REGIONAL</v>
          </cell>
          <cell r="E7100" t="str">
            <v>G</v>
          </cell>
          <cell r="F7100" t="str">
            <v/>
          </cell>
          <cell r="G7100" t="str">
            <v>E</v>
          </cell>
          <cell r="H7100">
            <v>0</v>
          </cell>
        </row>
        <row r="7101">
          <cell r="A7101" t="str">
            <v>1;G;R;P;</v>
          </cell>
          <cell r="B7101">
            <v>730069</v>
          </cell>
          <cell r="C7101" t="str">
            <v>R</v>
          </cell>
          <cell r="D7101" t="str">
            <v>REGIONAL</v>
          </cell>
          <cell r="E7101" t="str">
            <v>G</v>
          </cell>
          <cell r="F7101" t="str">
            <v/>
          </cell>
          <cell r="G7101" t="str">
            <v>P</v>
          </cell>
          <cell r="H7101">
            <v>0</v>
          </cell>
        </row>
        <row r="7102">
          <cell r="A7102" t="str">
            <v>1;01;R;B;BAG</v>
          </cell>
          <cell r="B7102">
            <v>730069</v>
          </cell>
          <cell r="C7102" t="str">
            <v>R</v>
          </cell>
          <cell r="D7102" t="str">
            <v>REGIONAL</v>
          </cell>
          <cell r="E7102" t="str">
            <v>01</v>
          </cell>
          <cell r="F7102" t="str">
            <v>BAG</v>
          </cell>
          <cell r="G7102" t="str">
            <v>B</v>
          </cell>
          <cell r="H7102">
            <v>17.52</v>
          </cell>
        </row>
        <row r="7103">
          <cell r="A7103" t="str">
            <v>1;01;R;B;DOCS</v>
          </cell>
          <cell r="B7103">
            <v>730069</v>
          </cell>
          <cell r="C7103" t="str">
            <v>R</v>
          </cell>
          <cell r="D7103" t="str">
            <v>REGIONAL</v>
          </cell>
          <cell r="E7103" t="str">
            <v>01</v>
          </cell>
          <cell r="F7103" t="str">
            <v>DOCS</v>
          </cell>
          <cell r="G7103" t="str">
            <v>B</v>
          </cell>
          <cell r="H7103">
            <v>11.43</v>
          </cell>
        </row>
        <row r="7104">
          <cell r="A7104" t="str">
            <v>1;01;R;B;PAQ00a02</v>
          </cell>
          <cell r="B7104">
            <v>730069</v>
          </cell>
          <cell r="C7104" t="str">
            <v>R</v>
          </cell>
          <cell r="D7104" t="str">
            <v>REGIONAL</v>
          </cell>
          <cell r="E7104" t="str">
            <v>01</v>
          </cell>
          <cell r="F7104" t="str">
            <v>PAQ00a02</v>
          </cell>
          <cell r="G7104" t="str">
            <v>B</v>
          </cell>
          <cell r="H7104">
            <v>20.97</v>
          </cell>
        </row>
        <row r="7105">
          <cell r="A7105" t="str">
            <v>1;01;R;B;PAQ02a05</v>
          </cell>
          <cell r="B7105">
            <v>730069</v>
          </cell>
          <cell r="C7105" t="str">
            <v>R</v>
          </cell>
          <cell r="D7105" t="str">
            <v>REGIONAL</v>
          </cell>
          <cell r="E7105" t="str">
            <v>01</v>
          </cell>
          <cell r="F7105" t="str">
            <v>PAQ02a05</v>
          </cell>
          <cell r="G7105" t="str">
            <v>B</v>
          </cell>
          <cell r="H7105">
            <v>20.97</v>
          </cell>
        </row>
        <row r="7106">
          <cell r="A7106" t="str">
            <v>1;01;R;B;PAQ05a10</v>
          </cell>
          <cell r="B7106">
            <v>730069</v>
          </cell>
          <cell r="C7106" t="str">
            <v>R</v>
          </cell>
          <cell r="D7106" t="str">
            <v>REGIONAL</v>
          </cell>
          <cell r="E7106" t="str">
            <v>01</v>
          </cell>
          <cell r="F7106" t="str">
            <v>PAQ05a10</v>
          </cell>
          <cell r="G7106" t="str">
            <v>B</v>
          </cell>
          <cell r="H7106">
            <v>36.31</v>
          </cell>
        </row>
        <row r="7107">
          <cell r="A7107" t="str">
            <v>1;01;R;B;PAQ10a15</v>
          </cell>
          <cell r="B7107">
            <v>730069</v>
          </cell>
          <cell r="C7107" t="str">
            <v>R</v>
          </cell>
          <cell r="D7107" t="str">
            <v>REGIONAL</v>
          </cell>
          <cell r="E7107" t="str">
            <v>01</v>
          </cell>
          <cell r="F7107" t="str">
            <v>PAQ10a15</v>
          </cell>
          <cell r="G7107" t="str">
            <v>B</v>
          </cell>
          <cell r="H7107">
            <v>53.51</v>
          </cell>
        </row>
        <row r="7108">
          <cell r="A7108" t="str">
            <v>1;01;R;B;PAQ15a20</v>
          </cell>
          <cell r="B7108">
            <v>730069</v>
          </cell>
          <cell r="C7108" t="str">
            <v>R</v>
          </cell>
          <cell r="D7108" t="str">
            <v>REGIONAL</v>
          </cell>
          <cell r="E7108" t="str">
            <v>01</v>
          </cell>
          <cell r="F7108" t="str">
            <v>PAQ15a20</v>
          </cell>
          <cell r="G7108" t="str">
            <v>B</v>
          </cell>
          <cell r="H7108">
            <v>70.72</v>
          </cell>
        </row>
        <row r="7109">
          <cell r="A7109" t="str">
            <v>1;01;R;B;PAQ20a25</v>
          </cell>
          <cell r="B7109">
            <v>730069</v>
          </cell>
          <cell r="C7109" t="str">
            <v>R</v>
          </cell>
          <cell r="D7109" t="str">
            <v>REGIONAL</v>
          </cell>
          <cell r="E7109" t="str">
            <v>01</v>
          </cell>
          <cell r="F7109" t="str">
            <v>PAQ20a25</v>
          </cell>
          <cell r="G7109" t="str">
            <v>B</v>
          </cell>
          <cell r="H7109">
            <v>87.93</v>
          </cell>
        </row>
        <row r="7110">
          <cell r="A7110" t="str">
            <v>1;01;R;B;PAQ25a30</v>
          </cell>
          <cell r="B7110">
            <v>730069</v>
          </cell>
          <cell r="C7110" t="str">
            <v>R</v>
          </cell>
          <cell r="D7110" t="str">
            <v>REGIONAL</v>
          </cell>
          <cell r="E7110" t="str">
            <v>01</v>
          </cell>
          <cell r="F7110" t="str">
            <v>PAQ25a30</v>
          </cell>
          <cell r="G7110" t="str">
            <v>B</v>
          </cell>
          <cell r="H7110">
            <v>105.14</v>
          </cell>
        </row>
        <row r="7111">
          <cell r="A7111" t="str">
            <v>1;01;R;B;PAQ30a35</v>
          </cell>
          <cell r="B7111">
            <v>730069</v>
          </cell>
          <cell r="C7111" t="str">
            <v>R</v>
          </cell>
          <cell r="D7111" t="str">
            <v>REGIONAL</v>
          </cell>
          <cell r="E7111" t="str">
            <v>01</v>
          </cell>
          <cell r="F7111" t="str">
            <v>PAQ30a35</v>
          </cell>
          <cell r="G7111" t="str">
            <v>B</v>
          </cell>
          <cell r="H7111">
            <v>122.34</v>
          </cell>
        </row>
        <row r="7112">
          <cell r="A7112" t="str">
            <v>1;01;R;F;</v>
          </cell>
          <cell r="B7112">
            <v>730069</v>
          </cell>
          <cell r="C7112" t="str">
            <v>R</v>
          </cell>
          <cell r="D7112" t="str">
            <v>REGIONAL</v>
          </cell>
          <cell r="E7112" t="str">
            <v>01</v>
          </cell>
          <cell r="F7112" t="str">
            <v/>
          </cell>
          <cell r="G7112" t="str">
            <v>F</v>
          </cell>
          <cell r="H7112">
            <v>17.21</v>
          </cell>
        </row>
        <row r="7113">
          <cell r="A7113" t="str">
            <v>1;01;R;B;PAQ35a40</v>
          </cell>
          <cell r="B7113">
            <v>730069</v>
          </cell>
          <cell r="C7113" t="str">
            <v>R</v>
          </cell>
          <cell r="D7113" t="str">
            <v>REGIONAL</v>
          </cell>
          <cell r="E7113" t="str">
            <v>01</v>
          </cell>
          <cell r="F7113" t="str">
            <v>PAQ35a40</v>
          </cell>
          <cell r="G7113" t="str">
            <v>B</v>
          </cell>
          <cell r="H7113">
            <v>139.55000000000001</v>
          </cell>
        </row>
        <row r="7114">
          <cell r="A7114" t="str">
            <v>1;01;R;E;</v>
          </cell>
          <cell r="B7114">
            <v>730069</v>
          </cell>
          <cell r="C7114" t="str">
            <v>R</v>
          </cell>
          <cell r="D7114" t="str">
            <v>REGIONAL</v>
          </cell>
          <cell r="E7114" t="str">
            <v>01</v>
          </cell>
          <cell r="F7114" t="str">
            <v/>
          </cell>
          <cell r="G7114" t="str">
            <v>E</v>
          </cell>
          <cell r="H7114">
            <v>20.97</v>
          </cell>
        </row>
        <row r="7115">
          <cell r="A7115" t="str">
            <v>1;01;R;P;</v>
          </cell>
          <cell r="B7115">
            <v>730069</v>
          </cell>
          <cell r="C7115" t="str">
            <v>R</v>
          </cell>
          <cell r="D7115" t="str">
            <v>REGIONAL</v>
          </cell>
          <cell r="E7115" t="str">
            <v>01</v>
          </cell>
          <cell r="F7115" t="str">
            <v/>
          </cell>
          <cell r="G7115" t="str">
            <v>P</v>
          </cell>
          <cell r="H7115">
            <v>20.97</v>
          </cell>
        </row>
        <row r="7116">
          <cell r="A7116" t="str">
            <v>1;02;R;B;BAG</v>
          </cell>
          <cell r="B7116">
            <v>730069</v>
          </cell>
          <cell r="C7116" t="str">
            <v>R</v>
          </cell>
          <cell r="D7116" t="str">
            <v>REGIONAL</v>
          </cell>
          <cell r="E7116" t="str">
            <v>02</v>
          </cell>
          <cell r="F7116" t="str">
            <v>BAG</v>
          </cell>
          <cell r="G7116" t="str">
            <v>B</v>
          </cell>
          <cell r="H7116">
            <v>12.3</v>
          </cell>
        </row>
        <row r="7117">
          <cell r="A7117" t="str">
            <v>1;02;R;B;DOCS</v>
          </cell>
          <cell r="B7117">
            <v>730069</v>
          </cell>
          <cell r="C7117" t="str">
            <v>R</v>
          </cell>
          <cell r="D7117" t="str">
            <v>REGIONAL</v>
          </cell>
          <cell r="E7117" t="str">
            <v>02</v>
          </cell>
          <cell r="F7117" t="str">
            <v>DOCS</v>
          </cell>
          <cell r="G7117" t="str">
            <v>B</v>
          </cell>
          <cell r="H7117">
            <v>8.94</v>
          </cell>
        </row>
        <row r="7118">
          <cell r="A7118" t="str">
            <v>1;02;R;B;PAQ00a02</v>
          </cell>
          <cell r="B7118">
            <v>730069</v>
          </cell>
          <cell r="C7118" t="str">
            <v>R</v>
          </cell>
          <cell r="D7118" t="str">
            <v>REGIONAL</v>
          </cell>
          <cell r="E7118" t="str">
            <v>02</v>
          </cell>
          <cell r="F7118" t="str">
            <v>PAQ00a02</v>
          </cell>
          <cell r="G7118" t="str">
            <v>B</v>
          </cell>
          <cell r="H7118">
            <v>14.5</v>
          </cell>
        </row>
        <row r="7119">
          <cell r="A7119" t="str">
            <v>1;02;R;B;PAQ02a05</v>
          </cell>
          <cell r="B7119">
            <v>730069</v>
          </cell>
          <cell r="C7119" t="str">
            <v>R</v>
          </cell>
          <cell r="D7119" t="str">
            <v>REGIONAL</v>
          </cell>
          <cell r="E7119" t="str">
            <v>02</v>
          </cell>
          <cell r="F7119" t="str">
            <v>PAQ02a05</v>
          </cell>
          <cell r="G7119" t="str">
            <v>B</v>
          </cell>
          <cell r="H7119">
            <v>14.5</v>
          </cell>
        </row>
        <row r="7120">
          <cell r="A7120" t="str">
            <v>1;02;R;B;PAQ05a10</v>
          </cell>
          <cell r="B7120">
            <v>730069</v>
          </cell>
          <cell r="C7120" t="str">
            <v>R</v>
          </cell>
          <cell r="D7120" t="str">
            <v>REGIONAL</v>
          </cell>
          <cell r="E7120" t="str">
            <v>02</v>
          </cell>
          <cell r="F7120" t="str">
            <v>PAQ05a10</v>
          </cell>
          <cell r="G7120" t="str">
            <v>B</v>
          </cell>
          <cell r="H7120">
            <v>18.350000000000001</v>
          </cell>
        </row>
        <row r="7121">
          <cell r="A7121" t="str">
            <v>1;02;R;B;PAQ10a15</v>
          </cell>
          <cell r="B7121">
            <v>730069</v>
          </cell>
          <cell r="C7121" t="str">
            <v>R</v>
          </cell>
          <cell r="D7121" t="str">
            <v>REGIONAL</v>
          </cell>
          <cell r="E7121" t="str">
            <v>02</v>
          </cell>
          <cell r="F7121" t="str">
            <v>PAQ10a15</v>
          </cell>
          <cell r="G7121" t="str">
            <v>B</v>
          </cell>
          <cell r="H7121">
            <v>23.8</v>
          </cell>
        </row>
        <row r="7122">
          <cell r="A7122" t="str">
            <v>1;02;R;B;PAQ15a20</v>
          </cell>
          <cell r="B7122">
            <v>730069</v>
          </cell>
          <cell r="C7122" t="str">
            <v>R</v>
          </cell>
          <cell r="D7122" t="str">
            <v>REGIONAL</v>
          </cell>
          <cell r="E7122" t="str">
            <v>02</v>
          </cell>
          <cell r="F7122" t="str">
            <v>PAQ15a20</v>
          </cell>
          <cell r="G7122" t="str">
            <v>B</v>
          </cell>
          <cell r="H7122">
            <v>29.25</v>
          </cell>
        </row>
        <row r="7123">
          <cell r="A7123" t="str">
            <v>1;02;R;B;PAQ20a25</v>
          </cell>
          <cell r="B7123">
            <v>730069</v>
          </cell>
          <cell r="C7123" t="str">
            <v>R</v>
          </cell>
          <cell r="D7123" t="str">
            <v>REGIONAL</v>
          </cell>
          <cell r="E7123" t="str">
            <v>02</v>
          </cell>
          <cell r="F7123" t="str">
            <v>PAQ20a25</v>
          </cell>
          <cell r="G7123" t="str">
            <v>B</v>
          </cell>
          <cell r="H7123">
            <v>34.700000000000003</v>
          </cell>
        </row>
        <row r="7124">
          <cell r="A7124" t="str">
            <v>1;02;R;B;PAQ25a30</v>
          </cell>
          <cell r="B7124">
            <v>730069</v>
          </cell>
          <cell r="C7124" t="str">
            <v>R</v>
          </cell>
          <cell r="D7124" t="str">
            <v>REGIONAL</v>
          </cell>
          <cell r="E7124" t="str">
            <v>02</v>
          </cell>
          <cell r="F7124" t="str">
            <v>PAQ25a30</v>
          </cell>
          <cell r="G7124" t="str">
            <v>B</v>
          </cell>
          <cell r="H7124">
            <v>40.15</v>
          </cell>
        </row>
        <row r="7125">
          <cell r="A7125" t="str">
            <v>1;02;R;B;PAQ30a35</v>
          </cell>
          <cell r="B7125">
            <v>730069</v>
          </cell>
          <cell r="C7125" t="str">
            <v>R</v>
          </cell>
          <cell r="D7125" t="str">
            <v>REGIONAL</v>
          </cell>
          <cell r="E7125" t="str">
            <v>02</v>
          </cell>
          <cell r="F7125" t="str">
            <v>PAQ30a35</v>
          </cell>
          <cell r="G7125" t="str">
            <v>B</v>
          </cell>
          <cell r="H7125">
            <v>45.61</v>
          </cell>
        </row>
        <row r="7126">
          <cell r="A7126" t="str">
            <v>1;02;R;B;PAQ35a40</v>
          </cell>
          <cell r="B7126">
            <v>730069</v>
          </cell>
          <cell r="C7126" t="str">
            <v>R</v>
          </cell>
          <cell r="D7126" t="str">
            <v>REGIONAL</v>
          </cell>
          <cell r="E7126" t="str">
            <v>02</v>
          </cell>
          <cell r="F7126" t="str">
            <v>PAQ35a40</v>
          </cell>
          <cell r="G7126" t="str">
            <v>B</v>
          </cell>
          <cell r="H7126">
            <v>51.06</v>
          </cell>
        </row>
        <row r="7127">
          <cell r="A7127" t="str">
            <v>1;02;R;F;</v>
          </cell>
          <cell r="B7127">
            <v>730069</v>
          </cell>
          <cell r="C7127" t="str">
            <v>R</v>
          </cell>
          <cell r="D7127" t="str">
            <v>REGIONAL</v>
          </cell>
          <cell r="E7127" t="str">
            <v>02</v>
          </cell>
          <cell r="F7127" t="str">
            <v/>
          </cell>
          <cell r="G7127" t="str">
            <v>F</v>
          </cell>
          <cell r="H7127">
            <v>5.6</v>
          </cell>
        </row>
        <row r="7128">
          <cell r="A7128" t="str">
            <v>1;02;R;E;</v>
          </cell>
          <cell r="B7128">
            <v>730069</v>
          </cell>
          <cell r="C7128" t="str">
            <v>R</v>
          </cell>
          <cell r="D7128" t="str">
            <v>REGIONAL</v>
          </cell>
          <cell r="E7128" t="str">
            <v>02</v>
          </cell>
          <cell r="F7128" t="str">
            <v/>
          </cell>
          <cell r="G7128" t="str">
            <v>E</v>
          </cell>
          <cell r="H7128">
            <v>14.5</v>
          </cell>
        </row>
        <row r="7129">
          <cell r="A7129" t="str">
            <v>1;02;R;P;</v>
          </cell>
          <cell r="B7129">
            <v>730069</v>
          </cell>
          <cell r="C7129" t="str">
            <v>R</v>
          </cell>
          <cell r="D7129" t="str">
            <v>REGIONAL</v>
          </cell>
          <cell r="E7129" t="str">
            <v>02</v>
          </cell>
          <cell r="F7129" t="str">
            <v/>
          </cell>
          <cell r="G7129" t="str">
            <v>P</v>
          </cell>
          <cell r="H7129">
            <v>14.5</v>
          </cell>
        </row>
        <row r="7130">
          <cell r="A7130" t="str">
            <v>1;03;R;B;BAG</v>
          </cell>
          <cell r="B7130">
            <v>730069</v>
          </cell>
          <cell r="C7130" t="str">
            <v>R</v>
          </cell>
          <cell r="D7130" t="str">
            <v>REGIONAL</v>
          </cell>
          <cell r="E7130" t="str">
            <v>03</v>
          </cell>
          <cell r="F7130" t="str">
            <v>BAG</v>
          </cell>
          <cell r="G7130" t="str">
            <v>B</v>
          </cell>
          <cell r="H7130">
            <v>17.52</v>
          </cell>
        </row>
        <row r="7131">
          <cell r="A7131" t="str">
            <v>1;03;R;B;DOCS</v>
          </cell>
          <cell r="B7131">
            <v>730069</v>
          </cell>
          <cell r="C7131" t="str">
            <v>R</v>
          </cell>
          <cell r="D7131" t="str">
            <v>REGIONAL</v>
          </cell>
          <cell r="E7131" t="str">
            <v>03</v>
          </cell>
          <cell r="F7131" t="str">
            <v>DOCS</v>
          </cell>
          <cell r="G7131" t="str">
            <v>B</v>
          </cell>
          <cell r="H7131">
            <v>11.43</v>
          </cell>
        </row>
        <row r="7132">
          <cell r="A7132" t="str">
            <v>1;03;R;B;PAQ00a02</v>
          </cell>
          <cell r="B7132">
            <v>730069</v>
          </cell>
          <cell r="C7132" t="str">
            <v>R</v>
          </cell>
          <cell r="D7132" t="str">
            <v>REGIONAL</v>
          </cell>
          <cell r="E7132" t="str">
            <v>03</v>
          </cell>
          <cell r="F7132" t="str">
            <v>PAQ00a02</v>
          </cell>
          <cell r="G7132" t="str">
            <v>B</v>
          </cell>
          <cell r="H7132">
            <v>20.97</v>
          </cell>
        </row>
        <row r="7133">
          <cell r="A7133" t="str">
            <v>1;03;R;B;PAQ02a05</v>
          </cell>
          <cell r="B7133">
            <v>730069</v>
          </cell>
          <cell r="C7133" t="str">
            <v>R</v>
          </cell>
          <cell r="D7133" t="str">
            <v>REGIONAL</v>
          </cell>
          <cell r="E7133" t="str">
            <v>03</v>
          </cell>
          <cell r="F7133" t="str">
            <v>PAQ02a05</v>
          </cell>
          <cell r="G7133" t="str">
            <v>B</v>
          </cell>
          <cell r="H7133">
            <v>20.97</v>
          </cell>
        </row>
        <row r="7134">
          <cell r="A7134" t="str">
            <v>1;03;R;B;PAQ05a10</v>
          </cell>
          <cell r="B7134">
            <v>730069</v>
          </cell>
          <cell r="C7134" t="str">
            <v>R</v>
          </cell>
          <cell r="D7134" t="str">
            <v>REGIONAL</v>
          </cell>
          <cell r="E7134" t="str">
            <v>03</v>
          </cell>
          <cell r="F7134" t="str">
            <v>PAQ05a10</v>
          </cell>
          <cell r="G7134" t="str">
            <v>B</v>
          </cell>
          <cell r="H7134">
            <v>36.31</v>
          </cell>
        </row>
        <row r="7135">
          <cell r="A7135" t="str">
            <v>1;03;R;B;PAQ10a15</v>
          </cell>
          <cell r="B7135">
            <v>730069</v>
          </cell>
          <cell r="C7135" t="str">
            <v>R</v>
          </cell>
          <cell r="D7135" t="str">
            <v>REGIONAL</v>
          </cell>
          <cell r="E7135" t="str">
            <v>03</v>
          </cell>
          <cell r="F7135" t="str">
            <v>PAQ10a15</v>
          </cell>
          <cell r="G7135" t="str">
            <v>B</v>
          </cell>
          <cell r="H7135">
            <v>53.51</v>
          </cell>
        </row>
        <row r="7136">
          <cell r="A7136" t="str">
            <v>1;03;R;B;PAQ15a20</v>
          </cell>
          <cell r="B7136">
            <v>730069</v>
          </cell>
          <cell r="C7136" t="str">
            <v>R</v>
          </cell>
          <cell r="D7136" t="str">
            <v>REGIONAL</v>
          </cell>
          <cell r="E7136" t="str">
            <v>03</v>
          </cell>
          <cell r="F7136" t="str">
            <v>PAQ15a20</v>
          </cell>
          <cell r="G7136" t="str">
            <v>B</v>
          </cell>
          <cell r="H7136">
            <v>70.72</v>
          </cell>
        </row>
        <row r="7137">
          <cell r="A7137" t="str">
            <v>1;03;R;B;PAQ20a25</v>
          </cell>
          <cell r="B7137">
            <v>730069</v>
          </cell>
          <cell r="C7137" t="str">
            <v>R</v>
          </cell>
          <cell r="D7137" t="str">
            <v>REGIONAL</v>
          </cell>
          <cell r="E7137" t="str">
            <v>03</v>
          </cell>
          <cell r="F7137" t="str">
            <v>PAQ20a25</v>
          </cell>
          <cell r="G7137" t="str">
            <v>B</v>
          </cell>
          <cell r="H7137">
            <v>87.93</v>
          </cell>
        </row>
        <row r="7138">
          <cell r="A7138" t="str">
            <v>1;03;R;B;PAQ25a30</v>
          </cell>
          <cell r="B7138">
            <v>730069</v>
          </cell>
          <cell r="C7138" t="str">
            <v>R</v>
          </cell>
          <cell r="D7138" t="str">
            <v>REGIONAL</v>
          </cell>
          <cell r="E7138" t="str">
            <v>03</v>
          </cell>
          <cell r="F7138" t="str">
            <v>PAQ25a30</v>
          </cell>
          <cell r="G7138" t="str">
            <v>B</v>
          </cell>
          <cell r="H7138">
            <v>105.14</v>
          </cell>
        </row>
        <row r="7139">
          <cell r="A7139" t="str">
            <v>1;03;R;B;PAQ30a35</v>
          </cell>
          <cell r="B7139">
            <v>730069</v>
          </cell>
          <cell r="C7139" t="str">
            <v>R</v>
          </cell>
          <cell r="D7139" t="str">
            <v>REGIONAL</v>
          </cell>
          <cell r="E7139" t="str">
            <v>03</v>
          </cell>
          <cell r="F7139" t="str">
            <v>PAQ30a35</v>
          </cell>
          <cell r="G7139" t="str">
            <v>B</v>
          </cell>
          <cell r="H7139">
            <v>122.34</v>
          </cell>
        </row>
        <row r="7140">
          <cell r="A7140" t="str">
            <v>1;03;R;B;PAQ35a40</v>
          </cell>
          <cell r="B7140">
            <v>730069</v>
          </cell>
          <cell r="C7140" t="str">
            <v>R</v>
          </cell>
          <cell r="D7140" t="str">
            <v>REGIONAL</v>
          </cell>
          <cell r="E7140" t="str">
            <v>03</v>
          </cell>
          <cell r="F7140" t="str">
            <v>PAQ35a40</v>
          </cell>
          <cell r="G7140" t="str">
            <v>B</v>
          </cell>
          <cell r="H7140">
            <v>139.55000000000001</v>
          </cell>
        </row>
        <row r="7141">
          <cell r="A7141" t="str">
            <v>1;03;R;F;</v>
          </cell>
          <cell r="B7141">
            <v>730069</v>
          </cell>
          <cell r="C7141" t="str">
            <v>R</v>
          </cell>
          <cell r="D7141" t="str">
            <v>REGIONAL</v>
          </cell>
          <cell r="E7141" t="str">
            <v>03</v>
          </cell>
          <cell r="F7141" t="str">
            <v/>
          </cell>
          <cell r="G7141" t="str">
            <v>F</v>
          </cell>
          <cell r="H7141">
            <v>17.21</v>
          </cell>
        </row>
        <row r="7142">
          <cell r="A7142" t="str">
            <v>1;03;R;E;</v>
          </cell>
          <cell r="B7142">
            <v>730069</v>
          </cell>
          <cell r="C7142" t="str">
            <v>R</v>
          </cell>
          <cell r="D7142" t="str">
            <v>REGIONAL</v>
          </cell>
          <cell r="E7142" t="str">
            <v>03</v>
          </cell>
          <cell r="F7142" t="str">
            <v/>
          </cell>
          <cell r="G7142" t="str">
            <v>E</v>
          </cell>
          <cell r="H7142">
            <v>20.97</v>
          </cell>
        </row>
        <row r="7143">
          <cell r="A7143" t="str">
            <v>1;03;R;P;</v>
          </cell>
          <cell r="B7143">
            <v>730069</v>
          </cell>
          <cell r="C7143" t="str">
            <v>R</v>
          </cell>
          <cell r="D7143" t="str">
            <v>REGIONAL</v>
          </cell>
          <cell r="E7143" t="str">
            <v>03</v>
          </cell>
          <cell r="F7143" t="str">
            <v/>
          </cell>
          <cell r="G7143" t="str">
            <v>P</v>
          </cell>
          <cell r="H7143">
            <v>20.97</v>
          </cell>
        </row>
        <row r="7144">
          <cell r="A7144" t="str">
            <v>1;04;R;B;BAG</v>
          </cell>
          <cell r="B7144">
            <v>730069</v>
          </cell>
          <cell r="C7144" t="str">
            <v>R</v>
          </cell>
          <cell r="D7144" t="str">
            <v>REGIONAL</v>
          </cell>
          <cell r="E7144" t="str">
            <v>04</v>
          </cell>
          <cell r="F7144" t="str">
            <v>BAG</v>
          </cell>
          <cell r="G7144" t="str">
            <v>B</v>
          </cell>
          <cell r="H7144">
            <v>5.66</v>
          </cell>
        </row>
        <row r="7145">
          <cell r="A7145" t="str">
            <v>1;05;R;B;BAG</v>
          </cell>
          <cell r="B7145">
            <v>730069</v>
          </cell>
          <cell r="C7145" t="str">
            <v>R</v>
          </cell>
          <cell r="D7145" t="str">
            <v>REGIONAL</v>
          </cell>
          <cell r="E7145" t="str">
            <v>05</v>
          </cell>
          <cell r="F7145" t="str">
            <v>BAG</v>
          </cell>
          <cell r="G7145" t="str">
            <v>B</v>
          </cell>
          <cell r="H7145">
            <v>5.66</v>
          </cell>
        </row>
        <row r="7146">
          <cell r="A7146" t="str">
            <v>1;06;R;B;BAG</v>
          </cell>
          <cell r="B7146">
            <v>730069</v>
          </cell>
          <cell r="C7146" t="str">
            <v>R</v>
          </cell>
          <cell r="D7146" t="str">
            <v>REGIONAL</v>
          </cell>
          <cell r="E7146" t="str">
            <v>06</v>
          </cell>
          <cell r="F7146" t="str">
            <v>BAG</v>
          </cell>
          <cell r="G7146" t="str">
            <v>B</v>
          </cell>
          <cell r="H7146">
            <v>0</v>
          </cell>
        </row>
        <row r="7147">
          <cell r="A7147" t="str">
            <v>1;06;R;B;DOCS</v>
          </cell>
          <cell r="B7147">
            <v>730069</v>
          </cell>
          <cell r="C7147" t="str">
            <v>R</v>
          </cell>
          <cell r="D7147" t="str">
            <v>REGIONAL</v>
          </cell>
          <cell r="E7147" t="str">
            <v>06</v>
          </cell>
          <cell r="F7147" t="str">
            <v>DOCS</v>
          </cell>
          <cell r="G7147" t="str">
            <v>B</v>
          </cell>
          <cell r="H7147">
            <v>0</v>
          </cell>
        </row>
        <row r="7148">
          <cell r="A7148" t="str">
            <v>1;06;R;B;PAQ00a05</v>
          </cell>
          <cell r="B7148">
            <v>730069</v>
          </cell>
          <cell r="C7148" t="str">
            <v>R</v>
          </cell>
          <cell r="D7148" t="str">
            <v>REGIONAL</v>
          </cell>
          <cell r="E7148" t="str">
            <v>06</v>
          </cell>
          <cell r="F7148" t="str">
            <v>PAQ00a05</v>
          </cell>
          <cell r="G7148" t="str">
            <v>B</v>
          </cell>
          <cell r="H7148">
            <v>0</v>
          </cell>
        </row>
        <row r="7149">
          <cell r="A7149" t="str">
            <v>1;06;R;B;PAQ05a10</v>
          </cell>
          <cell r="B7149">
            <v>730069</v>
          </cell>
          <cell r="C7149" t="str">
            <v>R</v>
          </cell>
          <cell r="D7149" t="str">
            <v>REGIONAL</v>
          </cell>
          <cell r="E7149" t="str">
            <v>06</v>
          </cell>
          <cell r="F7149" t="str">
            <v>PAQ05a10</v>
          </cell>
          <cell r="G7149" t="str">
            <v>B</v>
          </cell>
          <cell r="H7149">
            <v>0</v>
          </cell>
        </row>
        <row r="7150">
          <cell r="A7150" t="str">
            <v>1;06;R;B;PAQ10a15</v>
          </cell>
          <cell r="B7150">
            <v>730069</v>
          </cell>
          <cell r="C7150" t="str">
            <v>R</v>
          </cell>
          <cell r="D7150" t="str">
            <v>REGIONAL</v>
          </cell>
          <cell r="E7150" t="str">
            <v>06</v>
          </cell>
          <cell r="F7150" t="str">
            <v>PAQ10a15</v>
          </cell>
          <cell r="G7150" t="str">
            <v>B</v>
          </cell>
          <cell r="H7150">
            <v>0</v>
          </cell>
        </row>
        <row r="7151">
          <cell r="A7151" t="str">
            <v>1;06;R;B;PAQ15a20</v>
          </cell>
          <cell r="B7151">
            <v>730069</v>
          </cell>
          <cell r="C7151" t="str">
            <v>R</v>
          </cell>
          <cell r="D7151" t="str">
            <v>REGIONAL</v>
          </cell>
          <cell r="E7151" t="str">
            <v>06</v>
          </cell>
          <cell r="F7151" t="str">
            <v>PAQ15a20</v>
          </cell>
          <cell r="G7151" t="str">
            <v>B</v>
          </cell>
          <cell r="H7151">
            <v>0</v>
          </cell>
        </row>
        <row r="7152">
          <cell r="A7152" t="str">
            <v>1;06;R;B;PAQ20a25</v>
          </cell>
          <cell r="B7152">
            <v>730069</v>
          </cell>
          <cell r="C7152" t="str">
            <v>R</v>
          </cell>
          <cell r="D7152" t="str">
            <v>REGIONAL</v>
          </cell>
          <cell r="E7152" t="str">
            <v>06</v>
          </cell>
          <cell r="F7152" t="str">
            <v>PAQ20a25</v>
          </cell>
          <cell r="G7152" t="str">
            <v>B</v>
          </cell>
          <cell r="H7152">
            <v>0</v>
          </cell>
        </row>
        <row r="7153">
          <cell r="A7153" t="str">
            <v>1;06;R;B;PAQ25a30</v>
          </cell>
          <cell r="B7153">
            <v>730069</v>
          </cell>
          <cell r="C7153" t="str">
            <v>R</v>
          </cell>
          <cell r="D7153" t="str">
            <v>REGIONAL</v>
          </cell>
          <cell r="E7153" t="str">
            <v>06</v>
          </cell>
          <cell r="F7153" t="str">
            <v>PAQ25a30</v>
          </cell>
          <cell r="G7153" t="str">
            <v>B</v>
          </cell>
          <cell r="H7153">
            <v>0</v>
          </cell>
        </row>
        <row r="7154">
          <cell r="A7154" t="str">
            <v>1;06;R;B;PAQ30a35</v>
          </cell>
          <cell r="B7154">
            <v>730069</v>
          </cell>
          <cell r="C7154" t="str">
            <v>R</v>
          </cell>
          <cell r="D7154" t="str">
            <v>REGIONAL</v>
          </cell>
          <cell r="E7154" t="str">
            <v>06</v>
          </cell>
          <cell r="F7154" t="str">
            <v>PAQ30a35</v>
          </cell>
          <cell r="G7154" t="str">
            <v>B</v>
          </cell>
          <cell r="H7154">
            <v>0</v>
          </cell>
        </row>
        <row r="7155">
          <cell r="A7155" t="str">
            <v>1;06;R;F;</v>
          </cell>
          <cell r="B7155">
            <v>730069</v>
          </cell>
          <cell r="C7155" t="str">
            <v>R</v>
          </cell>
          <cell r="D7155" t="str">
            <v>REGIONAL</v>
          </cell>
          <cell r="E7155" t="str">
            <v>06</v>
          </cell>
          <cell r="F7155" t="str">
            <v/>
          </cell>
          <cell r="G7155" t="str">
            <v>F</v>
          </cell>
          <cell r="H7155">
            <v>0</v>
          </cell>
        </row>
        <row r="7156">
          <cell r="A7156" t="str">
            <v>1;06;R;B;PAQ35a40</v>
          </cell>
          <cell r="B7156">
            <v>730069</v>
          </cell>
          <cell r="C7156" t="str">
            <v>R</v>
          </cell>
          <cell r="D7156" t="str">
            <v>REGIONAL</v>
          </cell>
          <cell r="E7156" t="str">
            <v>06</v>
          </cell>
          <cell r="F7156" t="str">
            <v>PAQ35a40</v>
          </cell>
          <cell r="G7156" t="str">
            <v>B</v>
          </cell>
          <cell r="H7156">
            <v>0</v>
          </cell>
        </row>
        <row r="7157">
          <cell r="A7157" t="str">
            <v>1;06;R;P;</v>
          </cell>
          <cell r="B7157">
            <v>730069</v>
          </cell>
          <cell r="C7157" t="str">
            <v>R</v>
          </cell>
          <cell r="D7157" t="str">
            <v>REGIONAL</v>
          </cell>
          <cell r="E7157" t="str">
            <v>06</v>
          </cell>
          <cell r="F7157" t="str">
            <v/>
          </cell>
          <cell r="G7157" t="str">
            <v>P</v>
          </cell>
          <cell r="H7157">
            <v>14.5</v>
          </cell>
        </row>
        <row r="7158">
          <cell r="A7158" t="str">
            <v>1;06;R;E;</v>
          </cell>
          <cell r="B7158">
            <v>730069</v>
          </cell>
          <cell r="C7158" t="str">
            <v>R</v>
          </cell>
          <cell r="D7158" t="str">
            <v>REGIONAL</v>
          </cell>
          <cell r="E7158" t="str">
            <v>06</v>
          </cell>
          <cell r="F7158" t="str">
            <v/>
          </cell>
          <cell r="G7158" t="str">
            <v>E</v>
          </cell>
          <cell r="H7158">
            <v>14.5</v>
          </cell>
        </row>
        <row r="7159">
          <cell r="A7159" t="str">
            <v>1;07;R;B;BAG</v>
          </cell>
          <cell r="B7159">
            <v>730069</v>
          </cell>
          <cell r="C7159" t="str">
            <v>R</v>
          </cell>
          <cell r="D7159" t="str">
            <v>REGIONAL</v>
          </cell>
          <cell r="E7159" t="str">
            <v>07</v>
          </cell>
          <cell r="F7159" t="str">
            <v>BAG</v>
          </cell>
          <cell r="G7159" t="str">
            <v>B</v>
          </cell>
          <cell r="H7159">
            <v>0</v>
          </cell>
        </row>
        <row r="7160">
          <cell r="A7160" t="str">
            <v>1;07;R;B;DOCS</v>
          </cell>
          <cell r="B7160">
            <v>730069</v>
          </cell>
          <cell r="C7160" t="str">
            <v>R</v>
          </cell>
          <cell r="D7160" t="str">
            <v>REGIONAL</v>
          </cell>
          <cell r="E7160" t="str">
            <v>07</v>
          </cell>
          <cell r="F7160" t="str">
            <v>DOCS</v>
          </cell>
          <cell r="G7160" t="str">
            <v>B</v>
          </cell>
          <cell r="H7160">
            <v>0</v>
          </cell>
        </row>
        <row r="7161">
          <cell r="A7161" t="str">
            <v>1;07;R;B;PAQ00a05</v>
          </cell>
          <cell r="B7161">
            <v>730069</v>
          </cell>
          <cell r="C7161" t="str">
            <v>R</v>
          </cell>
          <cell r="D7161" t="str">
            <v>REGIONAL</v>
          </cell>
          <cell r="E7161" t="str">
            <v>07</v>
          </cell>
          <cell r="F7161" t="str">
            <v>PAQ00a05</v>
          </cell>
          <cell r="G7161" t="str">
            <v>B</v>
          </cell>
          <cell r="H7161">
            <v>0</v>
          </cell>
        </row>
        <row r="7162">
          <cell r="A7162" t="str">
            <v>1;07;R;B;PAQ05a10</v>
          </cell>
          <cell r="B7162">
            <v>730069</v>
          </cell>
          <cell r="C7162" t="str">
            <v>R</v>
          </cell>
          <cell r="D7162" t="str">
            <v>REGIONAL</v>
          </cell>
          <cell r="E7162" t="str">
            <v>07</v>
          </cell>
          <cell r="F7162" t="str">
            <v>PAQ05a10</v>
          </cell>
          <cell r="G7162" t="str">
            <v>B</v>
          </cell>
          <cell r="H7162">
            <v>0</v>
          </cell>
        </row>
        <row r="7163">
          <cell r="A7163" t="str">
            <v>1;07;R;B;PAQ10a15</v>
          </cell>
          <cell r="B7163">
            <v>730069</v>
          </cell>
          <cell r="C7163" t="str">
            <v>R</v>
          </cell>
          <cell r="D7163" t="str">
            <v>REGIONAL</v>
          </cell>
          <cell r="E7163" t="str">
            <v>07</v>
          </cell>
          <cell r="F7163" t="str">
            <v>PAQ10a15</v>
          </cell>
          <cell r="G7163" t="str">
            <v>B</v>
          </cell>
          <cell r="H7163">
            <v>0</v>
          </cell>
        </row>
        <row r="7164">
          <cell r="A7164" t="str">
            <v>1;07;R;B;PAQ15a20</v>
          </cell>
          <cell r="B7164">
            <v>730069</v>
          </cell>
          <cell r="C7164" t="str">
            <v>R</v>
          </cell>
          <cell r="D7164" t="str">
            <v>REGIONAL</v>
          </cell>
          <cell r="E7164" t="str">
            <v>07</v>
          </cell>
          <cell r="F7164" t="str">
            <v>PAQ15a20</v>
          </cell>
          <cell r="G7164" t="str">
            <v>B</v>
          </cell>
          <cell r="H7164">
            <v>0</v>
          </cell>
        </row>
        <row r="7165">
          <cell r="A7165" t="str">
            <v>1;07;R;B;PAQ20a25</v>
          </cell>
          <cell r="B7165">
            <v>730069</v>
          </cell>
          <cell r="C7165" t="str">
            <v>R</v>
          </cell>
          <cell r="D7165" t="str">
            <v>REGIONAL</v>
          </cell>
          <cell r="E7165" t="str">
            <v>07</v>
          </cell>
          <cell r="F7165" t="str">
            <v>PAQ20a25</v>
          </cell>
          <cell r="G7165" t="str">
            <v>B</v>
          </cell>
          <cell r="H7165">
            <v>0</v>
          </cell>
        </row>
        <row r="7166">
          <cell r="A7166" t="str">
            <v>1;07;R;B;PAQ25a30</v>
          </cell>
          <cell r="B7166">
            <v>730069</v>
          </cell>
          <cell r="C7166" t="str">
            <v>R</v>
          </cell>
          <cell r="D7166" t="str">
            <v>REGIONAL</v>
          </cell>
          <cell r="E7166" t="str">
            <v>07</v>
          </cell>
          <cell r="F7166" t="str">
            <v>PAQ25a30</v>
          </cell>
          <cell r="G7166" t="str">
            <v>B</v>
          </cell>
          <cell r="H7166">
            <v>0</v>
          </cell>
        </row>
        <row r="7167">
          <cell r="A7167" t="str">
            <v>1;07;R;B;PAQ30a35</v>
          </cell>
          <cell r="B7167">
            <v>730069</v>
          </cell>
          <cell r="C7167" t="str">
            <v>R</v>
          </cell>
          <cell r="D7167" t="str">
            <v>REGIONAL</v>
          </cell>
          <cell r="E7167" t="str">
            <v>07</v>
          </cell>
          <cell r="F7167" t="str">
            <v>PAQ30a35</v>
          </cell>
          <cell r="G7167" t="str">
            <v>B</v>
          </cell>
          <cell r="H7167">
            <v>0</v>
          </cell>
        </row>
        <row r="7168">
          <cell r="A7168" t="str">
            <v>1;07;R;B;PAQ35a40</v>
          </cell>
          <cell r="B7168">
            <v>730069</v>
          </cell>
          <cell r="C7168" t="str">
            <v>R</v>
          </cell>
          <cell r="D7168" t="str">
            <v>REGIONAL</v>
          </cell>
          <cell r="E7168" t="str">
            <v>07</v>
          </cell>
          <cell r="F7168" t="str">
            <v>PAQ35a40</v>
          </cell>
          <cell r="G7168" t="str">
            <v>B</v>
          </cell>
          <cell r="H7168">
            <v>0</v>
          </cell>
        </row>
        <row r="7169">
          <cell r="A7169" t="str">
            <v>1;07;R;F;</v>
          </cell>
          <cell r="B7169">
            <v>730069</v>
          </cell>
          <cell r="C7169" t="str">
            <v>R</v>
          </cell>
          <cell r="D7169" t="str">
            <v>REGIONAL</v>
          </cell>
          <cell r="E7169" t="str">
            <v>07</v>
          </cell>
          <cell r="F7169" t="str">
            <v/>
          </cell>
          <cell r="G7169" t="str">
            <v>F</v>
          </cell>
          <cell r="H7169">
            <v>0</v>
          </cell>
        </row>
        <row r="7170">
          <cell r="A7170" t="str">
            <v>1;07;R;E;</v>
          </cell>
          <cell r="B7170">
            <v>730069</v>
          </cell>
          <cell r="C7170" t="str">
            <v>R</v>
          </cell>
          <cell r="D7170" t="str">
            <v>REGIONAL</v>
          </cell>
          <cell r="E7170" t="str">
            <v>07</v>
          </cell>
          <cell r="F7170" t="str">
            <v/>
          </cell>
          <cell r="G7170" t="str">
            <v>E</v>
          </cell>
          <cell r="H7170">
            <v>14.5</v>
          </cell>
        </row>
        <row r="7171">
          <cell r="A7171" t="str">
            <v>1;07;R;P;</v>
          </cell>
          <cell r="B7171">
            <v>730069</v>
          </cell>
          <cell r="C7171" t="str">
            <v>R</v>
          </cell>
          <cell r="D7171" t="str">
            <v>REGIONAL</v>
          </cell>
          <cell r="E7171" t="str">
            <v>07</v>
          </cell>
          <cell r="F7171" t="str">
            <v/>
          </cell>
          <cell r="G7171" t="str">
            <v>P</v>
          </cell>
          <cell r="H7171">
            <v>14.5</v>
          </cell>
        </row>
        <row r="7172">
          <cell r="A7172" t="str">
            <v>1;08;R;B;BAG</v>
          </cell>
          <cell r="B7172">
            <v>730069</v>
          </cell>
          <cell r="C7172" t="str">
            <v>R</v>
          </cell>
          <cell r="D7172" t="str">
            <v>REGIONAL</v>
          </cell>
          <cell r="E7172" t="str">
            <v>08</v>
          </cell>
          <cell r="F7172" t="str">
            <v>BAG</v>
          </cell>
          <cell r="G7172" t="str">
            <v>B</v>
          </cell>
          <cell r="H7172">
            <v>4.2</v>
          </cell>
        </row>
        <row r="7173">
          <cell r="A7173" t="str">
            <v>1;08;R;B;DOCS</v>
          </cell>
          <cell r="B7173">
            <v>730069</v>
          </cell>
          <cell r="C7173" t="str">
            <v>R</v>
          </cell>
          <cell r="D7173" t="str">
            <v>REGIONAL</v>
          </cell>
          <cell r="E7173" t="str">
            <v>08</v>
          </cell>
          <cell r="F7173" t="str">
            <v>DOCS</v>
          </cell>
          <cell r="G7173" t="str">
            <v>B</v>
          </cell>
          <cell r="H7173">
            <v>7.69</v>
          </cell>
        </row>
        <row r="7174">
          <cell r="A7174" t="str">
            <v>1;08;R;B;PAQ00a02</v>
          </cell>
          <cell r="B7174">
            <v>730069</v>
          </cell>
          <cell r="C7174" t="str">
            <v>R</v>
          </cell>
          <cell r="D7174" t="str">
            <v>REGIONAL</v>
          </cell>
          <cell r="E7174" t="str">
            <v>08</v>
          </cell>
          <cell r="F7174" t="str">
            <v>PAQ00a02</v>
          </cell>
          <cell r="G7174" t="str">
            <v>B</v>
          </cell>
          <cell r="H7174">
            <v>4.2</v>
          </cell>
        </row>
        <row r="7175">
          <cell r="A7175" t="str">
            <v>1;08;R;B;PAQ02a05</v>
          </cell>
          <cell r="B7175">
            <v>730069</v>
          </cell>
          <cell r="C7175" t="str">
            <v>R</v>
          </cell>
          <cell r="D7175" t="str">
            <v>REGIONAL</v>
          </cell>
          <cell r="E7175" t="str">
            <v>08</v>
          </cell>
          <cell r="F7175" t="str">
            <v>PAQ02a05</v>
          </cell>
          <cell r="G7175" t="str">
            <v>B</v>
          </cell>
          <cell r="H7175">
            <v>5.78</v>
          </cell>
        </row>
        <row r="7176">
          <cell r="A7176" t="str">
            <v>1;08;R;B;PAQ05a10</v>
          </cell>
          <cell r="B7176">
            <v>730069</v>
          </cell>
          <cell r="C7176" t="str">
            <v>R</v>
          </cell>
          <cell r="D7176" t="str">
            <v>REGIONAL</v>
          </cell>
          <cell r="E7176" t="str">
            <v>08</v>
          </cell>
          <cell r="F7176" t="str">
            <v>PAQ05a10</v>
          </cell>
          <cell r="G7176" t="str">
            <v>B</v>
          </cell>
          <cell r="H7176">
            <v>7.25</v>
          </cell>
        </row>
        <row r="7177">
          <cell r="A7177" t="str">
            <v>1;08;R;B;PAQ10a15</v>
          </cell>
          <cell r="B7177">
            <v>730069</v>
          </cell>
          <cell r="C7177" t="str">
            <v>R</v>
          </cell>
          <cell r="D7177" t="str">
            <v>REGIONAL</v>
          </cell>
          <cell r="E7177" t="str">
            <v>08</v>
          </cell>
          <cell r="F7177" t="str">
            <v>PAQ10a15</v>
          </cell>
          <cell r="G7177" t="str">
            <v>B</v>
          </cell>
          <cell r="H7177">
            <v>10.29</v>
          </cell>
        </row>
        <row r="7178">
          <cell r="A7178" t="str">
            <v>1;08;R;B;PAQ15a20</v>
          </cell>
          <cell r="B7178">
            <v>730069</v>
          </cell>
          <cell r="C7178" t="str">
            <v>R</v>
          </cell>
          <cell r="D7178" t="str">
            <v>REGIONAL</v>
          </cell>
          <cell r="E7178" t="str">
            <v>08</v>
          </cell>
          <cell r="F7178" t="str">
            <v>PAQ15a20</v>
          </cell>
          <cell r="G7178" t="str">
            <v>B</v>
          </cell>
          <cell r="H7178">
            <v>13.02</v>
          </cell>
        </row>
        <row r="7179">
          <cell r="A7179" t="str">
            <v>1;08;R;B;PAQ20a25</v>
          </cell>
          <cell r="B7179">
            <v>730069</v>
          </cell>
          <cell r="C7179" t="str">
            <v>R</v>
          </cell>
          <cell r="D7179" t="str">
            <v>REGIONAL</v>
          </cell>
          <cell r="E7179" t="str">
            <v>08</v>
          </cell>
          <cell r="F7179" t="str">
            <v>PAQ20a25</v>
          </cell>
          <cell r="G7179" t="str">
            <v>B</v>
          </cell>
          <cell r="H7179">
            <v>15.96</v>
          </cell>
        </row>
        <row r="7180">
          <cell r="A7180" t="str">
            <v>1;08;R;B;PAQ25a30</v>
          </cell>
          <cell r="B7180">
            <v>730069</v>
          </cell>
          <cell r="C7180" t="str">
            <v>R</v>
          </cell>
          <cell r="D7180" t="str">
            <v>REGIONAL</v>
          </cell>
          <cell r="E7180" t="str">
            <v>08</v>
          </cell>
          <cell r="F7180" t="str">
            <v>PAQ25a30</v>
          </cell>
          <cell r="G7180" t="str">
            <v>B</v>
          </cell>
          <cell r="H7180">
            <v>18.899999999999999</v>
          </cell>
        </row>
        <row r="7181">
          <cell r="A7181" t="str">
            <v>1;08;R;B;PAQ30a35</v>
          </cell>
          <cell r="B7181">
            <v>730069</v>
          </cell>
          <cell r="C7181" t="str">
            <v>R</v>
          </cell>
          <cell r="D7181" t="str">
            <v>REGIONAL</v>
          </cell>
          <cell r="E7181" t="str">
            <v>08</v>
          </cell>
          <cell r="F7181" t="str">
            <v>PAQ30a35</v>
          </cell>
          <cell r="G7181" t="str">
            <v>B</v>
          </cell>
          <cell r="H7181">
            <v>21.84</v>
          </cell>
        </row>
        <row r="7182">
          <cell r="A7182" t="str">
            <v>1;08;R;F;</v>
          </cell>
          <cell r="B7182">
            <v>730069</v>
          </cell>
          <cell r="C7182" t="str">
            <v>R</v>
          </cell>
          <cell r="D7182" t="str">
            <v>REGIONAL</v>
          </cell>
          <cell r="E7182" t="str">
            <v>08</v>
          </cell>
          <cell r="F7182" t="str">
            <v/>
          </cell>
          <cell r="G7182" t="str">
            <v>F</v>
          </cell>
          <cell r="H7182">
            <v>3.68</v>
          </cell>
        </row>
        <row r="7183">
          <cell r="A7183" t="str">
            <v>1;08;R;B;PAQ35a40</v>
          </cell>
          <cell r="B7183">
            <v>730069</v>
          </cell>
          <cell r="C7183" t="str">
            <v>R</v>
          </cell>
          <cell r="D7183" t="str">
            <v>REGIONAL</v>
          </cell>
          <cell r="E7183" t="str">
            <v>08</v>
          </cell>
          <cell r="F7183" t="str">
            <v>PAQ35a40</v>
          </cell>
          <cell r="G7183" t="str">
            <v>B</v>
          </cell>
          <cell r="H7183">
            <v>24.78</v>
          </cell>
        </row>
        <row r="7184">
          <cell r="A7184" t="str">
            <v>1;08;R;E;</v>
          </cell>
          <cell r="B7184">
            <v>730069</v>
          </cell>
          <cell r="C7184" t="str">
            <v>R</v>
          </cell>
          <cell r="D7184" t="str">
            <v>REGIONAL</v>
          </cell>
          <cell r="E7184" t="str">
            <v>08</v>
          </cell>
          <cell r="F7184" t="str">
            <v/>
          </cell>
          <cell r="G7184" t="str">
            <v>E</v>
          </cell>
          <cell r="H7184">
            <v>4.7300000000000004</v>
          </cell>
        </row>
        <row r="7185">
          <cell r="A7185" t="str">
            <v>1;08;R;P;</v>
          </cell>
          <cell r="B7185">
            <v>730069</v>
          </cell>
          <cell r="C7185" t="str">
            <v>R</v>
          </cell>
          <cell r="D7185" t="str">
            <v>REGIONAL</v>
          </cell>
          <cell r="E7185" t="str">
            <v>08</v>
          </cell>
          <cell r="F7185" t="str">
            <v/>
          </cell>
          <cell r="G7185" t="str">
            <v>P</v>
          </cell>
          <cell r="H7185">
            <v>3.68</v>
          </cell>
        </row>
        <row r="7186">
          <cell r="A7186" t="str">
            <v>1;10;R;B;BAG</v>
          </cell>
          <cell r="B7186">
            <v>730069</v>
          </cell>
          <cell r="C7186" t="str">
            <v>R</v>
          </cell>
          <cell r="D7186" t="str">
            <v>REGIONAL</v>
          </cell>
          <cell r="E7186" t="str">
            <v>10</v>
          </cell>
          <cell r="F7186" t="str">
            <v>BAG</v>
          </cell>
          <cell r="G7186" t="str">
            <v>B</v>
          </cell>
          <cell r="H7186">
            <v>1.67</v>
          </cell>
        </row>
        <row r="7187">
          <cell r="A7187" t="str">
            <v>1;10;R;B;DOCS</v>
          </cell>
          <cell r="B7187">
            <v>730069</v>
          </cell>
          <cell r="C7187" t="str">
            <v>R</v>
          </cell>
          <cell r="D7187" t="str">
            <v>REGIONAL</v>
          </cell>
          <cell r="E7187" t="str">
            <v>10</v>
          </cell>
          <cell r="F7187" t="str">
            <v>DOCS</v>
          </cell>
          <cell r="G7187" t="str">
            <v>B</v>
          </cell>
          <cell r="H7187">
            <v>1.67</v>
          </cell>
        </row>
        <row r="7188">
          <cell r="A7188" t="str">
            <v>1;11;R;B;BAG</v>
          </cell>
          <cell r="B7188">
            <v>730069</v>
          </cell>
          <cell r="C7188" t="str">
            <v>R</v>
          </cell>
          <cell r="D7188" t="str">
            <v>REGIONAL</v>
          </cell>
          <cell r="E7188" t="str">
            <v>11</v>
          </cell>
          <cell r="F7188" t="str">
            <v>BAG</v>
          </cell>
          <cell r="G7188" t="str">
            <v>B</v>
          </cell>
          <cell r="H7188">
            <v>28.77</v>
          </cell>
        </row>
        <row r="7189">
          <cell r="A7189" t="str">
            <v>1;11;R;B;DOCS</v>
          </cell>
          <cell r="B7189">
            <v>730069</v>
          </cell>
          <cell r="C7189" t="str">
            <v>R</v>
          </cell>
          <cell r="D7189" t="str">
            <v>REGIONAL</v>
          </cell>
          <cell r="E7189" t="str">
            <v>11</v>
          </cell>
          <cell r="F7189" t="str">
            <v>DOCS</v>
          </cell>
          <cell r="G7189" t="str">
            <v>B</v>
          </cell>
          <cell r="H7189">
            <v>22.68</v>
          </cell>
        </row>
        <row r="7190">
          <cell r="A7190" t="str">
            <v>1;11;R;B;PAQ00a02</v>
          </cell>
          <cell r="B7190">
            <v>730069</v>
          </cell>
          <cell r="C7190" t="str">
            <v>R</v>
          </cell>
          <cell r="D7190" t="str">
            <v>REGIONAL</v>
          </cell>
          <cell r="E7190" t="str">
            <v>11</v>
          </cell>
          <cell r="F7190" t="str">
            <v>PAQ00a02</v>
          </cell>
          <cell r="G7190" t="str">
            <v>B</v>
          </cell>
          <cell r="H7190">
            <v>32.22</v>
          </cell>
        </row>
        <row r="7191">
          <cell r="A7191" t="str">
            <v>1;11;R;B;PAQ02a05</v>
          </cell>
          <cell r="B7191">
            <v>730069</v>
          </cell>
          <cell r="C7191" t="str">
            <v>R</v>
          </cell>
          <cell r="D7191" t="str">
            <v>REGIONAL</v>
          </cell>
          <cell r="E7191" t="str">
            <v>11</v>
          </cell>
          <cell r="F7191" t="str">
            <v>PAQ02a05</v>
          </cell>
          <cell r="G7191" t="str">
            <v>B</v>
          </cell>
          <cell r="H7191">
            <v>32.22</v>
          </cell>
        </row>
        <row r="7192">
          <cell r="A7192" t="str">
            <v>1;11;R;B;PAQ05a10</v>
          </cell>
          <cell r="B7192">
            <v>730069</v>
          </cell>
          <cell r="C7192" t="str">
            <v>R</v>
          </cell>
          <cell r="D7192" t="str">
            <v>REGIONAL</v>
          </cell>
          <cell r="E7192" t="str">
            <v>11</v>
          </cell>
          <cell r="F7192" t="str">
            <v>PAQ05a10</v>
          </cell>
          <cell r="G7192" t="str">
            <v>B</v>
          </cell>
          <cell r="H7192">
            <v>47.54</v>
          </cell>
        </row>
        <row r="7193">
          <cell r="A7193" t="str">
            <v>1;11;R;B;PAQ10a15</v>
          </cell>
          <cell r="B7193">
            <v>730069</v>
          </cell>
          <cell r="C7193" t="str">
            <v>R</v>
          </cell>
          <cell r="D7193" t="str">
            <v>REGIONAL</v>
          </cell>
          <cell r="E7193" t="str">
            <v>11</v>
          </cell>
          <cell r="F7193" t="str">
            <v>PAQ10a15</v>
          </cell>
          <cell r="G7193" t="str">
            <v>B</v>
          </cell>
          <cell r="H7193">
            <v>64.75</v>
          </cell>
        </row>
        <row r="7194">
          <cell r="A7194" t="str">
            <v>1;11;R;B;PAQ15a20</v>
          </cell>
          <cell r="B7194">
            <v>730069</v>
          </cell>
          <cell r="C7194" t="str">
            <v>R</v>
          </cell>
          <cell r="D7194" t="str">
            <v>REGIONAL</v>
          </cell>
          <cell r="E7194" t="str">
            <v>11</v>
          </cell>
          <cell r="F7194" t="str">
            <v>PAQ15a20</v>
          </cell>
          <cell r="G7194" t="str">
            <v>B</v>
          </cell>
          <cell r="H7194">
            <v>81.95</v>
          </cell>
        </row>
        <row r="7195">
          <cell r="A7195" t="str">
            <v>1;11;R;B;PAQ20a25</v>
          </cell>
          <cell r="B7195">
            <v>730069</v>
          </cell>
          <cell r="C7195" t="str">
            <v>R</v>
          </cell>
          <cell r="D7195" t="str">
            <v>REGIONAL</v>
          </cell>
          <cell r="E7195" t="str">
            <v>11</v>
          </cell>
          <cell r="F7195" t="str">
            <v>PAQ20a25</v>
          </cell>
          <cell r="G7195" t="str">
            <v>B</v>
          </cell>
          <cell r="H7195">
            <v>99.16</v>
          </cell>
        </row>
        <row r="7196">
          <cell r="A7196" t="str">
            <v>1;11;R;B;PAQ25a30</v>
          </cell>
          <cell r="B7196">
            <v>730069</v>
          </cell>
          <cell r="C7196" t="str">
            <v>R</v>
          </cell>
          <cell r="D7196" t="str">
            <v>REGIONAL</v>
          </cell>
          <cell r="E7196" t="str">
            <v>11</v>
          </cell>
          <cell r="F7196" t="str">
            <v>PAQ25a30</v>
          </cell>
          <cell r="G7196" t="str">
            <v>B</v>
          </cell>
          <cell r="H7196">
            <v>116.37</v>
          </cell>
        </row>
        <row r="7197">
          <cell r="A7197" t="str">
            <v>1;11;R;B;PAQ30a35</v>
          </cell>
          <cell r="B7197">
            <v>730069</v>
          </cell>
          <cell r="C7197" t="str">
            <v>R</v>
          </cell>
          <cell r="D7197" t="str">
            <v>REGIONAL</v>
          </cell>
          <cell r="E7197" t="str">
            <v>11</v>
          </cell>
          <cell r="F7197" t="str">
            <v>PAQ30a35</v>
          </cell>
          <cell r="G7197" t="str">
            <v>B</v>
          </cell>
          <cell r="H7197">
            <v>133.58000000000001</v>
          </cell>
        </row>
        <row r="7198">
          <cell r="A7198" t="str">
            <v>1;11;R;F;</v>
          </cell>
          <cell r="B7198">
            <v>730069</v>
          </cell>
          <cell r="C7198" t="str">
            <v>R</v>
          </cell>
          <cell r="D7198" t="str">
            <v>REGIONAL</v>
          </cell>
          <cell r="E7198" t="str">
            <v>11</v>
          </cell>
          <cell r="F7198" t="str">
            <v/>
          </cell>
          <cell r="G7198" t="str">
            <v>F</v>
          </cell>
          <cell r="H7198">
            <v>17.21</v>
          </cell>
        </row>
        <row r="7199">
          <cell r="A7199" t="str">
            <v>1;11;R;B;PAQ35a40</v>
          </cell>
          <cell r="B7199">
            <v>730069</v>
          </cell>
          <cell r="C7199" t="str">
            <v>R</v>
          </cell>
          <cell r="D7199" t="str">
            <v>REGIONAL</v>
          </cell>
          <cell r="E7199" t="str">
            <v>11</v>
          </cell>
          <cell r="F7199" t="str">
            <v>PAQ35a40</v>
          </cell>
          <cell r="G7199" t="str">
            <v>B</v>
          </cell>
          <cell r="H7199">
            <v>150.78</v>
          </cell>
        </row>
        <row r="7200">
          <cell r="A7200" t="str">
            <v>1;11;R;E;</v>
          </cell>
          <cell r="B7200">
            <v>730069</v>
          </cell>
          <cell r="C7200" t="str">
            <v>R</v>
          </cell>
          <cell r="D7200" t="str">
            <v>REGIONAL</v>
          </cell>
          <cell r="E7200" t="str">
            <v>11</v>
          </cell>
          <cell r="F7200" t="str">
            <v/>
          </cell>
          <cell r="G7200" t="str">
            <v>E</v>
          </cell>
          <cell r="H7200">
            <v>20.97</v>
          </cell>
        </row>
        <row r="7201">
          <cell r="A7201" t="str">
            <v>1;11;R;P;</v>
          </cell>
          <cell r="B7201">
            <v>730069</v>
          </cell>
          <cell r="C7201" t="str">
            <v>R</v>
          </cell>
          <cell r="D7201" t="str">
            <v>REGIONAL</v>
          </cell>
          <cell r="E7201" t="str">
            <v>11</v>
          </cell>
          <cell r="F7201" t="str">
            <v/>
          </cell>
          <cell r="G7201" t="str">
            <v>P</v>
          </cell>
          <cell r="H7201">
            <v>20.97</v>
          </cell>
        </row>
        <row r="7202">
          <cell r="A7202" t="str">
            <v>1;13;R;B;PAQ00a02</v>
          </cell>
          <cell r="B7202">
            <v>730069</v>
          </cell>
          <cell r="C7202" t="str">
            <v>R</v>
          </cell>
          <cell r="D7202" t="str">
            <v>REGIONAL</v>
          </cell>
          <cell r="E7202" t="str">
            <v>13</v>
          </cell>
          <cell r="F7202" t="str">
            <v>PAQ00a02</v>
          </cell>
          <cell r="G7202" t="str">
            <v>B</v>
          </cell>
          <cell r="H7202">
            <v>0</v>
          </cell>
        </row>
        <row r="7203">
          <cell r="A7203" t="str">
            <v>1;13;R;B;PAQ02a05</v>
          </cell>
          <cell r="B7203">
            <v>730069</v>
          </cell>
          <cell r="C7203" t="str">
            <v>R</v>
          </cell>
          <cell r="D7203" t="str">
            <v>REGIONAL</v>
          </cell>
          <cell r="E7203" t="str">
            <v>13</v>
          </cell>
          <cell r="F7203" t="str">
            <v>PAQ02a05</v>
          </cell>
          <cell r="G7203" t="str">
            <v>B</v>
          </cell>
          <cell r="H7203">
            <v>0</v>
          </cell>
        </row>
        <row r="7204">
          <cell r="A7204" t="str">
            <v>1;13;R;B;PAQ05a10</v>
          </cell>
          <cell r="B7204">
            <v>730069</v>
          </cell>
          <cell r="C7204" t="str">
            <v>R</v>
          </cell>
          <cell r="D7204" t="str">
            <v>REGIONAL</v>
          </cell>
          <cell r="E7204" t="str">
            <v>13</v>
          </cell>
          <cell r="F7204" t="str">
            <v>PAQ05a10</v>
          </cell>
          <cell r="G7204" t="str">
            <v>B</v>
          </cell>
          <cell r="H7204">
            <v>0</v>
          </cell>
        </row>
        <row r="7205">
          <cell r="A7205" t="str">
            <v>1;13;R;B;PAQ10a15</v>
          </cell>
          <cell r="B7205">
            <v>730069</v>
          </cell>
          <cell r="C7205" t="str">
            <v>R</v>
          </cell>
          <cell r="D7205" t="str">
            <v>REGIONAL</v>
          </cell>
          <cell r="E7205" t="str">
            <v>13</v>
          </cell>
          <cell r="F7205" t="str">
            <v>PAQ10a15</v>
          </cell>
          <cell r="G7205" t="str">
            <v>B</v>
          </cell>
          <cell r="H7205">
            <v>0</v>
          </cell>
        </row>
        <row r="7206">
          <cell r="A7206" t="str">
            <v>1;13;R;B;PAQ15a20</v>
          </cell>
          <cell r="B7206">
            <v>730069</v>
          </cell>
          <cell r="C7206" t="str">
            <v>R</v>
          </cell>
          <cell r="D7206" t="str">
            <v>REGIONAL</v>
          </cell>
          <cell r="E7206" t="str">
            <v>13</v>
          </cell>
          <cell r="F7206" t="str">
            <v>PAQ15a20</v>
          </cell>
          <cell r="G7206" t="str">
            <v>B</v>
          </cell>
          <cell r="H7206">
            <v>0</v>
          </cell>
        </row>
        <row r="7207">
          <cell r="A7207" t="str">
            <v>1;13;R;B;PAQ20a25</v>
          </cell>
          <cell r="B7207">
            <v>730069</v>
          </cell>
          <cell r="C7207" t="str">
            <v>R</v>
          </cell>
          <cell r="D7207" t="str">
            <v>REGIONAL</v>
          </cell>
          <cell r="E7207" t="str">
            <v>13</v>
          </cell>
          <cell r="F7207" t="str">
            <v>PAQ20a25</v>
          </cell>
          <cell r="G7207" t="str">
            <v>B</v>
          </cell>
          <cell r="H7207">
            <v>0</v>
          </cell>
        </row>
        <row r="7208">
          <cell r="A7208" t="str">
            <v>1;13;R;B;PAQ25a30</v>
          </cell>
          <cell r="B7208">
            <v>730069</v>
          </cell>
          <cell r="C7208" t="str">
            <v>R</v>
          </cell>
          <cell r="D7208" t="str">
            <v>REGIONAL</v>
          </cell>
          <cell r="E7208" t="str">
            <v>13</v>
          </cell>
          <cell r="F7208" t="str">
            <v>PAQ25a30</v>
          </cell>
          <cell r="G7208" t="str">
            <v>B</v>
          </cell>
          <cell r="H7208">
            <v>0</v>
          </cell>
        </row>
        <row r="7209">
          <cell r="A7209" t="str">
            <v>1;13;R;B;PAQ30a35</v>
          </cell>
          <cell r="B7209">
            <v>730069</v>
          </cell>
          <cell r="C7209" t="str">
            <v>R</v>
          </cell>
          <cell r="D7209" t="str">
            <v>REGIONAL</v>
          </cell>
          <cell r="E7209" t="str">
            <v>13</v>
          </cell>
          <cell r="F7209" t="str">
            <v>PAQ30a35</v>
          </cell>
          <cell r="G7209" t="str">
            <v>B</v>
          </cell>
          <cell r="H7209">
            <v>0</v>
          </cell>
        </row>
        <row r="7210">
          <cell r="A7210" t="str">
            <v>1;13;R;F;</v>
          </cell>
          <cell r="B7210">
            <v>730069</v>
          </cell>
          <cell r="C7210" t="str">
            <v>R</v>
          </cell>
          <cell r="D7210" t="str">
            <v>REGIONAL</v>
          </cell>
          <cell r="E7210" t="str">
            <v>13</v>
          </cell>
          <cell r="F7210" t="str">
            <v/>
          </cell>
          <cell r="G7210" t="str">
            <v>F</v>
          </cell>
          <cell r="H7210">
            <v>0</v>
          </cell>
        </row>
        <row r="7211">
          <cell r="A7211" t="str">
            <v>1;13;R;B;PAQ35a40</v>
          </cell>
          <cell r="B7211">
            <v>730069</v>
          </cell>
          <cell r="C7211" t="str">
            <v>R</v>
          </cell>
          <cell r="D7211" t="str">
            <v>REGIONAL</v>
          </cell>
          <cell r="E7211" t="str">
            <v>13</v>
          </cell>
          <cell r="F7211" t="str">
            <v>PAQ35a40</v>
          </cell>
          <cell r="G7211" t="str">
            <v>B</v>
          </cell>
          <cell r="H7211">
            <v>0</v>
          </cell>
        </row>
        <row r="7212">
          <cell r="A7212" t="str">
            <v>1;13;R;P;</v>
          </cell>
          <cell r="B7212">
            <v>730069</v>
          </cell>
          <cell r="C7212" t="str">
            <v>R</v>
          </cell>
          <cell r="D7212" t="str">
            <v>REGIONAL</v>
          </cell>
          <cell r="E7212" t="str">
            <v>13</v>
          </cell>
          <cell r="F7212" t="str">
            <v/>
          </cell>
          <cell r="G7212" t="str">
            <v>P</v>
          </cell>
          <cell r="H7212">
            <v>0</v>
          </cell>
        </row>
        <row r="7213">
          <cell r="A7213" t="str">
            <v>1;13;R;E;</v>
          </cell>
          <cell r="B7213">
            <v>730069</v>
          </cell>
          <cell r="C7213" t="str">
            <v>R</v>
          </cell>
          <cell r="D7213" t="str">
            <v>REGIONAL</v>
          </cell>
          <cell r="E7213" t="str">
            <v>13</v>
          </cell>
          <cell r="F7213" t="str">
            <v/>
          </cell>
          <cell r="G7213" t="str">
            <v>E</v>
          </cell>
          <cell r="H7213">
            <v>0</v>
          </cell>
        </row>
        <row r="7214">
          <cell r="A7214" t="str">
            <v>1;14;R;B;BAG</v>
          </cell>
          <cell r="B7214">
            <v>730069</v>
          </cell>
          <cell r="C7214" t="str">
            <v>R</v>
          </cell>
          <cell r="D7214" t="str">
            <v>REGIONAL</v>
          </cell>
          <cell r="E7214" t="str">
            <v>14</v>
          </cell>
          <cell r="F7214" t="str">
            <v>BAG</v>
          </cell>
          <cell r="G7214" t="str">
            <v>B</v>
          </cell>
          <cell r="H7214">
            <v>1.75</v>
          </cell>
        </row>
        <row r="7215">
          <cell r="A7215" t="str">
            <v>1;15;R;B;BAG</v>
          </cell>
          <cell r="B7215">
            <v>730069</v>
          </cell>
          <cell r="C7215" t="str">
            <v>R</v>
          </cell>
          <cell r="D7215" t="str">
            <v>REGIONAL</v>
          </cell>
          <cell r="E7215" t="str">
            <v>15</v>
          </cell>
          <cell r="F7215" t="str">
            <v>BAG</v>
          </cell>
          <cell r="G7215" t="str">
            <v>B</v>
          </cell>
          <cell r="H7215">
            <v>1.75</v>
          </cell>
        </row>
        <row r="7216">
          <cell r="A7216" t="str">
            <v>1;17;R;B;PAQ00a02</v>
          </cell>
          <cell r="B7216">
            <v>730069</v>
          </cell>
          <cell r="C7216" t="str">
            <v>R</v>
          </cell>
          <cell r="D7216" t="str">
            <v>REGIONAL</v>
          </cell>
          <cell r="E7216" t="str">
            <v>17</v>
          </cell>
          <cell r="F7216" t="str">
            <v>PAQ00a02</v>
          </cell>
          <cell r="G7216" t="str">
            <v>B</v>
          </cell>
          <cell r="H7216">
            <v>2.68</v>
          </cell>
        </row>
        <row r="7217">
          <cell r="A7217" t="str">
            <v>1;17;R;B;PAQ02a05</v>
          </cell>
          <cell r="B7217">
            <v>730069</v>
          </cell>
          <cell r="C7217" t="str">
            <v>R</v>
          </cell>
          <cell r="D7217" t="str">
            <v>REGIONAL</v>
          </cell>
          <cell r="E7217" t="str">
            <v>17</v>
          </cell>
          <cell r="F7217" t="str">
            <v>PAQ02a05</v>
          </cell>
          <cell r="G7217" t="str">
            <v>B</v>
          </cell>
          <cell r="H7217">
            <v>5.18</v>
          </cell>
        </row>
        <row r="7218">
          <cell r="A7218" t="str">
            <v>1;17;R;B;PAQ05a10</v>
          </cell>
          <cell r="B7218">
            <v>730069</v>
          </cell>
          <cell r="C7218" t="str">
            <v>R</v>
          </cell>
          <cell r="D7218" t="str">
            <v>REGIONAL</v>
          </cell>
          <cell r="E7218" t="str">
            <v>17</v>
          </cell>
          <cell r="F7218" t="str">
            <v>PAQ05a10</v>
          </cell>
          <cell r="G7218" t="str">
            <v>B</v>
          </cell>
          <cell r="H7218">
            <v>5.81</v>
          </cell>
        </row>
        <row r="7219">
          <cell r="A7219" t="str">
            <v>1;17;R;B;PAQ10a15</v>
          </cell>
          <cell r="B7219">
            <v>730069</v>
          </cell>
          <cell r="C7219" t="str">
            <v>R</v>
          </cell>
          <cell r="D7219" t="str">
            <v>REGIONAL</v>
          </cell>
          <cell r="E7219" t="str">
            <v>17</v>
          </cell>
          <cell r="F7219" t="str">
            <v>PAQ10a15</v>
          </cell>
          <cell r="G7219" t="str">
            <v>B</v>
          </cell>
          <cell r="H7219">
            <v>6.44</v>
          </cell>
        </row>
        <row r="7220">
          <cell r="A7220" t="str">
            <v>1;17;R;B;PAQ15a20</v>
          </cell>
          <cell r="B7220">
            <v>730069</v>
          </cell>
          <cell r="C7220" t="str">
            <v>R</v>
          </cell>
          <cell r="D7220" t="str">
            <v>REGIONAL</v>
          </cell>
          <cell r="E7220" t="str">
            <v>17</v>
          </cell>
          <cell r="F7220" t="str">
            <v>PAQ15a20</v>
          </cell>
          <cell r="G7220" t="str">
            <v>B</v>
          </cell>
          <cell r="H7220">
            <v>7.07</v>
          </cell>
        </row>
        <row r="7221">
          <cell r="A7221" t="str">
            <v>1;17;R;B;PAQ20a25</v>
          </cell>
          <cell r="B7221">
            <v>730069</v>
          </cell>
          <cell r="C7221" t="str">
            <v>R</v>
          </cell>
          <cell r="D7221" t="str">
            <v>REGIONAL</v>
          </cell>
          <cell r="E7221" t="str">
            <v>17</v>
          </cell>
          <cell r="F7221" t="str">
            <v>PAQ20a25</v>
          </cell>
          <cell r="G7221" t="str">
            <v>B</v>
          </cell>
          <cell r="H7221">
            <v>11.75</v>
          </cell>
        </row>
        <row r="7222">
          <cell r="A7222" t="str">
            <v>1;17;R;B;PAQ25a30</v>
          </cell>
          <cell r="B7222">
            <v>730069</v>
          </cell>
          <cell r="C7222" t="str">
            <v>R</v>
          </cell>
          <cell r="D7222" t="str">
            <v>REGIONAL</v>
          </cell>
          <cell r="E7222" t="str">
            <v>17</v>
          </cell>
          <cell r="F7222" t="str">
            <v>PAQ25a30</v>
          </cell>
          <cell r="G7222" t="str">
            <v>B</v>
          </cell>
          <cell r="H7222">
            <v>16.43</v>
          </cell>
        </row>
        <row r="7223">
          <cell r="A7223" t="str">
            <v>1;17;R;B;PAQ30a35</v>
          </cell>
          <cell r="B7223">
            <v>730069</v>
          </cell>
          <cell r="C7223" t="str">
            <v>R</v>
          </cell>
          <cell r="D7223" t="str">
            <v>REGIONAL</v>
          </cell>
          <cell r="E7223" t="str">
            <v>17</v>
          </cell>
          <cell r="F7223" t="str">
            <v>PAQ30a35</v>
          </cell>
          <cell r="G7223" t="str">
            <v>B</v>
          </cell>
          <cell r="H7223">
            <v>21.12</v>
          </cell>
        </row>
        <row r="7224">
          <cell r="A7224" t="str">
            <v>1;17;R;F;</v>
          </cell>
          <cell r="B7224">
            <v>730069</v>
          </cell>
          <cell r="C7224" t="str">
            <v>R</v>
          </cell>
          <cell r="D7224" t="str">
            <v>REGIONAL</v>
          </cell>
          <cell r="E7224" t="str">
            <v>17</v>
          </cell>
          <cell r="F7224" t="str">
            <v/>
          </cell>
          <cell r="G7224" t="str">
            <v>F</v>
          </cell>
          <cell r="H7224">
            <v>4.68</v>
          </cell>
        </row>
        <row r="7225">
          <cell r="A7225" t="str">
            <v>1;17;R;B;PAQ35a40</v>
          </cell>
          <cell r="B7225">
            <v>730069</v>
          </cell>
          <cell r="C7225" t="str">
            <v>R</v>
          </cell>
          <cell r="D7225" t="str">
            <v>REGIONAL</v>
          </cell>
          <cell r="E7225" t="str">
            <v>17</v>
          </cell>
          <cell r="F7225" t="str">
            <v>PAQ35a40</v>
          </cell>
          <cell r="G7225" t="str">
            <v>B</v>
          </cell>
          <cell r="H7225">
            <v>25.8</v>
          </cell>
        </row>
        <row r="7226">
          <cell r="A7226" t="str">
            <v>1;17;R;E;</v>
          </cell>
          <cell r="B7226">
            <v>730069</v>
          </cell>
          <cell r="C7226" t="str">
            <v>R</v>
          </cell>
          <cell r="D7226" t="str">
            <v>REGIONAL</v>
          </cell>
          <cell r="E7226" t="str">
            <v>17</v>
          </cell>
          <cell r="F7226" t="str">
            <v/>
          </cell>
          <cell r="G7226" t="str">
            <v>E</v>
          </cell>
          <cell r="H7226">
            <v>4.68</v>
          </cell>
        </row>
        <row r="7227">
          <cell r="A7227" t="str">
            <v>1;17;R;P;</v>
          </cell>
          <cell r="B7227">
            <v>730069</v>
          </cell>
          <cell r="C7227" t="str">
            <v>R</v>
          </cell>
          <cell r="D7227" t="str">
            <v>REGIONAL</v>
          </cell>
          <cell r="E7227" t="str">
            <v>17</v>
          </cell>
          <cell r="F7227" t="str">
            <v/>
          </cell>
          <cell r="G7227" t="str">
            <v>P</v>
          </cell>
          <cell r="H7227">
            <v>0</v>
          </cell>
        </row>
        <row r="7228">
          <cell r="A7228" t="str">
            <v>1;18;R;B;BAG</v>
          </cell>
          <cell r="B7228">
            <v>730069</v>
          </cell>
          <cell r="C7228" t="str">
            <v>R</v>
          </cell>
          <cell r="D7228" t="str">
            <v>REGIONAL</v>
          </cell>
          <cell r="E7228" t="str">
            <v>18</v>
          </cell>
          <cell r="F7228" t="str">
            <v>BAG</v>
          </cell>
          <cell r="G7228" t="str">
            <v>B</v>
          </cell>
          <cell r="H7228">
            <v>2.42</v>
          </cell>
        </row>
        <row r="7229">
          <cell r="A7229" t="str">
            <v>1;18;R;B;PAQ00a02</v>
          </cell>
          <cell r="B7229">
            <v>730069</v>
          </cell>
          <cell r="C7229" t="str">
            <v>R</v>
          </cell>
          <cell r="D7229" t="str">
            <v>REGIONAL</v>
          </cell>
          <cell r="E7229" t="str">
            <v>18</v>
          </cell>
          <cell r="F7229" t="str">
            <v>PAQ00a02</v>
          </cell>
          <cell r="G7229" t="str">
            <v>B</v>
          </cell>
          <cell r="H7229">
            <v>2.42</v>
          </cell>
        </row>
        <row r="7230">
          <cell r="A7230" t="str">
            <v>1;18;R;B;PAQ02a05</v>
          </cell>
          <cell r="B7230">
            <v>730069</v>
          </cell>
          <cell r="C7230" t="str">
            <v>R</v>
          </cell>
          <cell r="D7230" t="str">
            <v>REGIONAL</v>
          </cell>
          <cell r="E7230" t="str">
            <v>18</v>
          </cell>
          <cell r="F7230" t="str">
            <v>PAQ02a05</v>
          </cell>
          <cell r="G7230" t="str">
            <v>B</v>
          </cell>
          <cell r="H7230">
            <v>3.74</v>
          </cell>
        </row>
        <row r="7231">
          <cell r="A7231" t="str">
            <v>1;18;R;B;PAQ05a10</v>
          </cell>
          <cell r="B7231">
            <v>730069</v>
          </cell>
          <cell r="C7231" t="str">
            <v>R</v>
          </cell>
          <cell r="D7231" t="str">
            <v>REGIONAL</v>
          </cell>
          <cell r="E7231" t="str">
            <v>18</v>
          </cell>
          <cell r="F7231" t="str">
            <v>PAQ05a10</v>
          </cell>
          <cell r="G7231" t="str">
            <v>B</v>
          </cell>
          <cell r="H7231">
            <v>4.55</v>
          </cell>
        </row>
        <row r="7232">
          <cell r="A7232" t="str">
            <v>1;18;R;B;PAQ10a15</v>
          </cell>
          <cell r="B7232">
            <v>730069</v>
          </cell>
          <cell r="C7232" t="str">
            <v>R</v>
          </cell>
          <cell r="D7232" t="str">
            <v>REGIONAL</v>
          </cell>
          <cell r="E7232" t="str">
            <v>18</v>
          </cell>
          <cell r="F7232" t="str">
            <v>PAQ10a15</v>
          </cell>
          <cell r="G7232" t="str">
            <v>B</v>
          </cell>
          <cell r="H7232">
            <v>5.38</v>
          </cell>
        </row>
        <row r="7233">
          <cell r="A7233" t="str">
            <v>1;18;R;B;PAQ15a20</v>
          </cell>
          <cell r="B7233">
            <v>730069</v>
          </cell>
          <cell r="C7233" t="str">
            <v>R</v>
          </cell>
          <cell r="D7233" t="str">
            <v>REGIONAL</v>
          </cell>
          <cell r="E7233" t="str">
            <v>18</v>
          </cell>
          <cell r="F7233" t="str">
            <v>PAQ15a20</v>
          </cell>
          <cell r="G7233" t="str">
            <v>B</v>
          </cell>
          <cell r="H7233">
            <v>6.18</v>
          </cell>
        </row>
        <row r="7234">
          <cell r="A7234" t="str">
            <v>1;21;R;B;BAG</v>
          </cell>
          <cell r="B7234">
            <v>730069</v>
          </cell>
          <cell r="C7234" t="str">
            <v>R</v>
          </cell>
          <cell r="D7234" t="str">
            <v>REGIONAL</v>
          </cell>
          <cell r="E7234" t="str">
            <v>21</v>
          </cell>
          <cell r="F7234" t="str">
            <v>BAG</v>
          </cell>
          <cell r="G7234" t="str">
            <v>B</v>
          </cell>
          <cell r="H7234">
            <v>19.579999999999998</v>
          </cell>
        </row>
        <row r="7235">
          <cell r="A7235" t="str">
            <v>1;21;R;B;DOCS</v>
          </cell>
          <cell r="B7235">
            <v>730069</v>
          </cell>
          <cell r="C7235" t="str">
            <v>R</v>
          </cell>
          <cell r="D7235" t="str">
            <v>REGIONAL</v>
          </cell>
          <cell r="E7235" t="str">
            <v>21</v>
          </cell>
          <cell r="F7235" t="str">
            <v>DOCS</v>
          </cell>
          <cell r="G7235" t="str">
            <v>B</v>
          </cell>
          <cell r="H7235">
            <v>19.579999999999998</v>
          </cell>
        </row>
        <row r="7236">
          <cell r="A7236" t="str">
            <v>1;21;R;B;PAQ00a02</v>
          </cell>
          <cell r="B7236">
            <v>730069</v>
          </cell>
          <cell r="C7236" t="str">
            <v>R</v>
          </cell>
          <cell r="D7236" t="str">
            <v>REGIONAL</v>
          </cell>
          <cell r="E7236" t="str">
            <v>21</v>
          </cell>
          <cell r="F7236" t="str">
            <v>PAQ00a02</v>
          </cell>
          <cell r="G7236" t="str">
            <v>B</v>
          </cell>
          <cell r="H7236">
            <v>21.78</v>
          </cell>
        </row>
        <row r="7237">
          <cell r="A7237" t="str">
            <v>1;21;R;B;PAQ02a05</v>
          </cell>
          <cell r="B7237">
            <v>730069</v>
          </cell>
          <cell r="C7237" t="str">
            <v>R</v>
          </cell>
          <cell r="D7237" t="str">
            <v>REGIONAL</v>
          </cell>
          <cell r="E7237" t="str">
            <v>21</v>
          </cell>
          <cell r="F7237" t="str">
            <v>PAQ02a05</v>
          </cell>
          <cell r="G7237" t="str">
            <v>B</v>
          </cell>
          <cell r="H7237">
            <v>21.78</v>
          </cell>
        </row>
        <row r="7238">
          <cell r="A7238" t="str">
            <v>1;21;R;B;PAQ05a10</v>
          </cell>
          <cell r="B7238">
            <v>730069</v>
          </cell>
          <cell r="C7238" t="str">
            <v>R</v>
          </cell>
          <cell r="D7238" t="str">
            <v>REGIONAL</v>
          </cell>
          <cell r="E7238" t="str">
            <v>21</v>
          </cell>
          <cell r="F7238" t="str">
            <v>PAQ05a10</v>
          </cell>
          <cell r="G7238" t="str">
            <v>B</v>
          </cell>
          <cell r="H7238">
            <v>25.64</v>
          </cell>
        </row>
        <row r="7239">
          <cell r="A7239" t="str">
            <v>1;21;R;B;PAQ10a15</v>
          </cell>
          <cell r="B7239">
            <v>730069</v>
          </cell>
          <cell r="C7239" t="str">
            <v>R</v>
          </cell>
          <cell r="D7239" t="str">
            <v>REGIONAL</v>
          </cell>
          <cell r="E7239" t="str">
            <v>21</v>
          </cell>
          <cell r="F7239" t="str">
            <v>PAQ10a15</v>
          </cell>
          <cell r="G7239" t="str">
            <v>B</v>
          </cell>
          <cell r="H7239">
            <v>31.09</v>
          </cell>
        </row>
        <row r="7240">
          <cell r="A7240" t="str">
            <v>1;21;R;B;PAQ15a20</v>
          </cell>
          <cell r="B7240">
            <v>730069</v>
          </cell>
          <cell r="C7240" t="str">
            <v>R</v>
          </cell>
          <cell r="D7240" t="str">
            <v>REGIONAL</v>
          </cell>
          <cell r="E7240" t="str">
            <v>21</v>
          </cell>
          <cell r="F7240" t="str">
            <v>PAQ15a20</v>
          </cell>
          <cell r="G7240" t="str">
            <v>B</v>
          </cell>
          <cell r="H7240">
            <v>36.54</v>
          </cell>
        </row>
        <row r="7241">
          <cell r="A7241" t="str">
            <v>1;21;R;B;PAQ20a25</v>
          </cell>
          <cell r="B7241">
            <v>730069</v>
          </cell>
          <cell r="C7241" t="str">
            <v>R</v>
          </cell>
          <cell r="D7241" t="str">
            <v>REGIONAL</v>
          </cell>
          <cell r="E7241" t="str">
            <v>21</v>
          </cell>
          <cell r="F7241" t="str">
            <v>PAQ20a25</v>
          </cell>
          <cell r="G7241" t="str">
            <v>B</v>
          </cell>
          <cell r="H7241">
            <v>41.99</v>
          </cell>
        </row>
        <row r="7242">
          <cell r="A7242" t="str">
            <v>1;21;R;B;PAQ25a30</v>
          </cell>
          <cell r="B7242">
            <v>730069</v>
          </cell>
          <cell r="C7242" t="str">
            <v>R</v>
          </cell>
          <cell r="D7242" t="str">
            <v>REGIONAL</v>
          </cell>
          <cell r="E7242" t="str">
            <v>21</v>
          </cell>
          <cell r="F7242" t="str">
            <v>PAQ25a30</v>
          </cell>
          <cell r="G7242" t="str">
            <v>B</v>
          </cell>
          <cell r="H7242">
            <v>47.45</v>
          </cell>
        </row>
        <row r="7243">
          <cell r="A7243" t="str">
            <v>1;21;R;B;PAQ30a35</v>
          </cell>
          <cell r="B7243">
            <v>730069</v>
          </cell>
          <cell r="C7243" t="str">
            <v>R</v>
          </cell>
          <cell r="D7243" t="str">
            <v>REGIONAL</v>
          </cell>
          <cell r="E7243" t="str">
            <v>21</v>
          </cell>
          <cell r="F7243" t="str">
            <v>PAQ30a35</v>
          </cell>
          <cell r="G7243" t="str">
            <v>B</v>
          </cell>
          <cell r="H7243">
            <v>52.9</v>
          </cell>
        </row>
        <row r="7244">
          <cell r="A7244" t="str">
            <v>1;21;R;F;</v>
          </cell>
          <cell r="B7244">
            <v>730069</v>
          </cell>
          <cell r="C7244" t="str">
            <v>R</v>
          </cell>
          <cell r="D7244" t="str">
            <v>REGIONAL</v>
          </cell>
          <cell r="E7244" t="str">
            <v>21</v>
          </cell>
          <cell r="F7244" t="str">
            <v/>
          </cell>
          <cell r="G7244" t="str">
            <v>F</v>
          </cell>
          <cell r="H7244">
            <v>5.45</v>
          </cell>
        </row>
        <row r="7245">
          <cell r="A7245" t="str">
            <v>1;21;R;B;PAQ35a40</v>
          </cell>
          <cell r="B7245">
            <v>730069</v>
          </cell>
          <cell r="C7245" t="str">
            <v>R</v>
          </cell>
          <cell r="D7245" t="str">
            <v>REGIONAL</v>
          </cell>
          <cell r="E7245" t="str">
            <v>21</v>
          </cell>
          <cell r="F7245" t="str">
            <v>PAQ35a40</v>
          </cell>
          <cell r="G7245" t="str">
            <v>B</v>
          </cell>
          <cell r="H7245">
            <v>58.35</v>
          </cell>
        </row>
        <row r="7246">
          <cell r="A7246" t="str">
            <v>1;21;R;E;</v>
          </cell>
          <cell r="B7246">
            <v>730069</v>
          </cell>
          <cell r="C7246" t="str">
            <v>R</v>
          </cell>
          <cell r="D7246" t="str">
            <v>REGIONAL</v>
          </cell>
          <cell r="E7246" t="str">
            <v>21</v>
          </cell>
          <cell r="F7246" t="str">
            <v/>
          </cell>
          <cell r="G7246" t="str">
            <v>E</v>
          </cell>
          <cell r="H7246">
            <v>14.5</v>
          </cell>
        </row>
        <row r="7247">
          <cell r="A7247" t="str">
            <v>1;21;R;P;</v>
          </cell>
          <cell r="B7247">
            <v>730069</v>
          </cell>
          <cell r="C7247" t="str">
            <v>R</v>
          </cell>
          <cell r="D7247" t="str">
            <v>REGIONAL</v>
          </cell>
          <cell r="E7247" t="str">
            <v>21</v>
          </cell>
          <cell r="F7247" t="str">
            <v/>
          </cell>
          <cell r="G7247" t="str">
            <v>P</v>
          </cell>
          <cell r="H7247">
            <v>14.5</v>
          </cell>
        </row>
        <row r="7248">
          <cell r="A7248" t="str">
            <v>1;25;R;B;BICI</v>
          </cell>
          <cell r="B7248">
            <v>730069</v>
          </cell>
          <cell r="C7248" t="str">
            <v>R</v>
          </cell>
          <cell r="D7248" t="str">
            <v>REGIONAL</v>
          </cell>
          <cell r="E7248" t="str">
            <v>25</v>
          </cell>
          <cell r="F7248" t="str">
            <v>BICI</v>
          </cell>
          <cell r="G7248" t="str">
            <v>B</v>
          </cell>
          <cell r="H7248">
            <v>20.66</v>
          </cell>
        </row>
        <row r="7249">
          <cell r="A7249" t="str">
            <v>1;25;R;B;BIIV</v>
          </cell>
          <cell r="B7249">
            <v>730069</v>
          </cell>
          <cell r="C7249" t="str">
            <v>R</v>
          </cell>
          <cell r="D7249" t="str">
            <v>REGIONAL</v>
          </cell>
          <cell r="E7249" t="str">
            <v>25</v>
          </cell>
          <cell r="F7249" t="str">
            <v>BIIV</v>
          </cell>
          <cell r="G7249" t="str">
            <v>B</v>
          </cell>
          <cell r="H7249">
            <v>35.54</v>
          </cell>
        </row>
        <row r="7250">
          <cell r="A7250" t="str">
            <v>1;25;R;B;EQIV</v>
          </cell>
          <cell r="B7250">
            <v>730069</v>
          </cell>
          <cell r="C7250" t="str">
            <v>R</v>
          </cell>
          <cell r="D7250" t="str">
            <v>REGIONAL</v>
          </cell>
          <cell r="E7250" t="str">
            <v>25</v>
          </cell>
          <cell r="F7250" t="str">
            <v>EQIV</v>
          </cell>
          <cell r="G7250" t="str">
            <v>B</v>
          </cell>
          <cell r="H7250">
            <v>23.97</v>
          </cell>
        </row>
        <row r="7251">
          <cell r="A7251" t="str">
            <v>1;25;R;B;EQUI</v>
          </cell>
          <cell r="B7251">
            <v>730069</v>
          </cell>
          <cell r="C7251" t="str">
            <v>R</v>
          </cell>
          <cell r="D7251" t="str">
            <v>REGIONAL</v>
          </cell>
          <cell r="E7251" t="str">
            <v>25</v>
          </cell>
          <cell r="F7251" t="str">
            <v>EQUI</v>
          </cell>
          <cell r="G7251" t="str">
            <v>B</v>
          </cell>
          <cell r="H7251">
            <v>13.22</v>
          </cell>
        </row>
        <row r="7252">
          <cell r="A7252" t="str">
            <v>1;26;R;B;BAG</v>
          </cell>
          <cell r="B7252">
            <v>730069</v>
          </cell>
          <cell r="C7252" t="str">
            <v>R</v>
          </cell>
          <cell r="D7252" t="str">
            <v>REGIONAL</v>
          </cell>
          <cell r="E7252" t="str">
            <v>26</v>
          </cell>
          <cell r="F7252" t="str">
            <v>BAG</v>
          </cell>
          <cell r="G7252" t="str">
            <v>B</v>
          </cell>
          <cell r="H7252">
            <v>4.2</v>
          </cell>
        </row>
        <row r="7253">
          <cell r="A7253" t="str">
            <v>1;26;R;B;PAQ00a02</v>
          </cell>
          <cell r="B7253">
            <v>730069</v>
          </cell>
          <cell r="C7253" t="str">
            <v>R</v>
          </cell>
          <cell r="D7253" t="str">
            <v>REGIONAL</v>
          </cell>
          <cell r="E7253" t="str">
            <v>26</v>
          </cell>
          <cell r="F7253" t="str">
            <v>PAQ00a02</v>
          </cell>
          <cell r="G7253" t="str">
            <v>B</v>
          </cell>
          <cell r="H7253">
            <v>4.2</v>
          </cell>
        </row>
        <row r="7254">
          <cell r="A7254" t="str">
            <v>1;26;R;B;PAQ02a05</v>
          </cell>
          <cell r="B7254">
            <v>730069</v>
          </cell>
          <cell r="C7254" t="str">
            <v>R</v>
          </cell>
          <cell r="D7254" t="str">
            <v>REGIONAL</v>
          </cell>
          <cell r="E7254" t="str">
            <v>26</v>
          </cell>
          <cell r="F7254" t="str">
            <v>PAQ02a05</v>
          </cell>
          <cell r="G7254" t="str">
            <v>B</v>
          </cell>
          <cell r="H7254">
            <v>5.15</v>
          </cell>
        </row>
        <row r="7255">
          <cell r="A7255" t="str">
            <v>1;26;R;B;PAQ05a10</v>
          </cell>
          <cell r="B7255">
            <v>730069</v>
          </cell>
          <cell r="C7255" t="str">
            <v>R</v>
          </cell>
          <cell r="D7255" t="str">
            <v>REGIONAL</v>
          </cell>
          <cell r="E7255" t="str">
            <v>26</v>
          </cell>
          <cell r="F7255" t="str">
            <v>PAQ05a10</v>
          </cell>
          <cell r="G7255" t="str">
            <v>B</v>
          </cell>
          <cell r="H7255">
            <v>6.83</v>
          </cell>
        </row>
        <row r="7256">
          <cell r="A7256" t="str">
            <v>1;26;R;B;PAQ10a15</v>
          </cell>
          <cell r="B7256">
            <v>730069</v>
          </cell>
          <cell r="C7256" t="str">
            <v>R</v>
          </cell>
          <cell r="D7256" t="str">
            <v>REGIONAL</v>
          </cell>
          <cell r="E7256" t="str">
            <v>26</v>
          </cell>
          <cell r="F7256" t="str">
            <v>PAQ10a15</v>
          </cell>
          <cell r="G7256" t="str">
            <v>B</v>
          </cell>
          <cell r="H7256">
            <v>9.77</v>
          </cell>
        </row>
        <row r="7257">
          <cell r="A7257" t="str">
            <v>1;26;R;B;PAQ15a20</v>
          </cell>
          <cell r="B7257">
            <v>730069</v>
          </cell>
          <cell r="C7257" t="str">
            <v>R</v>
          </cell>
          <cell r="D7257" t="str">
            <v>REGIONAL</v>
          </cell>
          <cell r="E7257" t="str">
            <v>26</v>
          </cell>
          <cell r="F7257" t="str">
            <v>PAQ15a20</v>
          </cell>
          <cell r="G7257" t="str">
            <v>B</v>
          </cell>
          <cell r="H7257">
            <v>10.53</v>
          </cell>
        </row>
        <row r="7258">
          <cell r="A7258" t="str">
            <v>1;27;R;B;PAQ00a02</v>
          </cell>
          <cell r="B7258">
            <v>730069</v>
          </cell>
          <cell r="C7258" t="str">
            <v>R</v>
          </cell>
          <cell r="D7258" t="str">
            <v>REGIONAL</v>
          </cell>
          <cell r="E7258" t="str">
            <v>27</v>
          </cell>
          <cell r="F7258" t="str">
            <v>PAQ00a02</v>
          </cell>
          <cell r="G7258" t="str">
            <v>B</v>
          </cell>
          <cell r="H7258">
            <v>6.53</v>
          </cell>
        </row>
        <row r="7259">
          <cell r="A7259" t="str">
            <v>1;27;R;B;PAQ02a05</v>
          </cell>
          <cell r="B7259">
            <v>730069</v>
          </cell>
          <cell r="C7259" t="str">
            <v>R</v>
          </cell>
          <cell r="D7259" t="str">
            <v>REGIONAL</v>
          </cell>
          <cell r="E7259" t="str">
            <v>27</v>
          </cell>
          <cell r="F7259" t="str">
            <v>PAQ02a05</v>
          </cell>
          <cell r="G7259" t="str">
            <v>B</v>
          </cell>
          <cell r="H7259">
            <v>8.27</v>
          </cell>
        </row>
        <row r="7260">
          <cell r="A7260" t="str">
            <v>1;27;R;B;PAQ05a10</v>
          </cell>
          <cell r="B7260">
            <v>730069</v>
          </cell>
          <cell r="C7260" t="str">
            <v>R</v>
          </cell>
          <cell r="D7260" t="str">
            <v>REGIONAL</v>
          </cell>
          <cell r="E7260" t="str">
            <v>27</v>
          </cell>
          <cell r="F7260" t="str">
            <v>PAQ05a10</v>
          </cell>
          <cell r="G7260" t="str">
            <v>B</v>
          </cell>
          <cell r="H7260">
            <v>9.58</v>
          </cell>
        </row>
        <row r="7261">
          <cell r="A7261" t="str">
            <v>1;27;R;B;PAQ10a15</v>
          </cell>
          <cell r="B7261">
            <v>730069</v>
          </cell>
          <cell r="C7261" t="str">
            <v>R</v>
          </cell>
          <cell r="D7261" t="str">
            <v>REGIONAL</v>
          </cell>
          <cell r="E7261" t="str">
            <v>27</v>
          </cell>
          <cell r="F7261" t="str">
            <v>PAQ10a15</v>
          </cell>
          <cell r="G7261" t="str">
            <v>B</v>
          </cell>
          <cell r="H7261">
            <v>10.66</v>
          </cell>
        </row>
        <row r="7262">
          <cell r="A7262" t="str">
            <v>1;27;R;B;PAQ15a20</v>
          </cell>
          <cell r="B7262">
            <v>730069</v>
          </cell>
          <cell r="C7262" t="str">
            <v>R</v>
          </cell>
          <cell r="D7262" t="str">
            <v>REGIONAL</v>
          </cell>
          <cell r="E7262" t="str">
            <v>27</v>
          </cell>
          <cell r="F7262" t="str">
            <v>PAQ15a20</v>
          </cell>
          <cell r="G7262" t="str">
            <v>B</v>
          </cell>
          <cell r="H7262">
            <v>11.91</v>
          </cell>
        </row>
        <row r="7263">
          <cell r="A7263" t="str">
            <v>1;27;R;B;PAQ20a25</v>
          </cell>
          <cell r="B7263">
            <v>730069</v>
          </cell>
          <cell r="C7263" t="str">
            <v>R</v>
          </cell>
          <cell r="D7263" t="str">
            <v>REGIONAL</v>
          </cell>
          <cell r="E7263" t="str">
            <v>27</v>
          </cell>
          <cell r="F7263" t="str">
            <v>PAQ20a25</v>
          </cell>
          <cell r="G7263" t="str">
            <v>B</v>
          </cell>
          <cell r="H7263">
            <v>16.59</v>
          </cell>
        </row>
        <row r="7264">
          <cell r="A7264" t="str">
            <v>1;27;R;B;PAQ25a30</v>
          </cell>
          <cell r="B7264">
            <v>730069</v>
          </cell>
          <cell r="C7264" t="str">
            <v>R</v>
          </cell>
          <cell r="D7264" t="str">
            <v>REGIONAL</v>
          </cell>
          <cell r="E7264" t="str">
            <v>27</v>
          </cell>
          <cell r="F7264" t="str">
            <v>PAQ25a30</v>
          </cell>
          <cell r="G7264" t="str">
            <v>B</v>
          </cell>
          <cell r="H7264">
            <v>21.27</v>
          </cell>
        </row>
        <row r="7265">
          <cell r="A7265" t="str">
            <v>1;27;R;B;PAQ30a35</v>
          </cell>
          <cell r="B7265">
            <v>730069</v>
          </cell>
          <cell r="C7265" t="str">
            <v>R</v>
          </cell>
          <cell r="D7265" t="str">
            <v>REGIONAL</v>
          </cell>
          <cell r="E7265" t="str">
            <v>27</v>
          </cell>
          <cell r="F7265" t="str">
            <v>PAQ30a35</v>
          </cell>
          <cell r="G7265" t="str">
            <v>B</v>
          </cell>
          <cell r="H7265">
            <v>25.95</v>
          </cell>
        </row>
        <row r="7266">
          <cell r="A7266" t="str">
            <v>1;27;R;B;PAQ35a40</v>
          </cell>
          <cell r="B7266">
            <v>730069</v>
          </cell>
          <cell r="C7266" t="str">
            <v>R</v>
          </cell>
          <cell r="D7266" t="str">
            <v>REGIONAL</v>
          </cell>
          <cell r="E7266" t="str">
            <v>27</v>
          </cell>
          <cell r="F7266" t="str">
            <v>PAQ35a40</v>
          </cell>
          <cell r="G7266" t="str">
            <v>B</v>
          </cell>
          <cell r="H7266">
            <v>30.63</v>
          </cell>
        </row>
        <row r="7267">
          <cell r="A7267" t="str">
            <v>1;27;R;F;</v>
          </cell>
          <cell r="B7267">
            <v>730069</v>
          </cell>
          <cell r="C7267" t="str">
            <v>R</v>
          </cell>
          <cell r="D7267" t="str">
            <v>REGIONAL</v>
          </cell>
          <cell r="E7267" t="str">
            <v>27</v>
          </cell>
          <cell r="F7267" t="str">
            <v/>
          </cell>
          <cell r="G7267" t="str">
            <v>F</v>
          </cell>
          <cell r="H7267">
            <v>4.97</v>
          </cell>
        </row>
        <row r="7268">
          <cell r="A7268" t="str">
            <v>1;27;R;E;</v>
          </cell>
          <cell r="B7268">
            <v>730069</v>
          </cell>
          <cell r="C7268" t="str">
            <v>R</v>
          </cell>
          <cell r="D7268" t="str">
            <v>REGIONAL</v>
          </cell>
          <cell r="E7268" t="str">
            <v>27</v>
          </cell>
          <cell r="F7268" t="str">
            <v/>
          </cell>
          <cell r="G7268" t="str">
            <v>E</v>
          </cell>
          <cell r="H7268">
            <v>4.97</v>
          </cell>
        </row>
        <row r="7269">
          <cell r="A7269" t="str">
            <v>1;27;R;P;</v>
          </cell>
          <cell r="B7269">
            <v>730069</v>
          </cell>
          <cell r="C7269" t="str">
            <v>R</v>
          </cell>
          <cell r="D7269" t="str">
            <v>REGIONAL</v>
          </cell>
          <cell r="E7269" t="str">
            <v>27</v>
          </cell>
          <cell r="F7269" t="str">
            <v/>
          </cell>
          <cell r="G7269" t="str">
            <v>P</v>
          </cell>
          <cell r="H7269">
            <v>0</v>
          </cell>
        </row>
        <row r="7270">
          <cell r="A7270" t="str">
            <v>1;31;R;B;PAQ00a02</v>
          </cell>
          <cell r="B7270">
            <v>730069</v>
          </cell>
          <cell r="C7270" t="str">
            <v>R</v>
          </cell>
          <cell r="D7270" t="str">
            <v>REGIONAL</v>
          </cell>
          <cell r="E7270" t="str">
            <v>31</v>
          </cell>
          <cell r="F7270" t="str">
            <v>PAQ00a02</v>
          </cell>
          <cell r="G7270" t="str">
            <v>B</v>
          </cell>
          <cell r="H7270">
            <v>4.84</v>
          </cell>
        </row>
        <row r="7271">
          <cell r="A7271" t="str">
            <v>1;31;R;B;PAQ02a05</v>
          </cell>
          <cell r="B7271">
            <v>730069</v>
          </cell>
          <cell r="C7271" t="str">
            <v>R</v>
          </cell>
          <cell r="D7271" t="str">
            <v>REGIONAL</v>
          </cell>
          <cell r="E7271" t="str">
            <v>31</v>
          </cell>
          <cell r="F7271" t="str">
            <v>PAQ02a05</v>
          </cell>
          <cell r="G7271" t="str">
            <v>B</v>
          </cell>
          <cell r="H7271">
            <v>6.05</v>
          </cell>
        </row>
        <row r="7272">
          <cell r="A7272" t="str">
            <v>1;31;R;B;PAQ05a10</v>
          </cell>
          <cell r="B7272">
            <v>730069</v>
          </cell>
          <cell r="C7272" t="str">
            <v>R</v>
          </cell>
          <cell r="D7272" t="str">
            <v>REGIONAL</v>
          </cell>
          <cell r="E7272" t="str">
            <v>31</v>
          </cell>
          <cell r="F7272" t="str">
            <v>PAQ05a10</v>
          </cell>
          <cell r="G7272" t="str">
            <v>B</v>
          </cell>
          <cell r="H7272">
            <v>6.62</v>
          </cell>
        </row>
        <row r="7273">
          <cell r="A7273" t="str">
            <v>1;31;R;B;PAQ10a15</v>
          </cell>
          <cell r="B7273">
            <v>730069</v>
          </cell>
          <cell r="C7273" t="str">
            <v>R</v>
          </cell>
          <cell r="D7273" t="str">
            <v>REGIONAL</v>
          </cell>
          <cell r="E7273" t="str">
            <v>31</v>
          </cell>
          <cell r="F7273" t="str">
            <v>PAQ10a15</v>
          </cell>
          <cell r="G7273" t="str">
            <v>B</v>
          </cell>
          <cell r="H7273">
            <v>7.63</v>
          </cell>
        </row>
        <row r="7274">
          <cell r="A7274" t="str">
            <v>1;31;R;B;PAQ15a20</v>
          </cell>
          <cell r="B7274">
            <v>730069</v>
          </cell>
          <cell r="C7274" t="str">
            <v>R</v>
          </cell>
          <cell r="D7274" t="str">
            <v>REGIONAL</v>
          </cell>
          <cell r="E7274" t="str">
            <v>31</v>
          </cell>
          <cell r="F7274" t="str">
            <v>PAQ15a20</v>
          </cell>
          <cell r="G7274" t="str">
            <v>B</v>
          </cell>
          <cell r="H7274">
            <v>8.74</v>
          </cell>
        </row>
        <row r="7275">
          <cell r="A7275" t="str">
            <v>1;33;R;B;PAQ00a02</v>
          </cell>
          <cell r="B7275">
            <v>730069</v>
          </cell>
          <cell r="C7275" t="str">
            <v>R</v>
          </cell>
          <cell r="D7275" t="str">
            <v>REGIONAL</v>
          </cell>
          <cell r="E7275" t="str">
            <v>33</v>
          </cell>
          <cell r="F7275" t="str">
            <v>PAQ00a02</v>
          </cell>
          <cell r="G7275" t="str">
            <v>B</v>
          </cell>
          <cell r="H7275">
            <v>9.15</v>
          </cell>
        </row>
        <row r="7276">
          <cell r="A7276" t="str">
            <v>1;33;R;B;PAQ02a05</v>
          </cell>
          <cell r="B7276">
            <v>730069</v>
          </cell>
          <cell r="C7276" t="str">
            <v>R</v>
          </cell>
          <cell r="D7276" t="str">
            <v>REGIONAL</v>
          </cell>
          <cell r="E7276" t="str">
            <v>33</v>
          </cell>
          <cell r="F7276" t="str">
            <v>PAQ02a05</v>
          </cell>
          <cell r="G7276" t="str">
            <v>B</v>
          </cell>
          <cell r="H7276">
            <v>12.02</v>
          </cell>
        </row>
        <row r="7277">
          <cell r="A7277" t="str">
            <v>1;33;R;B;PAQ05a10</v>
          </cell>
          <cell r="B7277">
            <v>730069</v>
          </cell>
          <cell r="C7277" t="str">
            <v>R</v>
          </cell>
          <cell r="D7277" t="str">
            <v>REGIONAL</v>
          </cell>
          <cell r="E7277" t="str">
            <v>33</v>
          </cell>
          <cell r="F7277" t="str">
            <v>PAQ05a10</v>
          </cell>
          <cell r="G7277" t="str">
            <v>B</v>
          </cell>
          <cell r="H7277">
            <v>13.35</v>
          </cell>
        </row>
        <row r="7278">
          <cell r="A7278" t="str">
            <v>1;33;R;B;PAQ10a15</v>
          </cell>
          <cell r="B7278">
            <v>730069</v>
          </cell>
          <cell r="C7278" t="str">
            <v>R</v>
          </cell>
          <cell r="D7278" t="str">
            <v>REGIONAL</v>
          </cell>
          <cell r="E7278" t="str">
            <v>33</v>
          </cell>
          <cell r="F7278" t="str">
            <v>PAQ10a15</v>
          </cell>
          <cell r="G7278" t="str">
            <v>B</v>
          </cell>
          <cell r="H7278">
            <v>14.72</v>
          </cell>
        </row>
        <row r="7279">
          <cell r="A7279" t="str">
            <v>1;33;R;B;PAQ15a20</v>
          </cell>
          <cell r="B7279">
            <v>730069</v>
          </cell>
          <cell r="C7279" t="str">
            <v>R</v>
          </cell>
          <cell r="D7279" t="str">
            <v>REGIONAL</v>
          </cell>
          <cell r="E7279" t="str">
            <v>33</v>
          </cell>
          <cell r="F7279" t="str">
            <v>PAQ15a20</v>
          </cell>
          <cell r="G7279" t="str">
            <v>B</v>
          </cell>
          <cell r="H7279">
            <v>16.100000000000001</v>
          </cell>
        </row>
        <row r="7280">
          <cell r="A7280" t="str">
            <v>1;33;R;B;PAQ20a25</v>
          </cell>
          <cell r="B7280">
            <v>730069</v>
          </cell>
          <cell r="C7280" t="str">
            <v>R</v>
          </cell>
          <cell r="D7280" t="str">
            <v>REGIONAL</v>
          </cell>
          <cell r="E7280" t="str">
            <v>33</v>
          </cell>
          <cell r="F7280" t="str">
            <v>PAQ20a25</v>
          </cell>
          <cell r="G7280" t="str">
            <v>B</v>
          </cell>
          <cell r="H7280">
            <v>23.12</v>
          </cell>
        </row>
        <row r="7281">
          <cell r="A7281" t="str">
            <v>1;33;R;B;PAQ25a30</v>
          </cell>
          <cell r="B7281">
            <v>730069</v>
          </cell>
          <cell r="C7281" t="str">
            <v>R</v>
          </cell>
          <cell r="D7281" t="str">
            <v>REGIONAL</v>
          </cell>
          <cell r="E7281" t="str">
            <v>33</v>
          </cell>
          <cell r="F7281" t="str">
            <v>PAQ25a30</v>
          </cell>
          <cell r="G7281" t="str">
            <v>B</v>
          </cell>
          <cell r="H7281">
            <v>30.16</v>
          </cell>
        </row>
        <row r="7282">
          <cell r="A7282" t="str">
            <v>1;33;R;B;PAQ30a35</v>
          </cell>
          <cell r="B7282">
            <v>730069</v>
          </cell>
          <cell r="C7282" t="str">
            <v>R</v>
          </cell>
          <cell r="D7282" t="str">
            <v>REGIONAL</v>
          </cell>
          <cell r="E7282" t="str">
            <v>33</v>
          </cell>
          <cell r="F7282" t="str">
            <v>PAQ30a35</v>
          </cell>
          <cell r="G7282" t="str">
            <v>B</v>
          </cell>
          <cell r="H7282">
            <v>37.18</v>
          </cell>
        </row>
        <row r="7283">
          <cell r="A7283" t="str">
            <v>1;33;R;B;PAQ35a40</v>
          </cell>
          <cell r="B7283">
            <v>730069</v>
          </cell>
          <cell r="C7283" t="str">
            <v>R</v>
          </cell>
          <cell r="D7283" t="str">
            <v>REGIONAL</v>
          </cell>
          <cell r="E7283" t="str">
            <v>33</v>
          </cell>
          <cell r="F7283" t="str">
            <v>PAQ35a40</v>
          </cell>
          <cell r="G7283" t="str">
            <v>B</v>
          </cell>
          <cell r="H7283">
            <v>44.22</v>
          </cell>
        </row>
        <row r="7284">
          <cell r="A7284" t="str">
            <v>1;33;R;F;</v>
          </cell>
          <cell r="B7284">
            <v>730069</v>
          </cell>
          <cell r="C7284" t="str">
            <v>R</v>
          </cell>
          <cell r="D7284" t="str">
            <v>REGIONAL</v>
          </cell>
          <cell r="E7284" t="str">
            <v>33</v>
          </cell>
          <cell r="F7284" t="str">
            <v/>
          </cell>
          <cell r="G7284" t="str">
            <v>F</v>
          </cell>
          <cell r="H7284">
            <v>7.04</v>
          </cell>
        </row>
        <row r="7285">
          <cell r="A7285" t="str">
            <v>1;33;R;E;</v>
          </cell>
          <cell r="B7285">
            <v>730069</v>
          </cell>
          <cell r="C7285" t="str">
            <v>R</v>
          </cell>
          <cell r="D7285" t="str">
            <v>REGIONAL</v>
          </cell>
          <cell r="E7285" t="str">
            <v>33</v>
          </cell>
          <cell r="F7285" t="str">
            <v/>
          </cell>
          <cell r="G7285" t="str">
            <v>E</v>
          </cell>
          <cell r="H7285">
            <v>7.04</v>
          </cell>
        </row>
        <row r="7286">
          <cell r="A7286" t="str">
            <v>1;33;R;P;</v>
          </cell>
          <cell r="B7286">
            <v>730069</v>
          </cell>
          <cell r="C7286" t="str">
            <v>R</v>
          </cell>
          <cell r="D7286" t="str">
            <v>REGIONAL</v>
          </cell>
          <cell r="E7286" t="str">
            <v>33</v>
          </cell>
          <cell r="F7286" t="str">
            <v/>
          </cell>
          <cell r="G7286" t="str">
            <v>P</v>
          </cell>
          <cell r="H7286">
            <v>0</v>
          </cell>
        </row>
        <row r="7287">
          <cell r="A7287" t="str">
            <v>1;34;R;B;DOCS</v>
          </cell>
          <cell r="B7287">
            <v>730069</v>
          </cell>
          <cell r="C7287" t="str">
            <v>R</v>
          </cell>
          <cell r="D7287" t="str">
            <v>REGIONAL</v>
          </cell>
          <cell r="E7287" t="str">
            <v>34</v>
          </cell>
          <cell r="F7287" t="str">
            <v>DOCS</v>
          </cell>
          <cell r="G7287" t="str">
            <v>B</v>
          </cell>
          <cell r="H7287">
            <v>6.61</v>
          </cell>
        </row>
        <row r="7288">
          <cell r="A7288" t="str">
            <v>1;34;R;B;LAR</v>
          </cell>
          <cell r="B7288">
            <v>730069</v>
          </cell>
          <cell r="C7288" t="str">
            <v>R</v>
          </cell>
          <cell r="D7288" t="str">
            <v>REGIONAL</v>
          </cell>
          <cell r="E7288" t="str">
            <v>34</v>
          </cell>
          <cell r="F7288" t="str">
            <v>LAR</v>
          </cell>
          <cell r="G7288" t="str">
            <v>B</v>
          </cell>
          <cell r="H7288">
            <v>22.31</v>
          </cell>
        </row>
        <row r="7289">
          <cell r="A7289" t="str">
            <v>1;34;R;B;MED</v>
          </cell>
          <cell r="B7289">
            <v>730069</v>
          </cell>
          <cell r="C7289" t="str">
            <v>R</v>
          </cell>
          <cell r="D7289" t="str">
            <v>REGIONAL</v>
          </cell>
          <cell r="E7289" t="str">
            <v>34</v>
          </cell>
          <cell r="F7289" t="str">
            <v>MED</v>
          </cell>
          <cell r="G7289" t="str">
            <v>B</v>
          </cell>
          <cell r="H7289">
            <v>14.05</v>
          </cell>
        </row>
        <row r="7290">
          <cell r="A7290" t="str">
            <v>1;34;R;B;SMA</v>
          </cell>
          <cell r="B7290">
            <v>730069</v>
          </cell>
          <cell r="C7290" t="str">
            <v>R</v>
          </cell>
          <cell r="D7290" t="str">
            <v>REGIONAL</v>
          </cell>
          <cell r="E7290" t="str">
            <v>34</v>
          </cell>
          <cell r="F7290" t="str">
            <v>SMA</v>
          </cell>
          <cell r="G7290" t="str">
            <v>B</v>
          </cell>
          <cell r="H7290">
            <v>9.92</v>
          </cell>
        </row>
        <row r="7291">
          <cell r="A7291" t="str">
            <v>1;38;R;B;BAG</v>
          </cell>
          <cell r="B7291">
            <v>730069</v>
          </cell>
          <cell r="C7291" t="str">
            <v>R</v>
          </cell>
          <cell r="D7291" t="str">
            <v>REGIONAL</v>
          </cell>
          <cell r="E7291" t="str">
            <v>38</v>
          </cell>
          <cell r="F7291" t="str">
            <v>BAG</v>
          </cell>
          <cell r="G7291" t="str">
            <v>B</v>
          </cell>
          <cell r="H7291">
            <v>6.69</v>
          </cell>
        </row>
        <row r="7292">
          <cell r="A7292" t="str">
            <v>1;38;R;B;PAQ00a02</v>
          </cell>
          <cell r="B7292">
            <v>730069</v>
          </cell>
          <cell r="C7292" t="str">
            <v>R</v>
          </cell>
          <cell r="D7292" t="str">
            <v>REGIONAL</v>
          </cell>
          <cell r="E7292" t="str">
            <v>38</v>
          </cell>
          <cell r="F7292" t="str">
            <v>PAQ00a02</v>
          </cell>
          <cell r="G7292" t="str">
            <v>B</v>
          </cell>
          <cell r="H7292">
            <v>6.69</v>
          </cell>
        </row>
        <row r="7293">
          <cell r="A7293" t="str">
            <v>1;38;R;B;PAQ02a05</v>
          </cell>
          <cell r="B7293">
            <v>730069</v>
          </cell>
          <cell r="C7293" t="str">
            <v>R</v>
          </cell>
          <cell r="D7293" t="str">
            <v>REGIONAL</v>
          </cell>
          <cell r="E7293" t="str">
            <v>38</v>
          </cell>
          <cell r="F7293" t="str">
            <v>PAQ02a05</v>
          </cell>
          <cell r="G7293" t="str">
            <v>B</v>
          </cell>
          <cell r="H7293">
            <v>7.86</v>
          </cell>
        </row>
        <row r="7294">
          <cell r="A7294" t="str">
            <v>1;38;R;B;PAQ05a10</v>
          </cell>
          <cell r="B7294">
            <v>730069</v>
          </cell>
          <cell r="C7294" t="str">
            <v>R</v>
          </cell>
          <cell r="D7294" t="str">
            <v>REGIONAL</v>
          </cell>
          <cell r="E7294" t="str">
            <v>38</v>
          </cell>
          <cell r="F7294" t="str">
            <v>PAQ05a10</v>
          </cell>
          <cell r="G7294" t="str">
            <v>B</v>
          </cell>
          <cell r="H7294">
            <v>8.7899999999999991</v>
          </cell>
        </row>
        <row r="7295">
          <cell r="A7295" t="str">
            <v>1;38;R;B;PAQ10a15</v>
          </cell>
          <cell r="B7295">
            <v>730069</v>
          </cell>
          <cell r="C7295" t="str">
            <v>R</v>
          </cell>
          <cell r="D7295" t="str">
            <v>REGIONAL</v>
          </cell>
          <cell r="E7295" t="str">
            <v>38</v>
          </cell>
          <cell r="F7295" t="str">
            <v>PAQ10a15</v>
          </cell>
          <cell r="G7295" t="str">
            <v>B</v>
          </cell>
          <cell r="H7295">
            <v>9.39</v>
          </cell>
        </row>
        <row r="7296">
          <cell r="A7296" t="str">
            <v>1;38;R;B;PAQ15a20</v>
          </cell>
          <cell r="B7296">
            <v>730069</v>
          </cell>
          <cell r="C7296" t="str">
            <v>R</v>
          </cell>
          <cell r="D7296" t="str">
            <v>REGIONAL</v>
          </cell>
          <cell r="E7296" t="str">
            <v>38</v>
          </cell>
          <cell r="F7296" t="str">
            <v>PAQ15a20</v>
          </cell>
          <cell r="G7296" t="str">
            <v>B</v>
          </cell>
          <cell r="H7296">
            <v>9.94</v>
          </cell>
        </row>
        <row r="7297">
          <cell r="A7297" t="str">
            <v>1;40;R;B;PAQ00a02</v>
          </cell>
          <cell r="B7297">
            <v>730069</v>
          </cell>
          <cell r="C7297" t="str">
            <v>R</v>
          </cell>
          <cell r="D7297" t="str">
            <v>REGIONAL</v>
          </cell>
          <cell r="E7297" t="str">
            <v>40</v>
          </cell>
          <cell r="F7297" t="str">
            <v>PAQ00a02</v>
          </cell>
          <cell r="G7297" t="str">
            <v>B</v>
          </cell>
          <cell r="H7297">
            <v>5.42</v>
          </cell>
        </row>
        <row r="7298">
          <cell r="A7298" t="str">
            <v>1;40;R;B;PAQ02a05</v>
          </cell>
          <cell r="B7298">
            <v>730069</v>
          </cell>
          <cell r="C7298" t="str">
            <v>R</v>
          </cell>
          <cell r="D7298" t="str">
            <v>REGIONAL</v>
          </cell>
          <cell r="E7298" t="str">
            <v>40</v>
          </cell>
          <cell r="F7298" t="str">
            <v>PAQ02a05</v>
          </cell>
          <cell r="G7298" t="str">
            <v>B</v>
          </cell>
          <cell r="H7298">
            <v>6.86</v>
          </cell>
        </row>
        <row r="7299">
          <cell r="A7299" t="str">
            <v>1;40;R;B;PAQ05a10</v>
          </cell>
          <cell r="B7299">
            <v>730069</v>
          </cell>
          <cell r="C7299" t="str">
            <v>R</v>
          </cell>
          <cell r="D7299" t="str">
            <v>REGIONAL</v>
          </cell>
          <cell r="E7299" t="str">
            <v>40</v>
          </cell>
          <cell r="F7299" t="str">
            <v>PAQ05a10</v>
          </cell>
          <cell r="G7299" t="str">
            <v>B</v>
          </cell>
          <cell r="H7299">
            <v>7.94</v>
          </cell>
        </row>
        <row r="7300">
          <cell r="A7300" t="str">
            <v>1;40;R;B;PAQ10a15</v>
          </cell>
          <cell r="B7300">
            <v>730069</v>
          </cell>
          <cell r="C7300" t="str">
            <v>R</v>
          </cell>
          <cell r="D7300" t="str">
            <v>REGIONAL</v>
          </cell>
          <cell r="E7300" t="str">
            <v>40</v>
          </cell>
          <cell r="F7300" t="str">
            <v>PAQ10a15</v>
          </cell>
          <cell r="G7300" t="str">
            <v>B</v>
          </cell>
          <cell r="H7300">
            <v>8.84</v>
          </cell>
        </row>
        <row r="7301">
          <cell r="A7301" t="str">
            <v>1;40;R;B;PAQ15a20</v>
          </cell>
          <cell r="B7301">
            <v>730069</v>
          </cell>
          <cell r="C7301" t="str">
            <v>R</v>
          </cell>
          <cell r="D7301" t="str">
            <v>REGIONAL</v>
          </cell>
          <cell r="E7301" t="str">
            <v>40</v>
          </cell>
          <cell r="F7301" t="str">
            <v>PAQ15a20</v>
          </cell>
          <cell r="G7301" t="str">
            <v>B</v>
          </cell>
          <cell r="H7301">
            <v>9.8800000000000008</v>
          </cell>
        </row>
        <row r="7302">
          <cell r="A7302" t="str">
            <v>1;41;R;B;PAQ00a02</v>
          </cell>
          <cell r="B7302">
            <v>730069</v>
          </cell>
          <cell r="C7302" t="str">
            <v>R</v>
          </cell>
          <cell r="D7302" t="str">
            <v>REGIONAL</v>
          </cell>
          <cell r="E7302" t="str">
            <v>41</v>
          </cell>
          <cell r="F7302" t="str">
            <v>PAQ00a02</v>
          </cell>
          <cell r="G7302" t="str">
            <v>B</v>
          </cell>
          <cell r="H7302">
            <v>2.61</v>
          </cell>
        </row>
        <row r="7303">
          <cell r="A7303" t="str">
            <v>1;41;R;B;PAQ02a05</v>
          </cell>
          <cell r="B7303">
            <v>730069</v>
          </cell>
          <cell r="C7303" t="str">
            <v>R</v>
          </cell>
          <cell r="D7303" t="str">
            <v>REGIONAL</v>
          </cell>
          <cell r="E7303" t="str">
            <v>41</v>
          </cell>
          <cell r="F7303" t="str">
            <v>PAQ02a05</v>
          </cell>
          <cell r="G7303" t="str">
            <v>B</v>
          </cell>
          <cell r="H7303">
            <v>4.57</v>
          </cell>
        </row>
        <row r="7304">
          <cell r="A7304" t="str">
            <v>1;41;R;B;PAQ05a10</v>
          </cell>
          <cell r="B7304">
            <v>730069</v>
          </cell>
          <cell r="C7304" t="str">
            <v>R</v>
          </cell>
          <cell r="D7304" t="str">
            <v>REGIONAL</v>
          </cell>
          <cell r="E7304" t="str">
            <v>41</v>
          </cell>
          <cell r="F7304" t="str">
            <v>PAQ05a10</v>
          </cell>
          <cell r="G7304" t="str">
            <v>B</v>
          </cell>
          <cell r="H7304">
            <v>5.67</v>
          </cell>
        </row>
        <row r="7305">
          <cell r="A7305" t="str">
            <v>1;41;R;B;PAQ10a15</v>
          </cell>
          <cell r="B7305">
            <v>730069</v>
          </cell>
          <cell r="C7305" t="str">
            <v>R</v>
          </cell>
          <cell r="D7305" t="str">
            <v>REGIONAL</v>
          </cell>
          <cell r="E7305" t="str">
            <v>41</v>
          </cell>
          <cell r="F7305" t="str">
            <v>PAQ10a15</v>
          </cell>
          <cell r="G7305" t="str">
            <v>B</v>
          </cell>
          <cell r="H7305">
            <v>6.28</v>
          </cell>
        </row>
        <row r="7306">
          <cell r="A7306" t="str">
            <v>1;41;R;B;PAQ15a20</v>
          </cell>
          <cell r="B7306">
            <v>730069</v>
          </cell>
          <cell r="C7306" t="str">
            <v>R</v>
          </cell>
          <cell r="D7306" t="str">
            <v>REGIONAL</v>
          </cell>
          <cell r="E7306" t="str">
            <v>41</v>
          </cell>
          <cell r="F7306" t="str">
            <v>PAQ15a20</v>
          </cell>
          <cell r="G7306" t="str">
            <v>B</v>
          </cell>
          <cell r="H7306">
            <v>6.89</v>
          </cell>
        </row>
        <row r="7307">
          <cell r="A7307" t="str">
            <v>1;44;R;B;PAQ00a02</v>
          </cell>
          <cell r="B7307">
            <v>730069</v>
          </cell>
          <cell r="C7307" t="str">
            <v>R</v>
          </cell>
          <cell r="D7307" t="str">
            <v>REGIONAL</v>
          </cell>
          <cell r="E7307" t="str">
            <v>44</v>
          </cell>
          <cell r="F7307" t="str">
            <v>PAQ00a02</v>
          </cell>
          <cell r="G7307" t="str">
            <v>B</v>
          </cell>
          <cell r="H7307">
            <v>3.68</v>
          </cell>
        </row>
        <row r="7308">
          <cell r="A7308" t="str">
            <v>1;44;R;B;PAQ02a05</v>
          </cell>
          <cell r="B7308">
            <v>730069</v>
          </cell>
          <cell r="C7308" t="str">
            <v>R</v>
          </cell>
          <cell r="D7308" t="str">
            <v>REGIONAL</v>
          </cell>
          <cell r="E7308" t="str">
            <v>44</v>
          </cell>
          <cell r="F7308" t="str">
            <v>PAQ02a05</v>
          </cell>
          <cell r="G7308" t="str">
            <v>B</v>
          </cell>
          <cell r="H7308">
            <v>4.8499999999999996</v>
          </cell>
        </row>
        <row r="7309">
          <cell r="A7309" t="str">
            <v>1;44;R;B;PAQ05a10</v>
          </cell>
          <cell r="B7309">
            <v>730069</v>
          </cell>
          <cell r="C7309" t="str">
            <v>R</v>
          </cell>
          <cell r="D7309" t="str">
            <v>REGIONAL</v>
          </cell>
          <cell r="E7309" t="str">
            <v>44</v>
          </cell>
          <cell r="F7309" t="str">
            <v>PAQ05a10</v>
          </cell>
          <cell r="G7309" t="str">
            <v>B</v>
          </cell>
          <cell r="H7309">
            <v>5.41</v>
          </cell>
        </row>
        <row r="7310">
          <cell r="A7310" t="str">
            <v>1;44;R;B;PAQ10a15</v>
          </cell>
          <cell r="B7310">
            <v>730069</v>
          </cell>
          <cell r="C7310" t="str">
            <v>R</v>
          </cell>
          <cell r="D7310" t="str">
            <v>REGIONAL</v>
          </cell>
          <cell r="E7310" t="str">
            <v>44</v>
          </cell>
          <cell r="F7310" t="str">
            <v>PAQ10a15</v>
          </cell>
          <cell r="G7310" t="str">
            <v>B</v>
          </cell>
          <cell r="H7310">
            <v>6.39</v>
          </cell>
        </row>
        <row r="7311">
          <cell r="A7311" t="str">
            <v>1;44;R;B;PAQ15a20</v>
          </cell>
          <cell r="B7311">
            <v>730069</v>
          </cell>
          <cell r="C7311" t="str">
            <v>R</v>
          </cell>
          <cell r="D7311" t="str">
            <v>REGIONAL</v>
          </cell>
          <cell r="E7311" t="str">
            <v>44</v>
          </cell>
          <cell r="F7311" t="str">
            <v>PAQ15a20</v>
          </cell>
          <cell r="G7311" t="str">
            <v>B</v>
          </cell>
          <cell r="H7311">
            <v>7.47</v>
          </cell>
        </row>
        <row r="7312">
          <cell r="A7312" t="str">
            <v>1;60;R;B;BAG</v>
          </cell>
          <cell r="B7312">
            <v>730069</v>
          </cell>
          <cell r="C7312" t="str">
            <v>R</v>
          </cell>
          <cell r="D7312" t="str">
            <v>REGIONAL</v>
          </cell>
          <cell r="E7312" t="str">
            <v>60</v>
          </cell>
          <cell r="F7312" t="str">
            <v>BAG</v>
          </cell>
          <cell r="G7312" t="str">
            <v>B</v>
          </cell>
          <cell r="H7312">
            <v>30.22</v>
          </cell>
        </row>
        <row r="7313">
          <cell r="A7313" t="str">
            <v>1;60;R;B;PAQ00a05</v>
          </cell>
          <cell r="B7313">
            <v>730069</v>
          </cell>
          <cell r="C7313" t="str">
            <v>R</v>
          </cell>
          <cell r="D7313" t="str">
            <v>REGIONAL</v>
          </cell>
          <cell r="E7313" t="str">
            <v>60</v>
          </cell>
          <cell r="F7313" t="str">
            <v>PAQ00a05</v>
          </cell>
          <cell r="G7313" t="str">
            <v>B</v>
          </cell>
          <cell r="H7313">
            <v>33.67</v>
          </cell>
        </row>
        <row r="7314">
          <cell r="A7314" t="str">
            <v>1;60;R;B;PAQ05a10</v>
          </cell>
          <cell r="B7314">
            <v>730069</v>
          </cell>
          <cell r="C7314" t="str">
            <v>R</v>
          </cell>
          <cell r="D7314" t="str">
            <v>REGIONAL</v>
          </cell>
          <cell r="E7314" t="str">
            <v>60</v>
          </cell>
          <cell r="F7314" t="str">
            <v>PAQ05a10</v>
          </cell>
          <cell r="G7314" t="str">
            <v>B</v>
          </cell>
          <cell r="H7314">
            <v>49</v>
          </cell>
        </row>
        <row r="7315">
          <cell r="A7315" t="str">
            <v>1;60;R;B;PAQ10a15</v>
          </cell>
          <cell r="B7315">
            <v>730069</v>
          </cell>
          <cell r="C7315" t="str">
            <v>R</v>
          </cell>
          <cell r="D7315" t="str">
            <v>REGIONAL</v>
          </cell>
          <cell r="E7315" t="str">
            <v>60</v>
          </cell>
          <cell r="F7315" t="str">
            <v>PAQ10a15</v>
          </cell>
          <cell r="G7315" t="str">
            <v>B</v>
          </cell>
          <cell r="H7315">
            <v>66.209999999999994</v>
          </cell>
        </row>
        <row r="7316">
          <cell r="A7316" t="str">
            <v>1;60;R;B;PAQ15a20</v>
          </cell>
          <cell r="B7316">
            <v>730069</v>
          </cell>
          <cell r="C7316" t="str">
            <v>R</v>
          </cell>
          <cell r="D7316" t="str">
            <v>REGIONAL</v>
          </cell>
          <cell r="E7316" t="str">
            <v>60</v>
          </cell>
          <cell r="F7316" t="str">
            <v>PAQ15a20</v>
          </cell>
          <cell r="G7316" t="str">
            <v>B</v>
          </cell>
          <cell r="H7316">
            <v>83.41</v>
          </cell>
        </row>
        <row r="7317">
          <cell r="A7317" t="str">
            <v>1;60;R;B;PAQ20a25</v>
          </cell>
          <cell r="B7317">
            <v>730069</v>
          </cell>
          <cell r="C7317" t="str">
            <v>R</v>
          </cell>
          <cell r="D7317" t="str">
            <v>REGIONAL</v>
          </cell>
          <cell r="E7317" t="str">
            <v>60</v>
          </cell>
          <cell r="F7317" t="str">
            <v>PAQ20a25</v>
          </cell>
          <cell r="G7317" t="str">
            <v>B</v>
          </cell>
          <cell r="H7317">
            <v>100.62</v>
          </cell>
        </row>
        <row r="7318">
          <cell r="A7318" t="str">
            <v>1;60;R;B;PAQ25a30</v>
          </cell>
          <cell r="B7318">
            <v>730069</v>
          </cell>
          <cell r="C7318" t="str">
            <v>R</v>
          </cell>
          <cell r="D7318" t="str">
            <v>REGIONAL</v>
          </cell>
          <cell r="E7318" t="str">
            <v>60</v>
          </cell>
          <cell r="F7318" t="str">
            <v>PAQ25a30</v>
          </cell>
          <cell r="G7318" t="str">
            <v>B</v>
          </cell>
          <cell r="H7318">
            <v>117.83</v>
          </cell>
        </row>
        <row r="7319">
          <cell r="A7319" t="str">
            <v>1;60;R;B;PAQ30a35</v>
          </cell>
          <cell r="B7319">
            <v>730069</v>
          </cell>
          <cell r="C7319" t="str">
            <v>R</v>
          </cell>
          <cell r="D7319" t="str">
            <v>REGIONAL</v>
          </cell>
          <cell r="E7319" t="str">
            <v>60</v>
          </cell>
          <cell r="F7319" t="str">
            <v>PAQ30a35</v>
          </cell>
          <cell r="G7319" t="str">
            <v>B</v>
          </cell>
          <cell r="H7319">
            <v>135.04</v>
          </cell>
        </row>
        <row r="7320">
          <cell r="A7320" t="str">
            <v>1;60;R;B;PAQ35a40</v>
          </cell>
          <cell r="B7320">
            <v>730069</v>
          </cell>
          <cell r="C7320" t="str">
            <v>R</v>
          </cell>
          <cell r="D7320" t="str">
            <v>REGIONAL</v>
          </cell>
          <cell r="E7320" t="str">
            <v>60</v>
          </cell>
          <cell r="F7320" t="str">
            <v>PAQ35a40</v>
          </cell>
          <cell r="G7320" t="str">
            <v>B</v>
          </cell>
          <cell r="H7320">
            <v>152.24</v>
          </cell>
        </row>
        <row r="7321">
          <cell r="A7321" t="str">
            <v>1;60;R;F;</v>
          </cell>
          <cell r="B7321">
            <v>730069</v>
          </cell>
          <cell r="C7321" t="str">
            <v>R</v>
          </cell>
          <cell r="D7321" t="str">
            <v>REGIONAL</v>
          </cell>
          <cell r="E7321" t="str">
            <v>60</v>
          </cell>
          <cell r="F7321" t="str">
            <v/>
          </cell>
          <cell r="G7321" t="str">
            <v>F</v>
          </cell>
          <cell r="H7321">
            <v>17.21</v>
          </cell>
        </row>
        <row r="7322">
          <cell r="A7322" t="str">
            <v>1;60;R;E;</v>
          </cell>
          <cell r="B7322">
            <v>730069</v>
          </cell>
          <cell r="C7322" t="str">
            <v>R</v>
          </cell>
          <cell r="D7322" t="str">
            <v>REGIONAL</v>
          </cell>
          <cell r="E7322" t="str">
            <v>60</v>
          </cell>
          <cell r="F7322" t="str">
            <v/>
          </cell>
          <cell r="G7322" t="str">
            <v>E</v>
          </cell>
          <cell r="H7322">
            <v>22.43</v>
          </cell>
        </row>
        <row r="7323">
          <cell r="A7323" t="str">
            <v>1;60;R;P;</v>
          </cell>
          <cell r="B7323">
            <v>730069</v>
          </cell>
          <cell r="C7323" t="str">
            <v>R</v>
          </cell>
          <cell r="D7323" t="str">
            <v>REGIONAL</v>
          </cell>
          <cell r="E7323" t="str">
            <v>60</v>
          </cell>
          <cell r="F7323" t="str">
            <v/>
          </cell>
          <cell r="G7323" t="str">
            <v>P</v>
          </cell>
          <cell r="H7323">
            <v>22.43</v>
          </cell>
        </row>
        <row r="7324">
          <cell r="A7324" t="str">
            <v>1;61;R;B;BAG</v>
          </cell>
          <cell r="B7324">
            <v>730069</v>
          </cell>
          <cell r="C7324" t="str">
            <v>R</v>
          </cell>
          <cell r="D7324" t="str">
            <v>REGIONAL</v>
          </cell>
          <cell r="E7324" t="str">
            <v>61</v>
          </cell>
          <cell r="F7324" t="str">
            <v>BAG</v>
          </cell>
          <cell r="G7324" t="str">
            <v>B</v>
          </cell>
          <cell r="H7324">
            <v>18.98</v>
          </cell>
        </row>
        <row r="7325">
          <cell r="A7325" t="str">
            <v>1;61;R;B;PAQ00a05</v>
          </cell>
          <cell r="B7325">
            <v>730069</v>
          </cell>
          <cell r="C7325" t="str">
            <v>R</v>
          </cell>
          <cell r="D7325" t="str">
            <v>REGIONAL</v>
          </cell>
          <cell r="E7325" t="str">
            <v>61</v>
          </cell>
          <cell r="F7325" t="str">
            <v>PAQ00a05</v>
          </cell>
          <cell r="G7325" t="str">
            <v>B</v>
          </cell>
          <cell r="H7325">
            <v>22.43</v>
          </cell>
        </row>
        <row r="7326">
          <cell r="A7326" t="str">
            <v>1;61;R;B;PAQ05a10</v>
          </cell>
          <cell r="B7326">
            <v>730069</v>
          </cell>
          <cell r="C7326" t="str">
            <v>R</v>
          </cell>
          <cell r="D7326" t="str">
            <v>REGIONAL</v>
          </cell>
          <cell r="E7326" t="str">
            <v>61</v>
          </cell>
          <cell r="F7326" t="str">
            <v>PAQ05a10</v>
          </cell>
          <cell r="G7326" t="str">
            <v>B</v>
          </cell>
          <cell r="H7326">
            <v>37.76</v>
          </cell>
        </row>
        <row r="7327">
          <cell r="A7327" t="str">
            <v>1;61;R;B;PAQ10a15</v>
          </cell>
          <cell r="B7327">
            <v>730069</v>
          </cell>
          <cell r="C7327" t="str">
            <v>R</v>
          </cell>
          <cell r="D7327" t="str">
            <v>REGIONAL</v>
          </cell>
          <cell r="E7327" t="str">
            <v>61</v>
          </cell>
          <cell r="F7327" t="str">
            <v>PAQ10a15</v>
          </cell>
          <cell r="G7327" t="str">
            <v>B</v>
          </cell>
          <cell r="H7327">
            <v>54.96</v>
          </cell>
        </row>
        <row r="7328">
          <cell r="A7328" t="str">
            <v>1;61;R;B;PAQ15a20</v>
          </cell>
          <cell r="B7328">
            <v>730069</v>
          </cell>
          <cell r="C7328" t="str">
            <v>R</v>
          </cell>
          <cell r="D7328" t="str">
            <v>REGIONAL</v>
          </cell>
          <cell r="E7328" t="str">
            <v>61</v>
          </cell>
          <cell r="F7328" t="str">
            <v>PAQ15a20</v>
          </cell>
          <cell r="G7328" t="str">
            <v>B</v>
          </cell>
          <cell r="H7328">
            <v>72.17</v>
          </cell>
        </row>
        <row r="7329">
          <cell r="A7329" t="str">
            <v>1;61;R;B;PAQ20a25</v>
          </cell>
          <cell r="B7329">
            <v>730069</v>
          </cell>
          <cell r="C7329" t="str">
            <v>R</v>
          </cell>
          <cell r="D7329" t="str">
            <v>REGIONAL</v>
          </cell>
          <cell r="E7329" t="str">
            <v>61</v>
          </cell>
          <cell r="F7329" t="str">
            <v>PAQ20a25</v>
          </cell>
          <cell r="G7329" t="str">
            <v>B</v>
          </cell>
          <cell r="H7329">
            <v>89.38</v>
          </cell>
        </row>
        <row r="7330">
          <cell r="A7330" t="str">
            <v>1;61;R;B;PAQ25a30</v>
          </cell>
          <cell r="B7330">
            <v>730069</v>
          </cell>
          <cell r="C7330" t="str">
            <v>R</v>
          </cell>
          <cell r="D7330" t="str">
            <v>REGIONAL</v>
          </cell>
          <cell r="E7330" t="str">
            <v>61</v>
          </cell>
          <cell r="F7330" t="str">
            <v>PAQ25a30</v>
          </cell>
          <cell r="G7330" t="str">
            <v>B</v>
          </cell>
          <cell r="H7330">
            <v>106.59</v>
          </cell>
        </row>
        <row r="7331">
          <cell r="A7331" t="str">
            <v>1;61;R;B;PAQ30a35</v>
          </cell>
          <cell r="B7331">
            <v>730069</v>
          </cell>
          <cell r="C7331" t="str">
            <v>R</v>
          </cell>
          <cell r="D7331" t="str">
            <v>REGIONAL</v>
          </cell>
          <cell r="E7331" t="str">
            <v>61</v>
          </cell>
          <cell r="F7331" t="str">
            <v>PAQ30a35</v>
          </cell>
          <cell r="G7331" t="str">
            <v>B</v>
          </cell>
          <cell r="H7331">
            <v>123.78</v>
          </cell>
        </row>
        <row r="7332">
          <cell r="A7332" t="str">
            <v>1;61;R;F;</v>
          </cell>
          <cell r="B7332">
            <v>730069</v>
          </cell>
          <cell r="C7332" t="str">
            <v>R</v>
          </cell>
          <cell r="D7332" t="str">
            <v>REGIONAL</v>
          </cell>
          <cell r="E7332" t="str">
            <v>61</v>
          </cell>
          <cell r="F7332" t="str">
            <v/>
          </cell>
          <cell r="G7332" t="str">
            <v>F</v>
          </cell>
          <cell r="H7332">
            <v>17.21</v>
          </cell>
        </row>
        <row r="7333">
          <cell r="A7333" t="str">
            <v>1;61;R;B;PAQ35a40</v>
          </cell>
          <cell r="B7333">
            <v>730069</v>
          </cell>
          <cell r="C7333" t="str">
            <v>R</v>
          </cell>
          <cell r="D7333" t="str">
            <v>REGIONAL</v>
          </cell>
          <cell r="E7333" t="str">
            <v>61</v>
          </cell>
          <cell r="F7333" t="str">
            <v>PAQ35a40</v>
          </cell>
          <cell r="G7333" t="str">
            <v>B</v>
          </cell>
          <cell r="H7333">
            <v>140.99</v>
          </cell>
        </row>
        <row r="7334">
          <cell r="A7334" t="str">
            <v>1;61;R;E;</v>
          </cell>
          <cell r="B7334">
            <v>730069</v>
          </cell>
          <cell r="C7334" t="str">
            <v>R</v>
          </cell>
          <cell r="D7334" t="str">
            <v>REGIONAL</v>
          </cell>
          <cell r="E7334" t="str">
            <v>61</v>
          </cell>
          <cell r="F7334" t="str">
            <v/>
          </cell>
          <cell r="G7334" t="str">
            <v>E</v>
          </cell>
          <cell r="H7334">
            <v>22.43</v>
          </cell>
        </row>
        <row r="7335">
          <cell r="A7335" t="str">
            <v>1;61;R;P;</v>
          </cell>
          <cell r="B7335">
            <v>730069</v>
          </cell>
          <cell r="C7335" t="str">
            <v>R</v>
          </cell>
          <cell r="D7335" t="str">
            <v>REGIONAL</v>
          </cell>
          <cell r="E7335" t="str">
            <v>61</v>
          </cell>
          <cell r="F7335" t="str">
            <v/>
          </cell>
          <cell r="G7335" t="str">
            <v>P</v>
          </cell>
          <cell r="H7335">
            <v>22.43</v>
          </cell>
        </row>
        <row r="7336">
          <cell r="A7336" t="str">
            <v>1;62;R;B;BAG</v>
          </cell>
          <cell r="B7336">
            <v>730069</v>
          </cell>
          <cell r="C7336" t="str">
            <v>R</v>
          </cell>
          <cell r="D7336" t="str">
            <v>REGIONAL</v>
          </cell>
          <cell r="E7336" t="str">
            <v>62</v>
          </cell>
          <cell r="F7336" t="str">
            <v>BAG</v>
          </cell>
          <cell r="G7336" t="str">
            <v>B</v>
          </cell>
          <cell r="H7336">
            <v>13.77</v>
          </cell>
        </row>
        <row r="7337">
          <cell r="A7337" t="str">
            <v>1;62;R;B;PAQ00a05</v>
          </cell>
          <cell r="B7337">
            <v>730069</v>
          </cell>
          <cell r="C7337" t="str">
            <v>R</v>
          </cell>
          <cell r="D7337" t="str">
            <v>REGIONAL</v>
          </cell>
          <cell r="E7337" t="str">
            <v>62</v>
          </cell>
          <cell r="F7337" t="str">
            <v>PAQ00a05</v>
          </cell>
          <cell r="G7337" t="str">
            <v>B</v>
          </cell>
          <cell r="H7337">
            <v>15.95</v>
          </cell>
        </row>
        <row r="7338">
          <cell r="A7338" t="str">
            <v>1;62;R;B;PAQ05a10</v>
          </cell>
          <cell r="B7338">
            <v>730069</v>
          </cell>
          <cell r="C7338" t="str">
            <v>R</v>
          </cell>
          <cell r="D7338" t="str">
            <v>REGIONAL</v>
          </cell>
          <cell r="E7338" t="str">
            <v>62</v>
          </cell>
          <cell r="F7338" t="str">
            <v>PAQ05a10</v>
          </cell>
          <cell r="G7338" t="str">
            <v>B</v>
          </cell>
          <cell r="H7338">
            <v>19.809999999999999</v>
          </cell>
        </row>
        <row r="7339">
          <cell r="A7339" t="str">
            <v>1;62;R;B;PAQ10a15</v>
          </cell>
          <cell r="B7339">
            <v>730069</v>
          </cell>
          <cell r="C7339" t="str">
            <v>R</v>
          </cell>
          <cell r="D7339" t="str">
            <v>REGIONAL</v>
          </cell>
          <cell r="E7339" t="str">
            <v>62</v>
          </cell>
          <cell r="F7339" t="str">
            <v>PAQ10a15</v>
          </cell>
          <cell r="G7339" t="str">
            <v>B</v>
          </cell>
          <cell r="H7339">
            <v>25.26</v>
          </cell>
        </row>
        <row r="7340">
          <cell r="A7340" t="str">
            <v>1;62;R;B;PAQ15a20</v>
          </cell>
          <cell r="B7340">
            <v>730069</v>
          </cell>
          <cell r="C7340" t="str">
            <v>R</v>
          </cell>
          <cell r="D7340" t="str">
            <v>REGIONAL</v>
          </cell>
          <cell r="E7340" t="str">
            <v>62</v>
          </cell>
          <cell r="F7340" t="str">
            <v>PAQ15a20</v>
          </cell>
          <cell r="G7340" t="str">
            <v>B</v>
          </cell>
          <cell r="H7340">
            <v>30.71</v>
          </cell>
        </row>
        <row r="7341">
          <cell r="A7341" t="str">
            <v>1;62;R;B;PAQ20a25</v>
          </cell>
          <cell r="B7341">
            <v>730069</v>
          </cell>
          <cell r="C7341" t="str">
            <v>R</v>
          </cell>
          <cell r="D7341" t="str">
            <v>REGIONAL</v>
          </cell>
          <cell r="E7341" t="str">
            <v>62</v>
          </cell>
          <cell r="F7341" t="str">
            <v>PAQ20a25</v>
          </cell>
          <cell r="G7341" t="str">
            <v>B</v>
          </cell>
          <cell r="H7341">
            <v>36.159999999999997</v>
          </cell>
        </row>
        <row r="7342">
          <cell r="A7342" t="str">
            <v>1;62;R;B;PAQ25a30</v>
          </cell>
          <cell r="B7342">
            <v>730069</v>
          </cell>
          <cell r="C7342" t="str">
            <v>R</v>
          </cell>
          <cell r="D7342" t="str">
            <v>REGIONAL</v>
          </cell>
          <cell r="E7342" t="str">
            <v>62</v>
          </cell>
          <cell r="F7342" t="str">
            <v>PAQ25a30</v>
          </cell>
          <cell r="G7342" t="str">
            <v>B</v>
          </cell>
          <cell r="H7342">
            <v>41.61</v>
          </cell>
        </row>
        <row r="7343">
          <cell r="A7343" t="str">
            <v>1;62;R;B;PAQ30a35</v>
          </cell>
          <cell r="B7343">
            <v>730069</v>
          </cell>
          <cell r="C7343" t="str">
            <v>R</v>
          </cell>
          <cell r="D7343" t="str">
            <v>REGIONAL</v>
          </cell>
          <cell r="E7343" t="str">
            <v>62</v>
          </cell>
          <cell r="F7343" t="str">
            <v>PAQ30a35</v>
          </cell>
          <cell r="G7343" t="str">
            <v>B</v>
          </cell>
          <cell r="H7343">
            <v>47.07</v>
          </cell>
        </row>
        <row r="7344">
          <cell r="A7344" t="str">
            <v>1;62;R;B;PAQ35a40</v>
          </cell>
          <cell r="B7344">
            <v>730069</v>
          </cell>
          <cell r="C7344" t="str">
            <v>R</v>
          </cell>
          <cell r="D7344" t="str">
            <v>REGIONAL</v>
          </cell>
          <cell r="E7344" t="str">
            <v>62</v>
          </cell>
          <cell r="F7344" t="str">
            <v>PAQ35a40</v>
          </cell>
          <cell r="G7344" t="str">
            <v>B</v>
          </cell>
          <cell r="H7344">
            <v>52.52</v>
          </cell>
        </row>
        <row r="7345">
          <cell r="A7345" t="str">
            <v>1;62;R;F;</v>
          </cell>
          <cell r="B7345">
            <v>730069</v>
          </cell>
          <cell r="C7345" t="str">
            <v>R</v>
          </cell>
          <cell r="D7345" t="str">
            <v>REGIONAL</v>
          </cell>
          <cell r="E7345" t="str">
            <v>62</v>
          </cell>
          <cell r="F7345" t="str">
            <v/>
          </cell>
          <cell r="G7345" t="str">
            <v>F</v>
          </cell>
          <cell r="H7345">
            <v>5.45</v>
          </cell>
        </row>
        <row r="7346">
          <cell r="A7346" t="str">
            <v>1;62;R;E;</v>
          </cell>
          <cell r="B7346">
            <v>730069</v>
          </cell>
          <cell r="C7346" t="str">
            <v>R</v>
          </cell>
          <cell r="D7346" t="str">
            <v>REGIONAL</v>
          </cell>
          <cell r="E7346" t="str">
            <v>62</v>
          </cell>
          <cell r="F7346" t="str">
            <v/>
          </cell>
          <cell r="G7346" t="str">
            <v>E</v>
          </cell>
          <cell r="H7346">
            <v>15.95</v>
          </cell>
        </row>
        <row r="7347">
          <cell r="A7347" t="str">
            <v>1;62;R;P;</v>
          </cell>
          <cell r="B7347">
            <v>730069</v>
          </cell>
          <cell r="C7347" t="str">
            <v>R</v>
          </cell>
          <cell r="D7347" t="str">
            <v>REGIONAL</v>
          </cell>
          <cell r="E7347" t="str">
            <v>62</v>
          </cell>
          <cell r="F7347" t="str">
            <v/>
          </cell>
          <cell r="G7347" t="str">
            <v>P</v>
          </cell>
          <cell r="H7347">
            <v>15.95</v>
          </cell>
        </row>
        <row r="7348">
          <cell r="A7348" t="str">
            <v>1;63;R;B;BAG</v>
          </cell>
          <cell r="B7348">
            <v>730069</v>
          </cell>
          <cell r="C7348" t="str">
            <v>R</v>
          </cell>
          <cell r="D7348" t="str">
            <v>REGIONAL</v>
          </cell>
          <cell r="E7348" t="str">
            <v>63</v>
          </cell>
          <cell r="F7348" t="str">
            <v>BAG</v>
          </cell>
          <cell r="G7348" t="str">
            <v>B</v>
          </cell>
          <cell r="H7348">
            <v>21.04</v>
          </cell>
        </row>
        <row r="7349">
          <cell r="A7349" t="str">
            <v>1;63;R;B;PAQ00a05</v>
          </cell>
          <cell r="B7349">
            <v>730069</v>
          </cell>
          <cell r="C7349" t="str">
            <v>R</v>
          </cell>
          <cell r="D7349" t="str">
            <v>REGIONAL</v>
          </cell>
          <cell r="E7349" t="str">
            <v>63</v>
          </cell>
          <cell r="F7349" t="str">
            <v>PAQ00a05</v>
          </cell>
          <cell r="G7349" t="str">
            <v>B</v>
          </cell>
          <cell r="H7349">
            <v>23.23</v>
          </cell>
        </row>
        <row r="7350">
          <cell r="A7350" t="str">
            <v>1;63;R;B;PAQ05a10</v>
          </cell>
          <cell r="B7350">
            <v>730069</v>
          </cell>
          <cell r="C7350" t="str">
            <v>R</v>
          </cell>
          <cell r="D7350" t="str">
            <v>REGIONAL</v>
          </cell>
          <cell r="E7350" t="str">
            <v>63</v>
          </cell>
          <cell r="F7350" t="str">
            <v>PAQ05a10</v>
          </cell>
          <cell r="G7350" t="str">
            <v>B</v>
          </cell>
          <cell r="H7350">
            <v>27.09</v>
          </cell>
        </row>
        <row r="7351">
          <cell r="A7351" t="str">
            <v>1;63;R;B;PAQ10a15</v>
          </cell>
          <cell r="B7351">
            <v>730069</v>
          </cell>
          <cell r="C7351" t="str">
            <v>R</v>
          </cell>
          <cell r="D7351" t="str">
            <v>REGIONAL</v>
          </cell>
          <cell r="E7351" t="str">
            <v>63</v>
          </cell>
          <cell r="F7351" t="str">
            <v>PAQ10a15</v>
          </cell>
          <cell r="G7351" t="str">
            <v>B</v>
          </cell>
          <cell r="H7351">
            <v>32.54</v>
          </cell>
        </row>
        <row r="7352">
          <cell r="A7352" t="str">
            <v>1;63;R;B;PAQ15a20</v>
          </cell>
          <cell r="B7352">
            <v>730069</v>
          </cell>
          <cell r="C7352" t="str">
            <v>R</v>
          </cell>
          <cell r="D7352" t="str">
            <v>REGIONAL</v>
          </cell>
          <cell r="E7352" t="str">
            <v>63</v>
          </cell>
          <cell r="F7352" t="str">
            <v>PAQ15a20</v>
          </cell>
          <cell r="G7352" t="str">
            <v>B</v>
          </cell>
          <cell r="H7352">
            <v>37.99</v>
          </cell>
        </row>
        <row r="7353">
          <cell r="A7353" t="str">
            <v>1;63;R;B;PAQ20a25</v>
          </cell>
          <cell r="B7353">
            <v>730069</v>
          </cell>
          <cell r="C7353" t="str">
            <v>R</v>
          </cell>
          <cell r="D7353" t="str">
            <v>REGIONAL</v>
          </cell>
          <cell r="E7353" t="str">
            <v>63</v>
          </cell>
          <cell r="F7353" t="str">
            <v>PAQ20a25</v>
          </cell>
          <cell r="G7353" t="str">
            <v>B</v>
          </cell>
          <cell r="H7353">
            <v>43.45</v>
          </cell>
        </row>
        <row r="7354">
          <cell r="A7354" t="str">
            <v>1;63;R;B;PAQ25a30</v>
          </cell>
          <cell r="B7354">
            <v>730069</v>
          </cell>
          <cell r="C7354" t="str">
            <v>R</v>
          </cell>
          <cell r="D7354" t="str">
            <v>REGIONAL</v>
          </cell>
          <cell r="E7354" t="str">
            <v>63</v>
          </cell>
          <cell r="F7354" t="str">
            <v>PAQ25a30</v>
          </cell>
          <cell r="G7354" t="str">
            <v>B</v>
          </cell>
          <cell r="H7354">
            <v>48.9</v>
          </cell>
        </row>
        <row r="7355">
          <cell r="A7355" t="str">
            <v>1;63;R;B;PAQ30a35</v>
          </cell>
          <cell r="B7355">
            <v>730069</v>
          </cell>
          <cell r="C7355" t="str">
            <v>R</v>
          </cell>
          <cell r="D7355" t="str">
            <v>REGIONAL</v>
          </cell>
          <cell r="E7355" t="str">
            <v>63</v>
          </cell>
          <cell r="F7355" t="str">
            <v>PAQ30a35</v>
          </cell>
          <cell r="G7355" t="str">
            <v>B</v>
          </cell>
          <cell r="H7355">
            <v>54.35</v>
          </cell>
        </row>
        <row r="7356">
          <cell r="A7356" t="str">
            <v>1;63;R;F;</v>
          </cell>
          <cell r="B7356">
            <v>730069</v>
          </cell>
          <cell r="C7356" t="str">
            <v>R</v>
          </cell>
          <cell r="D7356" t="str">
            <v>REGIONAL</v>
          </cell>
          <cell r="E7356" t="str">
            <v>63</v>
          </cell>
          <cell r="F7356" t="str">
            <v/>
          </cell>
          <cell r="G7356" t="str">
            <v>F</v>
          </cell>
          <cell r="H7356">
            <v>5.45</v>
          </cell>
        </row>
        <row r="7357">
          <cell r="A7357" t="str">
            <v>1;63;R;B;PAQ35a40</v>
          </cell>
          <cell r="B7357">
            <v>730069</v>
          </cell>
          <cell r="C7357" t="str">
            <v>R</v>
          </cell>
          <cell r="D7357" t="str">
            <v>REGIONAL</v>
          </cell>
          <cell r="E7357" t="str">
            <v>63</v>
          </cell>
          <cell r="F7357" t="str">
            <v>PAQ35a40</v>
          </cell>
          <cell r="G7357" t="str">
            <v>B</v>
          </cell>
          <cell r="H7357">
            <v>59.8</v>
          </cell>
        </row>
        <row r="7358">
          <cell r="A7358" t="str">
            <v>1;63;R;P;</v>
          </cell>
          <cell r="B7358">
            <v>730069</v>
          </cell>
          <cell r="C7358" t="str">
            <v>R</v>
          </cell>
          <cell r="D7358" t="str">
            <v>REGIONAL</v>
          </cell>
          <cell r="E7358" t="str">
            <v>63</v>
          </cell>
          <cell r="F7358" t="str">
            <v/>
          </cell>
          <cell r="G7358" t="str">
            <v>P</v>
          </cell>
          <cell r="H7358">
            <v>15.95</v>
          </cell>
        </row>
        <row r="7359">
          <cell r="A7359" t="str">
            <v>1;63;R;E;</v>
          </cell>
          <cell r="B7359">
            <v>730069</v>
          </cell>
          <cell r="C7359" t="str">
            <v>R</v>
          </cell>
          <cell r="D7359" t="str">
            <v>REGIONAL</v>
          </cell>
          <cell r="E7359" t="str">
            <v>63</v>
          </cell>
          <cell r="F7359" t="str">
            <v/>
          </cell>
          <cell r="G7359" t="str">
            <v>E</v>
          </cell>
          <cell r="H7359">
            <v>15.95</v>
          </cell>
        </row>
        <row r="7360">
          <cell r="A7360" t="str">
            <v>1;65;R;B;BAG</v>
          </cell>
          <cell r="B7360">
            <v>730069</v>
          </cell>
          <cell r="C7360" t="str">
            <v>R</v>
          </cell>
          <cell r="D7360" t="str">
            <v>REGIONAL</v>
          </cell>
          <cell r="E7360" t="str">
            <v>65</v>
          </cell>
          <cell r="F7360" t="str">
            <v>BAG</v>
          </cell>
          <cell r="G7360" t="str">
            <v>B</v>
          </cell>
          <cell r="H7360">
            <v>13.77</v>
          </cell>
        </row>
        <row r="7361">
          <cell r="A7361" t="str">
            <v>1;65;R;B;PAQ00a05</v>
          </cell>
          <cell r="B7361">
            <v>730069</v>
          </cell>
          <cell r="C7361" t="str">
            <v>R</v>
          </cell>
          <cell r="D7361" t="str">
            <v>REGIONAL</v>
          </cell>
          <cell r="E7361" t="str">
            <v>65</v>
          </cell>
          <cell r="F7361" t="str">
            <v>PAQ00a05</v>
          </cell>
          <cell r="G7361" t="str">
            <v>B</v>
          </cell>
          <cell r="H7361">
            <v>15.95</v>
          </cell>
        </row>
        <row r="7362">
          <cell r="A7362" t="str">
            <v>1;65;R;B;PAQ05a10</v>
          </cell>
          <cell r="B7362">
            <v>730069</v>
          </cell>
          <cell r="C7362" t="str">
            <v>R</v>
          </cell>
          <cell r="D7362" t="str">
            <v>REGIONAL</v>
          </cell>
          <cell r="E7362" t="str">
            <v>65</v>
          </cell>
          <cell r="F7362" t="str">
            <v>PAQ05a10</v>
          </cell>
          <cell r="G7362" t="str">
            <v>B</v>
          </cell>
          <cell r="H7362">
            <v>19.809999999999999</v>
          </cell>
        </row>
        <row r="7363">
          <cell r="A7363" t="str">
            <v>1;65;R;B;PAQ10a15</v>
          </cell>
          <cell r="B7363">
            <v>730069</v>
          </cell>
          <cell r="C7363" t="str">
            <v>R</v>
          </cell>
          <cell r="D7363" t="str">
            <v>REGIONAL</v>
          </cell>
          <cell r="E7363" t="str">
            <v>65</v>
          </cell>
          <cell r="F7363" t="str">
            <v>PAQ10a15</v>
          </cell>
          <cell r="G7363" t="str">
            <v>B</v>
          </cell>
          <cell r="H7363">
            <v>25.26</v>
          </cell>
        </row>
        <row r="7364">
          <cell r="A7364" t="str">
            <v>1;65;R;B;PAQ15a20</v>
          </cell>
          <cell r="B7364">
            <v>730069</v>
          </cell>
          <cell r="C7364" t="str">
            <v>R</v>
          </cell>
          <cell r="D7364" t="str">
            <v>REGIONAL</v>
          </cell>
          <cell r="E7364" t="str">
            <v>65</v>
          </cell>
          <cell r="F7364" t="str">
            <v>PAQ15a20</v>
          </cell>
          <cell r="G7364" t="str">
            <v>B</v>
          </cell>
          <cell r="H7364">
            <v>30.71</v>
          </cell>
        </row>
        <row r="7365">
          <cell r="A7365" t="str">
            <v>1;65;R;B;PAQ20a25</v>
          </cell>
          <cell r="B7365">
            <v>730069</v>
          </cell>
          <cell r="C7365" t="str">
            <v>R</v>
          </cell>
          <cell r="D7365" t="str">
            <v>REGIONAL</v>
          </cell>
          <cell r="E7365" t="str">
            <v>65</v>
          </cell>
          <cell r="F7365" t="str">
            <v>PAQ20a25</v>
          </cell>
          <cell r="G7365" t="str">
            <v>B</v>
          </cell>
          <cell r="H7365">
            <v>36.159999999999997</v>
          </cell>
        </row>
        <row r="7366">
          <cell r="A7366" t="str">
            <v>1;65;R;B;PAQ25a30</v>
          </cell>
          <cell r="B7366">
            <v>730069</v>
          </cell>
          <cell r="C7366" t="str">
            <v>R</v>
          </cell>
          <cell r="D7366" t="str">
            <v>REGIONAL</v>
          </cell>
          <cell r="E7366" t="str">
            <v>65</v>
          </cell>
          <cell r="F7366" t="str">
            <v>PAQ25a30</v>
          </cell>
          <cell r="G7366" t="str">
            <v>B</v>
          </cell>
          <cell r="H7366">
            <v>41.61</v>
          </cell>
        </row>
        <row r="7367">
          <cell r="A7367" t="str">
            <v>1;65;R;B;PAQ30a35</v>
          </cell>
          <cell r="B7367">
            <v>730069</v>
          </cell>
          <cell r="C7367" t="str">
            <v>R</v>
          </cell>
          <cell r="D7367" t="str">
            <v>REGIONAL</v>
          </cell>
          <cell r="E7367" t="str">
            <v>65</v>
          </cell>
          <cell r="F7367" t="str">
            <v>PAQ30a35</v>
          </cell>
          <cell r="G7367" t="str">
            <v>B</v>
          </cell>
          <cell r="H7367">
            <v>47.07</v>
          </cell>
        </row>
        <row r="7368">
          <cell r="A7368" t="str">
            <v>1;65;R;F;</v>
          </cell>
          <cell r="B7368">
            <v>730069</v>
          </cell>
          <cell r="C7368" t="str">
            <v>R</v>
          </cell>
          <cell r="D7368" t="str">
            <v>REGIONAL</v>
          </cell>
          <cell r="E7368" t="str">
            <v>65</v>
          </cell>
          <cell r="F7368" t="str">
            <v/>
          </cell>
          <cell r="G7368" t="str">
            <v>F</v>
          </cell>
          <cell r="H7368">
            <v>5.45</v>
          </cell>
        </row>
        <row r="7369">
          <cell r="A7369" t="str">
            <v>1;65;R;B;PAQ35a40</v>
          </cell>
          <cell r="B7369">
            <v>730069</v>
          </cell>
          <cell r="C7369" t="str">
            <v>R</v>
          </cell>
          <cell r="D7369" t="str">
            <v>REGIONAL</v>
          </cell>
          <cell r="E7369" t="str">
            <v>65</v>
          </cell>
          <cell r="F7369" t="str">
            <v>PAQ35a40</v>
          </cell>
          <cell r="G7369" t="str">
            <v>B</v>
          </cell>
          <cell r="H7369">
            <v>52.52</v>
          </cell>
        </row>
        <row r="7370">
          <cell r="A7370" t="str">
            <v>1;65;R;E;</v>
          </cell>
          <cell r="B7370">
            <v>730069</v>
          </cell>
          <cell r="C7370" t="str">
            <v>R</v>
          </cell>
          <cell r="D7370" t="str">
            <v>REGIONAL</v>
          </cell>
          <cell r="E7370" t="str">
            <v>65</v>
          </cell>
          <cell r="F7370" t="str">
            <v/>
          </cell>
          <cell r="G7370" t="str">
            <v>E</v>
          </cell>
          <cell r="H7370">
            <v>15.95</v>
          </cell>
        </row>
        <row r="7371">
          <cell r="A7371" t="str">
            <v>1;65;R;P;</v>
          </cell>
          <cell r="B7371">
            <v>730069</v>
          </cell>
          <cell r="C7371" t="str">
            <v>R</v>
          </cell>
          <cell r="D7371" t="str">
            <v>REGIONAL</v>
          </cell>
          <cell r="E7371" t="str">
            <v>65</v>
          </cell>
          <cell r="F7371" t="str">
            <v/>
          </cell>
          <cell r="G7371" t="str">
            <v>P</v>
          </cell>
          <cell r="H7371">
            <v>15.95</v>
          </cell>
        </row>
        <row r="7372">
          <cell r="A7372" t="str">
            <v>1;70;R;B;48L 15-25</v>
          </cell>
          <cell r="B7372">
            <v>730069</v>
          </cell>
          <cell r="C7372" t="str">
            <v>R</v>
          </cell>
          <cell r="D7372" t="str">
            <v>REGIONAL</v>
          </cell>
          <cell r="E7372" t="str">
            <v>70</v>
          </cell>
          <cell r="F7372" t="str">
            <v>48L 15-25</v>
          </cell>
          <cell r="G7372" t="str">
            <v>B</v>
          </cell>
          <cell r="H7372">
            <v>74.25</v>
          </cell>
        </row>
        <row r="7373">
          <cell r="A7373" t="str">
            <v>1;70;R;B;48LAR</v>
          </cell>
          <cell r="B7373">
            <v>730069</v>
          </cell>
          <cell r="C7373" t="str">
            <v>R</v>
          </cell>
          <cell r="D7373" t="str">
            <v>REGIONAL</v>
          </cell>
          <cell r="E7373" t="str">
            <v>70</v>
          </cell>
          <cell r="F7373" t="str">
            <v>48LAR</v>
          </cell>
          <cell r="G7373" t="str">
            <v>B</v>
          </cell>
          <cell r="H7373">
            <v>73.28</v>
          </cell>
        </row>
        <row r="7374">
          <cell r="A7374" t="str">
            <v>1;70;R;B;48M 15-25</v>
          </cell>
          <cell r="B7374">
            <v>730069</v>
          </cell>
          <cell r="C7374" t="str">
            <v>R</v>
          </cell>
          <cell r="D7374" t="str">
            <v>REGIONAL</v>
          </cell>
          <cell r="E7374" t="str">
            <v>70</v>
          </cell>
          <cell r="F7374" t="str">
            <v>48M 15-25</v>
          </cell>
          <cell r="G7374" t="str">
            <v>B</v>
          </cell>
          <cell r="H7374">
            <v>59.26</v>
          </cell>
        </row>
        <row r="7375">
          <cell r="A7375" t="str">
            <v>1;70;R;B;48MED</v>
          </cell>
          <cell r="B7375">
            <v>730069</v>
          </cell>
          <cell r="C7375" t="str">
            <v>R</v>
          </cell>
          <cell r="D7375" t="str">
            <v>REGIONAL</v>
          </cell>
          <cell r="E7375" t="str">
            <v>70</v>
          </cell>
          <cell r="F7375" t="str">
            <v>48MED</v>
          </cell>
          <cell r="G7375" t="str">
            <v>B</v>
          </cell>
          <cell r="H7375">
            <v>63.91</v>
          </cell>
        </row>
        <row r="7376">
          <cell r="A7376" t="str">
            <v>1;70;R;B;48S 15-25</v>
          </cell>
          <cell r="B7376">
            <v>730069</v>
          </cell>
          <cell r="C7376" t="str">
            <v>R</v>
          </cell>
          <cell r="D7376" t="str">
            <v>REGIONAL</v>
          </cell>
          <cell r="E7376" t="str">
            <v>70</v>
          </cell>
          <cell r="F7376" t="str">
            <v>48S 15-25</v>
          </cell>
          <cell r="G7376" t="str">
            <v>B</v>
          </cell>
          <cell r="H7376">
            <v>55.32</v>
          </cell>
        </row>
        <row r="7377">
          <cell r="A7377" t="str">
            <v>1;70;R;B;48SMA</v>
          </cell>
          <cell r="B7377">
            <v>730069</v>
          </cell>
          <cell r="C7377" t="str">
            <v>R</v>
          </cell>
          <cell r="D7377" t="str">
            <v>REGIONAL</v>
          </cell>
          <cell r="E7377" t="str">
            <v>70</v>
          </cell>
          <cell r="F7377" t="str">
            <v>48SMA</v>
          </cell>
          <cell r="G7377" t="str">
            <v>B</v>
          </cell>
          <cell r="H7377">
            <v>61.71</v>
          </cell>
        </row>
        <row r="7378">
          <cell r="A7378" t="str">
            <v>1;70;R;B;96M 15-25</v>
          </cell>
          <cell r="B7378">
            <v>730069</v>
          </cell>
          <cell r="C7378" t="str">
            <v>R</v>
          </cell>
          <cell r="D7378" t="str">
            <v>REGIONAL</v>
          </cell>
          <cell r="E7378" t="str">
            <v>70</v>
          </cell>
          <cell r="F7378" t="str">
            <v>96M 15-25</v>
          </cell>
          <cell r="G7378" t="str">
            <v>B</v>
          </cell>
          <cell r="H7378">
            <v>85.33</v>
          </cell>
        </row>
        <row r="7379">
          <cell r="A7379" t="str">
            <v>1;70;R;B;96MED</v>
          </cell>
          <cell r="B7379">
            <v>730069</v>
          </cell>
          <cell r="C7379" t="str">
            <v>R</v>
          </cell>
          <cell r="D7379" t="str">
            <v>REGIONAL</v>
          </cell>
          <cell r="E7379" t="str">
            <v>70</v>
          </cell>
          <cell r="F7379" t="str">
            <v>96MED</v>
          </cell>
          <cell r="G7379" t="str">
            <v>B</v>
          </cell>
          <cell r="H7379">
            <v>84.71</v>
          </cell>
        </row>
        <row r="7380">
          <cell r="A7380" t="str">
            <v>1;70;R;B;96S 15-25</v>
          </cell>
          <cell r="B7380">
            <v>730069</v>
          </cell>
          <cell r="C7380" t="str">
            <v>R</v>
          </cell>
          <cell r="D7380" t="str">
            <v>REGIONAL</v>
          </cell>
          <cell r="E7380" t="str">
            <v>70</v>
          </cell>
          <cell r="F7380" t="str">
            <v>96S 15-25</v>
          </cell>
          <cell r="G7380" t="str">
            <v>B</v>
          </cell>
          <cell r="H7380">
            <v>67.08</v>
          </cell>
        </row>
        <row r="7381">
          <cell r="A7381" t="str">
            <v>1;70;R;B;96SMA</v>
          </cell>
          <cell r="B7381">
            <v>730069</v>
          </cell>
          <cell r="C7381" t="str">
            <v>R</v>
          </cell>
          <cell r="D7381" t="str">
            <v>REGIONAL</v>
          </cell>
          <cell r="E7381" t="str">
            <v>70</v>
          </cell>
          <cell r="F7381" t="str">
            <v>96SMA</v>
          </cell>
          <cell r="G7381" t="str">
            <v>B</v>
          </cell>
          <cell r="H7381">
            <v>72.25</v>
          </cell>
        </row>
        <row r="7382">
          <cell r="A7382" t="str">
            <v>1;72;R;B;48L 15-25</v>
          </cell>
          <cell r="B7382">
            <v>730069</v>
          </cell>
          <cell r="C7382" t="str">
            <v>R</v>
          </cell>
          <cell r="D7382" t="str">
            <v>REGIONAL</v>
          </cell>
          <cell r="E7382" t="str">
            <v>72</v>
          </cell>
          <cell r="F7382" t="str">
            <v>48L 15-25</v>
          </cell>
          <cell r="G7382" t="str">
            <v>B</v>
          </cell>
          <cell r="H7382">
            <v>43.52</v>
          </cell>
        </row>
        <row r="7383">
          <cell r="A7383" t="str">
            <v>1;72;R;B;48LAR</v>
          </cell>
          <cell r="B7383">
            <v>730069</v>
          </cell>
          <cell r="C7383" t="str">
            <v>R</v>
          </cell>
          <cell r="D7383" t="str">
            <v>REGIONAL</v>
          </cell>
          <cell r="E7383" t="str">
            <v>72</v>
          </cell>
          <cell r="F7383" t="str">
            <v>48LAR</v>
          </cell>
          <cell r="G7383" t="str">
            <v>B</v>
          </cell>
          <cell r="H7383">
            <v>40.07</v>
          </cell>
        </row>
        <row r="7384">
          <cell r="A7384" t="str">
            <v>1;72;R;B;48M 15-25</v>
          </cell>
          <cell r="B7384">
            <v>730069</v>
          </cell>
          <cell r="C7384" t="str">
            <v>R</v>
          </cell>
          <cell r="D7384" t="str">
            <v>REGIONAL</v>
          </cell>
          <cell r="E7384" t="str">
            <v>72</v>
          </cell>
          <cell r="F7384" t="str">
            <v>48M 15-25</v>
          </cell>
          <cell r="G7384" t="str">
            <v>B</v>
          </cell>
          <cell r="H7384">
            <v>36.24</v>
          </cell>
        </row>
        <row r="7385">
          <cell r="A7385" t="str">
            <v>1;72;R;B;48MED</v>
          </cell>
          <cell r="B7385">
            <v>730069</v>
          </cell>
          <cell r="C7385" t="str">
            <v>R</v>
          </cell>
          <cell r="D7385" t="str">
            <v>REGIONAL</v>
          </cell>
          <cell r="E7385" t="str">
            <v>72</v>
          </cell>
          <cell r="F7385" t="str">
            <v>48MED</v>
          </cell>
          <cell r="G7385" t="str">
            <v>B</v>
          </cell>
          <cell r="H7385">
            <v>37.11</v>
          </cell>
        </row>
        <row r="7386">
          <cell r="A7386" t="str">
            <v>1;72;R;B;48S 15-25</v>
          </cell>
          <cell r="B7386">
            <v>730069</v>
          </cell>
          <cell r="C7386" t="str">
            <v>R</v>
          </cell>
          <cell r="D7386" t="str">
            <v>REGIONAL</v>
          </cell>
          <cell r="E7386" t="str">
            <v>72</v>
          </cell>
          <cell r="F7386" t="str">
            <v>48S 15-25</v>
          </cell>
          <cell r="G7386" t="str">
            <v>B</v>
          </cell>
          <cell r="H7386">
            <v>32.340000000000003</v>
          </cell>
        </row>
        <row r="7387">
          <cell r="A7387" t="str">
            <v>1;72;R;B;48SMA</v>
          </cell>
          <cell r="B7387">
            <v>730069</v>
          </cell>
          <cell r="C7387" t="str">
            <v>R</v>
          </cell>
          <cell r="D7387" t="str">
            <v>REGIONAL</v>
          </cell>
          <cell r="E7387" t="str">
            <v>72</v>
          </cell>
          <cell r="F7387" t="str">
            <v>48SMA</v>
          </cell>
          <cell r="G7387" t="str">
            <v>B</v>
          </cell>
          <cell r="H7387">
            <v>34.9</v>
          </cell>
        </row>
        <row r="7388">
          <cell r="A7388" t="str">
            <v>1;72;R;B;96M 15-25</v>
          </cell>
          <cell r="B7388">
            <v>730069</v>
          </cell>
          <cell r="C7388" t="str">
            <v>R</v>
          </cell>
          <cell r="D7388" t="str">
            <v>REGIONAL</v>
          </cell>
          <cell r="E7388" t="str">
            <v>72</v>
          </cell>
          <cell r="F7388" t="str">
            <v>96M 15-25</v>
          </cell>
          <cell r="G7388" t="str">
            <v>B</v>
          </cell>
          <cell r="H7388">
            <v>48.89</v>
          </cell>
        </row>
        <row r="7389">
          <cell r="A7389" t="str">
            <v>1;72;R;B;96MED</v>
          </cell>
          <cell r="B7389">
            <v>730069</v>
          </cell>
          <cell r="C7389" t="str">
            <v>R</v>
          </cell>
          <cell r="D7389" t="str">
            <v>REGIONAL</v>
          </cell>
          <cell r="E7389" t="str">
            <v>72</v>
          </cell>
          <cell r="F7389" t="str">
            <v>96MED</v>
          </cell>
          <cell r="G7389" t="str">
            <v>B</v>
          </cell>
          <cell r="H7389">
            <v>49.79</v>
          </cell>
        </row>
        <row r="7390">
          <cell r="A7390" t="str">
            <v>1;72;R;B;96S 15-25</v>
          </cell>
          <cell r="B7390">
            <v>730069</v>
          </cell>
          <cell r="C7390" t="str">
            <v>R</v>
          </cell>
          <cell r="D7390" t="str">
            <v>REGIONAL</v>
          </cell>
          <cell r="E7390" t="str">
            <v>72</v>
          </cell>
          <cell r="F7390" t="str">
            <v>96S 15-25</v>
          </cell>
          <cell r="G7390" t="str">
            <v>B</v>
          </cell>
          <cell r="H7390">
            <v>37.35</v>
          </cell>
        </row>
        <row r="7391">
          <cell r="A7391" t="str">
            <v>1;72;R;B;96SMA</v>
          </cell>
          <cell r="B7391">
            <v>730069</v>
          </cell>
          <cell r="C7391" t="str">
            <v>R</v>
          </cell>
          <cell r="D7391" t="str">
            <v>REGIONAL</v>
          </cell>
          <cell r="E7391" t="str">
            <v>72</v>
          </cell>
          <cell r="F7391" t="str">
            <v>96SMA</v>
          </cell>
          <cell r="G7391" t="str">
            <v>B</v>
          </cell>
          <cell r="H7391">
            <v>39.020000000000003</v>
          </cell>
        </row>
        <row r="7392">
          <cell r="A7392" t="str">
            <v>1;73;R;B;48L 15-25</v>
          </cell>
          <cell r="B7392">
            <v>730069</v>
          </cell>
          <cell r="C7392" t="str">
            <v>R</v>
          </cell>
          <cell r="D7392" t="str">
            <v>REGIONAL</v>
          </cell>
          <cell r="E7392" t="str">
            <v>73</v>
          </cell>
          <cell r="F7392" t="str">
            <v>48L 15-25</v>
          </cell>
          <cell r="G7392" t="str">
            <v>B</v>
          </cell>
          <cell r="H7392">
            <v>49.42</v>
          </cell>
        </row>
        <row r="7393">
          <cell r="A7393" t="str">
            <v>1;73;R;B;48LAR</v>
          </cell>
          <cell r="B7393">
            <v>730069</v>
          </cell>
          <cell r="C7393" t="str">
            <v>R</v>
          </cell>
          <cell r="D7393" t="str">
            <v>REGIONAL</v>
          </cell>
          <cell r="E7393" t="str">
            <v>73</v>
          </cell>
          <cell r="F7393" t="str">
            <v>48LAR</v>
          </cell>
          <cell r="G7393" t="str">
            <v>B</v>
          </cell>
          <cell r="H7393">
            <v>47.85</v>
          </cell>
        </row>
        <row r="7394">
          <cell r="A7394" t="str">
            <v>1;73;R;B;48M 15-25</v>
          </cell>
          <cell r="B7394">
            <v>730069</v>
          </cell>
          <cell r="C7394" t="str">
            <v>R</v>
          </cell>
          <cell r="D7394" t="str">
            <v>REGIONAL</v>
          </cell>
          <cell r="E7394" t="str">
            <v>73</v>
          </cell>
          <cell r="F7394" t="str">
            <v>48M 15-25</v>
          </cell>
          <cell r="G7394" t="str">
            <v>B</v>
          </cell>
          <cell r="H7394">
            <v>43.06</v>
          </cell>
        </row>
        <row r="7395">
          <cell r="A7395" t="str">
            <v>1;73;R;B;48MED</v>
          </cell>
          <cell r="B7395">
            <v>730069</v>
          </cell>
          <cell r="C7395" t="str">
            <v>R</v>
          </cell>
          <cell r="D7395" t="str">
            <v>REGIONAL</v>
          </cell>
          <cell r="E7395" t="str">
            <v>73</v>
          </cell>
          <cell r="F7395" t="str">
            <v>48MED</v>
          </cell>
          <cell r="G7395" t="str">
            <v>B</v>
          </cell>
          <cell r="H7395">
            <v>44.91</v>
          </cell>
        </row>
        <row r="7396">
          <cell r="A7396" t="str">
            <v>1;73;R;B;48S 15-25</v>
          </cell>
          <cell r="B7396">
            <v>730069</v>
          </cell>
          <cell r="C7396" t="str">
            <v>R</v>
          </cell>
          <cell r="D7396" t="str">
            <v>REGIONAL</v>
          </cell>
          <cell r="E7396" t="str">
            <v>73</v>
          </cell>
          <cell r="F7396" t="str">
            <v>48S 15-25</v>
          </cell>
          <cell r="G7396" t="str">
            <v>B</v>
          </cell>
          <cell r="H7396">
            <v>39.15</v>
          </cell>
        </row>
        <row r="7397">
          <cell r="A7397" t="str">
            <v>1;73;R;B;48SMA</v>
          </cell>
          <cell r="B7397">
            <v>730069</v>
          </cell>
          <cell r="C7397" t="str">
            <v>R</v>
          </cell>
          <cell r="D7397" t="str">
            <v>REGIONAL</v>
          </cell>
          <cell r="E7397" t="str">
            <v>73</v>
          </cell>
          <cell r="F7397" t="str">
            <v>48SMA</v>
          </cell>
          <cell r="G7397" t="str">
            <v>B</v>
          </cell>
          <cell r="H7397">
            <v>42.7</v>
          </cell>
        </row>
        <row r="7398">
          <cell r="A7398" t="str">
            <v>1;73;R;B;96M 15-25</v>
          </cell>
          <cell r="B7398">
            <v>730069</v>
          </cell>
          <cell r="C7398" t="str">
            <v>R</v>
          </cell>
          <cell r="D7398" t="str">
            <v>REGIONAL</v>
          </cell>
          <cell r="E7398" t="str">
            <v>73</v>
          </cell>
          <cell r="F7398" t="str">
            <v>96M 15-25</v>
          </cell>
          <cell r="G7398" t="str">
            <v>B</v>
          </cell>
          <cell r="H7398">
            <v>54.83</v>
          </cell>
        </row>
        <row r="7399">
          <cell r="A7399" t="str">
            <v>1;73;R;B;96MED</v>
          </cell>
          <cell r="B7399">
            <v>730069</v>
          </cell>
          <cell r="C7399" t="str">
            <v>R</v>
          </cell>
          <cell r="D7399" t="str">
            <v>REGIONAL</v>
          </cell>
          <cell r="E7399" t="str">
            <v>73</v>
          </cell>
          <cell r="F7399" t="str">
            <v>96MED</v>
          </cell>
          <cell r="G7399" t="str">
            <v>B</v>
          </cell>
          <cell r="H7399">
            <v>54.48</v>
          </cell>
        </row>
        <row r="7400">
          <cell r="A7400" t="str">
            <v>1;73;R;B;96S 15-25</v>
          </cell>
          <cell r="B7400">
            <v>730069</v>
          </cell>
          <cell r="C7400" t="str">
            <v>R</v>
          </cell>
          <cell r="D7400" t="str">
            <v>REGIONAL</v>
          </cell>
          <cell r="E7400" t="str">
            <v>73</v>
          </cell>
          <cell r="F7400" t="str">
            <v>96S 15-25</v>
          </cell>
          <cell r="G7400" t="str">
            <v>B</v>
          </cell>
          <cell r="H7400">
            <v>44.2</v>
          </cell>
        </row>
        <row r="7401">
          <cell r="A7401" t="str">
            <v>1;73;R;B;96SMA</v>
          </cell>
          <cell r="B7401">
            <v>730069</v>
          </cell>
          <cell r="C7401" t="str">
            <v>R</v>
          </cell>
          <cell r="D7401" t="str">
            <v>REGIONAL</v>
          </cell>
          <cell r="E7401" t="str">
            <v>73</v>
          </cell>
          <cell r="F7401" t="str">
            <v>96SMA</v>
          </cell>
          <cell r="G7401" t="str">
            <v>B</v>
          </cell>
          <cell r="H7401">
            <v>46.81</v>
          </cell>
        </row>
        <row r="7402">
          <cell r="A7402" t="str">
            <v>1;78;R;B;48L 15-25</v>
          </cell>
          <cell r="B7402">
            <v>730069</v>
          </cell>
          <cell r="C7402" t="str">
            <v>R</v>
          </cell>
          <cell r="D7402" t="str">
            <v>REGIONAL</v>
          </cell>
          <cell r="E7402" t="str">
            <v>78</v>
          </cell>
          <cell r="F7402" t="str">
            <v>48L 15-25</v>
          </cell>
          <cell r="G7402" t="str">
            <v>B</v>
          </cell>
          <cell r="H7402">
            <v>5</v>
          </cell>
        </row>
        <row r="7403">
          <cell r="A7403" t="str">
            <v>1;78;R;B;48LAR</v>
          </cell>
          <cell r="B7403">
            <v>730069</v>
          </cell>
          <cell r="C7403" t="str">
            <v>R</v>
          </cell>
          <cell r="D7403" t="str">
            <v>REGIONAL</v>
          </cell>
          <cell r="E7403" t="str">
            <v>78</v>
          </cell>
          <cell r="F7403" t="str">
            <v>48LAR</v>
          </cell>
          <cell r="G7403" t="str">
            <v>B</v>
          </cell>
          <cell r="H7403">
            <v>5</v>
          </cell>
        </row>
        <row r="7404">
          <cell r="A7404" t="str">
            <v>1;78;R;B;48M 15-25</v>
          </cell>
          <cell r="B7404">
            <v>730069</v>
          </cell>
          <cell r="C7404" t="str">
            <v>R</v>
          </cell>
          <cell r="D7404" t="str">
            <v>REGIONAL</v>
          </cell>
          <cell r="E7404" t="str">
            <v>78</v>
          </cell>
          <cell r="F7404" t="str">
            <v>48M 15-25</v>
          </cell>
          <cell r="G7404" t="str">
            <v>B</v>
          </cell>
          <cell r="H7404">
            <v>5</v>
          </cell>
        </row>
        <row r="7405">
          <cell r="A7405" t="str">
            <v>1;78;R;B;48MED</v>
          </cell>
          <cell r="B7405">
            <v>730069</v>
          </cell>
          <cell r="C7405" t="str">
            <v>R</v>
          </cell>
          <cell r="D7405" t="str">
            <v>REGIONAL</v>
          </cell>
          <cell r="E7405" t="str">
            <v>78</v>
          </cell>
          <cell r="F7405" t="str">
            <v>48MED</v>
          </cell>
          <cell r="G7405" t="str">
            <v>B</v>
          </cell>
          <cell r="H7405">
            <v>5</v>
          </cell>
        </row>
        <row r="7406">
          <cell r="A7406" t="str">
            <v>1;78;R;B;48S 15-25</v>
          </cell>
          <cell r="B7406">
            <v>730069</v>
          </cell>
          <cell r="C7406" t="str">
            <v>R</v>
          </cell>
          <cell r="D7406" t="str">
            <v>REGIONAL</v>
          </cell>
          <cell r="E7406" t="str">
            <v>78</v>
          </cell>
          <cell r="F7406" t="str">
            <v>48S 15-25</v>
          </cell>
          <cell r="G7406" t="str">
            <v>B</v>
          </cell>
          <cell r="H7406">
            <v>5</v>
          </cell>
        </row>
        <row r="7407">
          <cell r="A7407" t="str">
            <v>1;78;R;B;48SMA</v>
          </cell>
          <cell r="B7407">
            <v>730069</v>
          </cell>
          <cell r="C7407" t="str">
            <v>R</v>
          </cell>
          <cell r="D7407" t="str">
            <v>REGIONAL</v>
          </cell>
          <cell r="E7407" t="str">
            <v>78</v>
          </cell>
          <cell r="F7407" t="str">
            <v>48SMA</v>
          </cell>
          <cell r="G7407" t="str">
            <v>B</v>
          </cell>
          <cell r="H7407">
            <v>5</v>
          </cell>
        </row>
        <row r="7408">
          <cell r="A7408" t="str">
            <v>1;78;R;B;96M 15-25</v>
          </cell>
          <cell r="B7408">
            <v>730069</v>
          </cell>
          <cell r="C7408" t="str">
            <v>R</v>
          </cell>
          <cell r="D7408" t="str">
            <v>REGIONAL</v>
          </cell>
          <cell r="E7408" t="str">
            <v>78</v>
          </cell>
          <cell r="F7408" t="str">
            <v>96M 15-25</v>
          </cell>
          <cell r="G7408" t="str">
            <v>B</v>
          </cell>
          <cell r="H7408">
            <v>5</v>
          </cell>
        </row>
        <row r="7409">
          <cell r="A7409" t="str">
            <v>1;78;R;B;96MED</v>
          </cell>
          <cell r="B7409">
            <v>730069</v>
          </cell>
          <cell r="C7409" t="str">
            <v>R</v>
          </cell>
          <cell r="D7409" t="str">
            <v>REGIONAL</v>
          </cell>
          <cell r="E7409" t="str">
            <v>78</v>
          </cell>
          <cell r="F7409" t="str">
            <v>96MED</v>
          </cell>
          <cell r="G7409" t="str">
            <v>B</v>
          </cell>
          <cell r="H7409">
            <v>5</v>
          </cell>
        </row>
        <row r="7410">
          <cell r="A7410" t="str">
            <v>1;78;R;B;96S 15-25</v>
          </cell>
          <cell r="B7410">
            <v>730069</v>
          </cell>
          <cell r="C7410" t="str">
            <v>R</v>
          </cell>
          <cell r="D7410" t="str">
            <v>REGIONAL</v>
          </cell>
          <cell r="E7410" t="str">
            <v>78</v>
          </cell>
          <cell r="F7410" t="str">
            <v>96S 15-25</v>
          </cell>
          <cell r="G7410" t="str">
            <v>B</v>
          </cell>
          <cell r="H7410">
            <v>5</v>
          </cell>
        </row>
        <row r="7411">
          <cell r="A7411" t="str">
            <v>1;78;R;B;96SMA</v>
          </cell>
          <cell r="B7411">
            <v>730069</v>
          </cell>
          <cell r="C7411" t="str">
            <v>R</v>
          </cell>
          <cell r="D7411" t="str">
            <v>REGIONAL</v>
          </cell>
          <cell r="E7411" t="str">
            <v>78</v>
          </cell>
          <cell r="F7411" t="str">
            <v>96SMA</v>
          </cell>
          <cell r="G7411" t="str">
            <v>B</v>
          </cell>
          <cell r="H7411">
            <v>5</v>
          </cell>
        </row>
        <row r="7412">
          <cell r="A7412" t="str">
            <v>1;79;R;B;48L 15-25</v>
          </cell>
          <cell r="B7412">
            <v>730069</v>
          </cell>
          <cell r="C7412" t="str">
            <v>R</v>
          </cell>
          <cell r="D7412" t="str">
            <v>REGIONAL</v>
          </cell>
          <cell r="E7412" t="str">
            <v>79</v>
          </cell>
          <cell r="F7412" t="str">
            <v>48L 15-25</v>
          </cell>
          <cell r="G7412" t="str">
            <v>B</v>
          </cell>
          <cell r="H7412">
            <v>0</v>
          </cell>
        </row>
        <row r="7413">
          <cell r="A7413" t="str">
            <v>1;79;R;B;48LAR</v>
          </cell>
          <cell r="B7413">
            <v>730069</v>
          </cell>
          <cell r="C7413" t="str">
            <v>R</v>
          </cell>
          <cell r="D7413" t="str">
            <v>REGIONAL</v>
          </cell>
          <cell r="E7413" t="str">
            <v>79</v>
          </cell>
          <cell r="F7413" t="str">
            <v>48LAR</v>
          </cell>
          <cell r="G7413" t="str">
            <v>B</v>
          </cell>
          <cell r="H7413">
            <v>0</v>
          </cell>
        </row>
        <row r="7414">
          <cell r="A7414" t="str">
            <v>1;79;R;B;48M 15-25</v>
          </cell>
          <cell r="B7414">
            <v>730069</v>
          </cell>
          <cell r="C7414" t="str">
            <v>R</v>
          </cell>
          <cell r="D7414" t="str">
            <v>REGIONAL</v>
          </cell>
          <cell r="E7414" t="str">
            <v>79</v>
          </cell>
          <cell r="F7414" t="str">
            <v>48M 15-25</v>
          </cell>
          <cell r="G7414" t="str">
            <v>B</v>
          </cell>
          <cell r="H7414">
            <v>0</v>
          </cell>
        </row>
        <row r="7415">
          <cell r="A7415" t="str">
            <v>1;79;R;B;48MED</v>
          </cell>
          <cell r="B7415">
            <v>730069</v>
          </cell>
          <cell r="C7415" t="str">
            <v>R</v>
          </cell>
          <cell r="D7415" t="str">
            <v>REGIONAL</v>
          </cell>
          <cell r="E7415" t="str">
            <v>79</v>
          </cell>
          <cell r="F7415" t="str">
            <v>48MED</v>
          </cell>
          <cell r="G7415" t="str">
            <v>B</v>
          </cell>
          <cell r="H7415">
            <v>0</v>
          </cell>
        </row>
        <row r="7416">
          <cell r="A7416" t="str">
            <v>1;79;R;B;48S 15-25</v>
          </cell>
          <cell r="B7416">
            <v>730069</v>
          </cell>
          <cell r="C7416" t="str">
            <v>R</v>
          </cell>
          <cell r="D7416" t="str">
            <v>REGIONAL</v>
          </cell>
          <cell r="E7416" t="str">
            <v>79</v>
          </cell>
          <cell r="F7416" t="str">
            <v>48S 15-25</v>
          </cell>
          <cell r="G7416" t="str">
            <v>B</v>
          </cell>
          <cell r="H7416">
            <v>0</v>
          </cell>
        </row>
        <row r="7417">
          <cell r="A7417" t="str">
            <v>1;79;R;B;48SMA</v>
          </cell>
          <cell r="B7417">
            <v>730069</v>
          </cell>
          <cell r="C7417" t="str">
            <v>R</v>
          </cell>
          <cell r="D7417" t="str">
            <v>REGIONAL</v>
          </cell>
          <cell r="E7417" t="str">
            <v>79</v>
          </cell>
          <cell r="F7417" t="str">
            <v>48SMA</v>
          </cell>
          <cell r="G7417" t="str">
            <v>B</v>
          </cell>
          <cell r="H7417">
            <v>0</v>
          </cell>
        </row>
        <row r="7418">
          <cell r="A7418" t="str">
            <v>1;79;R;B;96M 15-25</v>
          </cell>
          <cell r="B7418">
            <v>730069</v>
          </cell>
          <cell r="C7418" t="str">
            <v>R</v>
          </cell>
          <cell r="D7418" t="str">
            <v>REGIONAL</v>
          </cell>
          <cell r="E7418" t="str">
            <v>79</v>
          </cell>
          <cell r="F7418" t="str">
            <v>96M 15-25</v>
          </cell>
          <cell r="G7418" t="str">
            <v>B</v>
          </cell>
          <cell r="H7418">
            <v>0</v>
          </cell>
        </row>
        <row r="7419">
          <cell r="A7419" t="str">
            <v>1;79;R;B;96MED</v>
          </cell>
          <cell r="B7419">
            <v>730069</v>
          </cell>
          <cell r="C7419" t="str">
            <v>R</v>
          </cell>
          <cell r="D7419" t="str">
            <v>REGIONAL</v>
          </cell>
          <cell r="E7419" t="str">
            <v>79</v>
          </cell>
          <cell r="F7419" t="str">
            <v>96MED</v>
          </cell>
          <cell r="G7419" t="str">
            <v>B</v>
          </cell>
          <cell r="H7419">
            <v>0</v>
          </cell>
        </row>
        <row r="7420">
          <cell r="A7420" t="str">
            <v>1;79;R;B;96S 15-25</v>
          </cell>
          <cell r="B7420">
            <v>730069</v>
          </cell>
          <cell r="C7420" t="str">
            <v>R</v>
          </cell>
          <cell r="D7420" t="str">
            <v>REGIONAL</v>
          </cell>
          <cell r="E7420" t="str">
            <v>79</v>
          </cell>
          <cell r="F7420" t="str">
            <v>96S 15-25</v>
          </cell>
          <cell r="G7420" t="str">
            <v>B</v>
          </cell>
          <cell r="H7420">
            <v>0</v>
          </cell>
        </row>
        <row r="7421">
          <cell r="A7421" t="str">
            <v>1;79;R;B;96SMA</v>
          </cell>
          <cell r="B7421">
            <v>730069</v>
          </cell>
          <cell r="C7421" t="str">
            <v>R</v>
          </cell>
          <cell r="D7421" t="str">
            <v>REGIONAL</v>
          </cell>
          <cell r="E7421" t="str">
            <v>79</v>
          </cell>
          <cell r="F7421" t="str">
            <v>96SMA</v>
          </cell>
          <cell r="G7421" t="str">
            <v>B</v>
          </cell>
          <cell r="H7421">
            <v>0</v>
          </cell>
        </row>
        <row r="7422">
          <cell r="A7422" t="str">
            <v>1;90;R;B;PAQ00a20</v>
          </cell>
          <cell r="B7422">
            <v>730069</v>
          </cell>
          <cell r="C7422" t="str">
            <v>R</v>
          </cell>
          <cell r="D7422" t="str">
            <v>REGIONAL</v>
          </cell>
          <cell r="E7422" t="str">
            <v>90</v>
          </cell>
          <cell r="F7422" t="str">
            <v>PAQ00a20</v>
          </cell>
          <cell r="G7422" t="str">
            <v>B</v>
          </cell>
          <cell r="H7422">
            <v>4.4400000000000004</v>
          </cell>
        </row>
        <row r="7423">
          <cell r="A7423" t="str">
            <v>1;91;R;B;PAQ00a20</v>
          </cell>
          <cell r="B7423">
            <v>730069</v>
          </cell>
          <cell r="C7423" t="str">
            <v>R</v>
          </cell>
          <cell r="D7423" t="str">
            <v>REGIONAL</v>
          </cell>
          <cell r="E7423" t="str">
            <v>91</v>
          </cell>
          <cell r="F7423" t="str">
            <v>PAQ00a20</v>
          </cell>
          <cell r="G7423" t="str">
            <v>B</v>
          </cell>
          <cell r="H7423">
            <v>4.4400000000000004</v>
          </cell>
        </row>
        <row r="7424">
          <cell r="A7424" t="str">
            <v>1;95;R;B;PAQ00a20</v>
          </cell>
          <cell r="B7424">
            <v>730069</v>
          </cell>
          <cell r="C7424" t="str">
            <v>R</v>
          </cell>
          <cell r="D7424" t="str">
            <v>REGIONAL</v>
          </cell>
          <cell r="E7424" t="str">
            <v>95</v>
          </cell>
          <cell r="F7424" t="str">
            <v>PAQ00a20</v>
          </cell>
          <cell r="G7424" t="str">
            <v>B</v>
          </cell>
          <cell r="H7424">
            <v>4.4400000000000004</v>
          </cell>
        </row>
        <row r="7425">
          <cell r="A7425" t="str">
            <v>1;96;R;B;PAQ00a20</v>
          </cell>
          <cell r="B7425">
            <v>730069</v>
          </cell>
          <cell r="C7425" t="str">
            <v>R</v>
          </cell>
          <cell r="D7425" t="str">
            <v>REGIONAL</v>
          </cell>
          <cell r="E7425" t="str">
            <v>96</v>
          </cell>
          <cell r="F7425" t="str">
            <v>PAQ00a20</v>
          </cell>
          <cell r="G7425" t="str">
            <v>B</v>
          </cell>
          <cell r="H7425">
            <v>2.2000000000000002</v>
          </cell>
        </row>
        <row r="7426">
          <cell r="A7426" t="str">
            <v>1;E;RB;B;BAG</v>
          </cell>
          <cell r="B7426">
            <v>730069</v>
          </cell>
          <cell r="C7426" t="str">
            <v>RB</v>
          </cell>
          <cell r="D7426" t="str">
            <v>INTRA BALEARES</v>
          </cell>
          <cell r="E7426" t="str">
            <v>E</v>
          </cell>
          <cell r="F7426" t="str">
            <v>BAG</v>
          </cell>
          <cell r="G7426" t="str">
            <v>B</v>
          </cell>
          <cell r="H7426">
            <v>0</v>
          </cell>
        </row>
        <row r="7427">
          <cell r="A7427" t="str">
            <v>1;E;RB;B;PAQ00a05</v>
          </cell>
          <cell r="B7427">
            <v>730069</v>
          </cell>
          <cell r="C7427" t="str">
            <v>RB</v>
          </cell>
          <cell r="D7427" t="str">
            <v>INTRA BALEARES</v>
          </cell>
          <cell r="E7427" t="str">
            <v>E</v>
          </cell>
          <cell r="F7427" t="str">
            <v>PAQ00a05</v>
          </cell>
          <cell r="G7427" t="str">
            <v>B</v>
          </cell>
          <cell r="H7427">
            <v>0</v>
          </cell>
        </row>
        <row r="7428">
          <cell r="A7428" t="str">
            <v>1;E;RB;B;PAQ05a10</v>
          </cell>
          <cell r="B7428">
            <v>730069</v>
          </cell>
          <cell r="C7428" t="str">
            <v>RB</v>
          </cell>
          <cell r="D7428" t="str">
            <v>INTRA BALEARES</v>
          </cell>
          <cell r="E7428" t="str">
            <v>E</v>
          </cell>
          <cell r="F7428" t="str">
            <v>PAQ05a10</v>
          </cell>
          <cell r="G7428" t="str">
            <v>B</v>
          </cell>
          <cell r="H7428">
            <v>0</v>
          </cell>
        </row>
        <row r="7429">
          <cell r="A7429" t="str">
            <v>1;E;RB;B;PAQ10a15</v>
          </cell>
          <cell r="B7429">
            <v>730069</v>
          </cell>
          <cell r="C7429" t="str">
            <v>RB</v>
          </cell>
          <cell r="D7429" t="str">
            <v>INTRA BALEARES</v>
          </cell>
          <cell r="E7429" t="str">
            <v>E</v>
          </cell>
          <cell r="F7429" t="str">
            <v>PAQ10a15</v>
          </cell>
          <cell r="G7429" t="str">
            <v>B</v>
          </cell>
          <cell r="H7429">
            <v>0</v>
          </cell>
        </row>
        <row r="7430">
          <cell r="A7430" t="str">
            <v>1;E;RB;B;PAQ15a20</v>
          </cell>
          <cell r="B7430">
            <v>730069</v>
          </cell>
          <cell r="C7430" t="str">
            <v>RB</v>
          </cell>
          <cell r="D7430" t="str">
            <v>INTRA BALEARES</v>
          </cell>
          <cell r="E7430" t="str">
            <v>E</v>
          </cell>
          <cell r="F7430" t="str">
            <v>PAQ15a20</v>
          </cell>
          <cell r="G7430" t="str">
            <v>B</v>
          </cell>
          <cell r="H7430">
            <v>0</v>
          </cell>
        </row>
        <row r="7431">
          <cell r="A7431" t="str">
            <v>1;E;RB;B;PAQ20a25</v>
          </cell>
          <cell r="B7431">
            <v>730069</v>
          </cell>
          <cell r="C7431" t="str">
            <v>RB</v>
          </cell>
          <cell r="D7431" t="str">
            <v>INTRA BALEARES</v>
          </cell>
          <cell r="E7431" t="str">
            <v>E</v>
          </cell>
          <cell r="F7431" t="str">
            <v>PAQ20a25</v>
          </cell>
          <cell r="G7431" t="str">
            <v>B</v>
          </cell>
          <cell r="H7431">
            <v>0</v>
          </cell>
        </row>
        <row r="7432">
          <cell r="A7432" t="str">
            <v>1;E;RB;B;PAQ25a30</v>
          </cell>
          <cell r="B7432">
            <v>730069</v>
          </cell>
          <cell r="C7432" t="str">
            <v>RB</v>
          </cell>
          <cell r="D7432" t="str">
            <v>INTRA BALEARES</v>
          </cell>
          <cell r="E7432" t="str">
            <v>E</v>
          </cell>
          <cell r="F7432" t="str">
            <v>PAQ25a30</v>
          </cell>
          <cell r="G7432" t="str">
            <v>B</v>
          </cell>
          <cell r="H7432">
            <v>0</v>
          </cell>
        </row>
        <row r="7433">
          <cell r="A7433" t="str">
            <v>1;E;RB;B;PAQ30a35</v>
          </cell>
          <cell r="B7433">
            <v>730069</v>
          </cell>
          <cell r="C7433" t="str">
            <v>RB</v>
          </cell>
          <cell r="D7433" t="str">
            <v>INTRA BALEARES</v>
          </cell>
          <cell r="E7433" t="str">
            <v>E</v>
          </cell>
          <cell r="F7433" t="str">
            <v>PAQ30a35</v>
          </cell>
          <cell r="G7433" t="str">
            <v>B</v>
          </cell>
          <cell r="H7433">
            <v>0</v>
          </cell>
        </row>
        <row r="7434">
          <cell r="A7434" t="str">
            <v>1;E;RB;B;PAQ35a40</v>
          </cell>
          <cell r="B7434">
            <v>730069</v>
          </cell>
          <cell r="C7434" t="str">
            <v>RB</v>
          </cell>
          <cell r="D7434" t="str">
            <v>INTRA BALEARES</v>
          </cell>
          <cell r="E7434" t="str">
            <v>E</v>
          </cell>
          <cell r="F7434" t="str">
            <v>PAQ35a40</v>
          </cell>
          <cell r="G7434" t="str">
            <v>B</v>
          </cell>
          <cell r="H7434">
            <v>0</v>
          </cell>
        </row>
        <row r="7435">
          <cell r="A7435" t="str">
            <v>1;E;RB;F;</v>
          </cell>
          <cell r="B7435">
            <v>730069</v>
          </cell>
          <cell r="C7435" t="str">
            <v>RB</v>
          </cell>
          <cell r="D7435" t="str">
            <v>INTRA BALEARES</v>
          </cell>
          <cell r="E7435" t="str">
            <v>E</v>
          </cell>
          <cell r="F7435" t="str">
            <v/>
          </cell>
          <cell r="G7435" t="str">
            <v>F</v>
          </cell>
          <cell r="H7435">
            <v>0</v>
          </cell>
        </row>
        <row r="7436">
          <cell r="A7436" t="str">
            <v>1;E;RB;E;</v>
          </cell>
          <cell r="B7436">
            <v>730069</v>
          </cell>
          <cell r="C7436" t="str">
            <v>RB</v>
          </cell>
          <cell r="D7436" t="str">
            <v>INTRA BALEARES</v>
          </cell>
          <cell r="E7436" t="str">
            <v>E</v>
          </cell>
          <cell r="F7436" t="str">
            <v/>
          </cell>
          <cell r="G7436" t="str">
            <v>E</v>
          </cell>
          <cell r="H7436">
            <v>0</v>
          </cell>
        </row>
        <row r="7437">
          <cell r="A7437" t="str">
            <v>1;E;RB;P;</v>
          </cell>
          <cell r="B7437">
            <v>730069</v>
          </cell>
          <cell r="C7437" t="str">
            <v>RB</v>
          </cell>
          <cell r="D7437" t="str">
            <v>INTRA BALEARES</v>
          </cell>
          <cell r="E7437" t="str">
            <v>E</v>
          </cell>
          <cell r="F7437" t="str">
            <v/>
          </cell>
          <cell r="G7437" t="str">
            <v>P</v>
          </cell>
          <cell r="H7437">
            <v>0</v>
          </cell>
        </row>
        <row r="7438">
          <cell r="A7438" t="str">
            <v>1;F;RB;B;BAG</v>
          </cell>
          <cell r="B7438">
            <v>730069</v>
          </cell>
          <cell r="C7438" t="str">
            <v>RB</v>
          </cell>
          <cell r="D7438" t="str">
            <v>INTRA BALEARES</v>
          </cell>
          <cell r="E7438" t="str">
            <v>F</v>
          </cell>
          <cell r="F7438" t="str">
            <v>BAG</v>
          </cell>
          <cell r="G7438" t="str">
            <v>B</v>
          </cell>
          <cell r="H7438">
            <v>0</v>
          </cell>
        </row>
        <row r="7439">
          <cell r="A7439" t="str">
            <v>1;F;RB;B;PAQ00a05</v>
          </cell>
          <cell r="B7439">
            <v>730069</v>
          </cell>
          <cell r="C7439" t="str">
            <v>RB</v>
          </cell>
          <cell r="D7439" t="str">
            <v>INTRA BALEARES</v>
          </cell>
          <cell r="E7439" t="str">
            <v>F</v>
          </cell>
          <cell r="F7439" t="str">
            <v>PAQ00a05</v>
          </cell>
          <cell r="G7439" t="str">
            <v>B</v>
          </cell>
          <cell r="H7439">
            <v>0</v>
          </cell>
        </row>
        <row r="7440">
          <cell r="A7440" t="str">
            <v>1;F;RB;B;PAQ05a10</v>
          </cell>
          <cell r="B7440">
            <v>730069</v>
          </cell>
          <cell r="C7440" t="str">
            <v>RB</v>
          </cell>
          <cell r="D7440" t="str">
            <v>INTRA BALEARES</v>
          </cell>
          <cell r="E7440" t="str">
            <v>F</v>
          </cell>
          <cell r="F7440" t="str">
            <v>PAQ05a10</v>
          </cell>
          <cell r="G7440" t="str">
            <v>B</v>
          </cell>
          <cell r="H7440">
            <v>0</v>
          </cell>
        </row>
        <row r="7441">
          <cell r="A7441" t="str">
            <v>1;F;RB;B;PAQ10a15</v>
          </cell>
          <cell r="B7441">
            <v>730069</v>
          </cell>
          <cell r="C7441" t="str">
            <v>RB</v>
          </cell>
          <cell r="D7441" t="str">
            <v>INTRA BALEARES</v>
          </cell>
          <cell r="E7441" t="str">
            <v>F</v>
          </cell>
          <cell r="F7441" t="str">
            <v>PAQ10a15</v>
          </cell>
          <cell r="G7441" t="str">
            <v>B</v>
          </cell>
          <cell r="H7441">
            <v>0</v>
          </cell>
        </row>
        <row r="7442">
          <cell r="A7442" t="str">
            <v>1;F;RB;B;PAQ15a20</v>
          </cell>
          <cell r="B7442">
            <v>730069</v>
          </cell>
          <cell r="C7442" t="str">
            <v>RB</v>
          </cell>
          <cell r="D7442" t="str">
            <v>INTRA BALEARES</v>
          </cell>
          <cell r="E7442" t="str">
            <v>F</v>
          </cell>
          <cell r="F7442" t="str">
            <v>PAQ15a20</v>
          </cell>
          <cell r="G7442" t="str">
            <v>B</v>
          </cell>
          <cell r="H7442">
            <v>0</v>
          </cell>
        </row>
        <row r="7443">
          <cell r="A7443" t="str">
            <v>1;F;RB;B;PAQ20a25</v>
          </cell>
          <cell r="B7443">
            <v>730069</v>
          </cell>
          <cell r="C7443" t="str">
            <v>RB</v>
          </cell>
          <cell r="D7443" t="str">
            <v>INTRA BALEARES</v>
          </cell>
          <cell r="E7443" t="str">
            <v>F</v>
          </cell>
          <cell r="F7443" t="str">
            <v>PAQ20a25</v>
          </cell>
          <cell r="G7443" t="str">
            <v>B</v>
          </cell>
          <cell r="H7443">
            <v>0</v>
          </cell>
        </row>
        <row r="7444">
          <cell r="A7444" t="str">
            <v>1;F;RB;B;PAQ25a30</v>
          </cell>
          <cell r="B7444">
            <v>730069</v>
          </cell>
          <cell r="C7444" t="str">
            <v>RB</v>
          </cell>
          <cell r="D7444" t="str">
            <v>INTRA BALEARES</v>
          </cell>
          <cell r="E7444" t="str">
            <v>F</v>
          </cell>
          <cell r="F7444" t="str">
            <v>PAQ25a30</v>
          </cell>
          <cell r="G7444" t="str">
            <v>B</v>
          </cell>
          <cell r="H7444">
            <v>0</v>
          </cell>
        </row>
        <row r="7445">
          <cell r="A7445" t="str">
            <v>1;F;RB;B;PAQ30a35</v>
          </cell>
          <cell r="B7445">
            <v>730069</v>
          </cell>
          <cell r="C7445" t="str">
            <v>RB</v>
          </cell>
          <cell r="D7445" t="str">
            <v>INTRA BALEARES</v>
          </cell>
          <cell r="E7445" t="str">
            <v>F</v>
          </cell>
          <cell r="F7445" t="str">
            <v>PAQ30a35</v>
          </cell>
          <cell r="G7445" t="str">
            <v>B</v>
          </cell>
          <cell r="H7445">
            <v>0</v>
          </cell>
        </row>
        <row r="7446">
          <cell r="A7446" t="str">
            <v>1;F;RB;B;PAQ35a40</v>
          </cell>
          <cell r="B7446">
            <v>730069</v>
          </cell>
          <cell r="C7446" t="str">
            <v>RB</v>
          </cell>
          <cell r="D7446" t="str">
            <v>INTRA BALEARES</v>
          </cell>
          <cell r="E7446" t="str">
            <v>F</v>
          </cell>
          <cell r="F7446" t="str">
            <v>PAQ35a40</v>
          </cell>
          <cell r="G7446" t="str">
            <v>B</v>
          </cell>
          <cell r="H7446">
            <v>0</v>
          </cell>
        </row>
        <row r="7447">
          <cell r="A7447" t="str">
            <v>1;F;RB;F;</v>
          </cell>
          <cell r="B7447">
            <v>730069</v>
          </cell>
          <cell r="C7447" t="str">
            <v>RB</v>
          </cell>
          <cell r="D7447" t="str">
            <v>INTRA BALEARES</v>
          </cell>
          <cell r="E7447" t="str">
            <v>F</v>
          </cell>
          <cell r="F7447" t="str">
            <v/>
          </cell>
          <cell r="G7447" t="str">
            <v>F</v>
          </cell>
          <cell r="H7447">
            <v>0</v>
          </cell>
        </row>
        <row r="7448">
          <cell r="A7448" t="str">
            <v>1;F;RB;E;</v>
          </cell>
          <cell r="B7448">
            <v>730069</v>
          </cell>
          <cell r="C7448" t="str">
            <v>RB</v>
          </cell>
          <cell r="D7448" t="str">
            <v>INTRA BALEARES</v>
          </cell>
          <cell r="E7448" t="str">
            <v>F</v>
          </cell>
          <cell r="F7448" t="str">
            <v/>
          </cell>
          <cell r="G7448" t="str">
            <v>E</v>
          </cell>
          <cell r="H7448">
            <v>0</v>
          </cell>
        </row>
        <row r="7449">
          <cell r="A7449" t="str">
            <v>1;F;RB;P;</v>
          </cell>
          <cell r="B7449">
            <v>730069</v>
          </cell>
          <cell r="C7449" t="str">
            <v>RB</v>
          </cell>
          <cell r="D7449" t="str">
            <v>INTRA BALEARES</v>
          </cell>
          <cell r="E7449" t="str">
            <v>F</v>
          </cell>
          <cell r="F7449" t="str">
            <v/>
          </cell>
          <cell r="G7449" t="str">
            <v>P</v>
          </cell>
          <cell r="H7449">
            <v>0</v>
          </cell>
        </row>
        <row r="7450">
          <cell r="A7450" t="str">
            <v>1;G;RB;B;BAG</v>
          </cell>
          <cell r="B7450">
            <v>730069</v>
          </cell>
          <cell r="C7450" t="str">
            <v>RB</v>
          </cell>
          <cell r="D7450" t="str">
            <v>INTRA BALEARES</v>
          </cell>
          <cell r="E7450" t="str">
            <v>G</v>
          </cell>
          <cell r="F7450" t="str">
            <v>BAG</v>
          </cell>
          <cell r="G7450" t="str">
            <v>B</v>
          </cell>
          <cell r="H7450">
            <v>0</v>
          </cell>
        </row>
        <row r="7451">
          <cell r="A7451" t="str">
            <v>1;G;RB;B;PAQ00a05</v>
          </cell>
          <cell r="B7451">
            <v>730069</v>
          </cell>
          <cell r="C7451" t="str">
            <v>RB</v>
          </cell>
          <cell r="D7451" t="str">
            <v>INTRA BALEARES</v>
          </cell>
          <cell r="E7451" t="str">
            <v>G</v>
          </cell>
          <cell r="F7451" t="str">
            <v>PAQ00a05</v>
          </cell>
          <cell r="G7451" t="str">
            <v>B</v>
          </cell>
          <cell r="H7451">
            <v>0</v>
          </cell>
        </row>
        <row r="7452">
          <cell r="A7452" t="str">
            <v>1;G;RB;B;PAQ05a10</v>
          </cell>
          <cell r="B7452">
            <v>730069</v>
          </cell>
          <cell r="C7452" t="str">
            <v>RB</v>
          </cell>
          <cell r="D7452" t="str">
            <v>INTRA BALEARES</v>
          </cell>
          <cell r="E7452" t="str">
            <v>G</v>
          </cell>
          <cell r="F7452" t="str">
            <v>PAQ05a10</v>
          </cell>
          <cell r="G7452" t="str">
            <v>B</v>
          </cell>
          <cell r="H7452">
            <v>0</v>
          </cell>
        </row>
        <row r="7453">
          <cell r="A7453" t="str">
            <v>1;G;RB;B;PAQ10a15</v>
          </cell>
          <cell r="B7453">
            <v>730069</v>
          </cell>
          <cell r="C7453" t="str">
            <v>RB</v>
          </cell>
          <cell r="D7453" t="str">
            <v>INTRA BALEARES</v>
          </cell>
          <cell r="E7453" t="str">
            <v>G</v>
          </cell>
          <cell r="F7453" t="str">
            <v>PAQ10a15</v>
          </cell>
          <cell r="G7453" t="str">
            <v>B</v>
          </cell>
          <cell r="H7453">
            <v>0</v>
          </cell>
        </row>
        <row r="7454">
          <cell r="A7454" t="str">
            <v>1;G;RB;B;PAQ15a20</v>
          </cell>
          <cell r="B7454">
            <v>730069</v>
          </cell>
          <cell r="C7454" t="str">
            <v>RB</v>
          </cell>
          <cell r="D7454" t="str">
            <v>INTRA BALEARES</v>
          </cell>
          <cell r="E7454" t="str">
            <v>G</v>
          </cell>
          <cell r="F7454" t="str">
            <v>PAQ15a20</v>
          </cell>
          <cell r="G7454" t="str">
            <v>B</v>
          </cell>
          <cell r="H7454">
            <v>0</v>
          </cell>
        </row>
        <row r="7455">
          <cell r="A7455" t="str">
            <v>1;G;RB;B;PAQ20a25</v>
          </cell>
          <cell r="B7455">
            <v>730069</v>
          </cell>
          <cell r="C7455" t="str">
            <v>RB</v>
          </cell>
          <cell r="D7455" t="str">
            <v>INTRA BALEARES</v>
          </cell>
          <cell r="E7455" t="str">
            <v>G</v>
          </cell>
          <cell r="F7455" t="str">
            <v>PAQ20a25</v>
          </cell>
          <cell r="G7455" t="str">
            <v>B</v>
          </cell>
          <cell r="H7455">
            <v>0</v>
          </cell>
        </row>
        <row r="7456">
          <cell r="A7456" t="str">
            <v>1;G;RB;B;PAQ25a30</v>
          </cell>
          <cell r="B7456">
            <v>730069</v>
          </cell>
          <cell r="C7456" t="str">
            <v>RB</v>
          </cell>
          <cell r="D7456" t="str">
            <v>INTRA BALEARES</v>
          </cell>
          <cell r="E7456" t="str">
            <v>G</v>
          </cell>
          <cell r="F7456" t="str">
            <v>PAQ25a30</v>
          </cell>
          <cell r="G7456" t="str">
            <v>B</v>
          </cell>
          <cell r="H7456">
            <v>0</v>
          </cell>
        </row>
        <row r="7457">
          <cell r="A7457" t="str">
            <v>1;G;RB;B;PAQ30a35</v>
          </cell>
          <cell r="B7457">
            <v>730069</v>
          </cell>
          <cell r="C7457" t="str">
            <v>RB</v>
          </cell>
          <cell r="D7457" t="str">
            <v>INTRA BALEARES</v>
          </cell>
          <cell r="E7457" t="str">
            <v>G</v>
          </cell>
          <cell r="F7457" t="str">
            <v>PAQ30a35</v>
          </cell>
          <cell r="G7457" t="str">
            <v>B</v>
          </cell>
          <cell r="H7457">
            <v>0</v>
          </cell>
        </row>
        <row r="7458">
          <cell r="A7458" t="str">
            <v>1;G;RB;B;PAQ35a40</v>
          </cell>
          <cell r="B7458">
            <v>730069</v>
          </cell>
          <cell r="C7458" t="str">
            <v>RB</v>
          </cell>
          <cell r="D7458" t="str">
            <v>INTRA BALEARES</v>
          </cell>
          <cell r="E7458" t="str">
            <v>G</v>
          </cell>
          <cell r="F7458" t="str">
            <v>PAQ35a40</v>
          </cell>
          <cell r="G7458" t="str">
            <v>B</v>
          </cell>
          <cell r="H7458">
            <v>0</v>
          </cell>
        </row>
        <row r="7459">
          <cell r="A7459" t="str">
            <v>1;G;RB;F;</v>
          </cell>
          <cell r="B7459">
            <v>730069</v>
          </cell>
          <cell r="C7459" t="str">
            <v>RB</v>
          </cell>
          <cell r="D7459" t="str">
            <v>INTRA BALEARES</v>
          </cell>
          <cell r="E7459" t="str">
            <v>G</v>
          </cell>
          <cell r="F7459" t="str">
            <v/>
          </cell>
          <cell r="G7459" t="str">
            <v>F</v>
          </cell>
          <cell r="H7459">
            <v>0</v>
          </cell>
        </row>
        <row r="7460">
          <cell r="A7460" t="str">
            <v>1;G;RB;E;</v>
          </cell>
          <cell r="B7460">
            <v>730069</v>
          </cell>
          <cell r="C7460" t="str">
            <v>RB</v>
          </cell>
          <cell r="D7460" t="str">
            <v>INTRA BALEARES</v>
          </cell>
          <cell r="E7460" t="str">
            <v>G</v>
          </cell>
          <cell r="F7460" t="str">
            <v/>
          </cell>
          <cell r="G7460" t="str">
            <v>E</v>
          </cell>
          <cell r="H7460">
            <v>0</v>
          </cell>
        </row>
        <row r="7461">
          <cell r="A7461" t="str">
            <v>1;G;RB;P;</v>
          </cell>
          <cell r="B7461">
            <v>730069</v>
          </cell>
          <cell r="C7461" t="str">
            <v>RB</v>
          </cell>
          <cell r="D7461" t="str">
            <v>INTRA BALEARES</v>
          </cell>
          <cell r="E7461" t="str">
            <v>G</v>
          </cell>
          <cell r="F7461" t="str">
            <v/>
          </cell>
          <cell r="G7461" t="str">
            <v>P</v>
          </cell>
          <cell r="H7461">
            <v>0</v>
          </cell>
        </row>
        <row r="7462">
          <cell r="A7462" t="str">
            <v>1;01;RB;B;BAG</v>
          </cell>
          <cell r="B7462">
            <v>730069</v>
          </cell>
          <cell r="C7462" t="str">
            <v>RB</v>
          </cell>
          <cell r="D7462" t="str">
            <v>INTRA BALEARES</v>
          </cell>
          <cell r="E7462" t="str">
            <v>01</v>
          </cell>
          <cell r="F7462" t="str">
            <v>BAG</v>
          </cell>
          <cell r="G7462" t="str">
            <v>B</v>
          </cell>
          <cell r="H7462">
            <v>13.14</v>
          </cell>
        </row>
        <row r="7463">
          <cell r="A7463" t="str">
            <v>1;01;RB;B;DOCS</v>
          </cell>
          <cell r="B7463">
            <v>730069</v>
          </cell>
          <cell r="C7463" t="str">
            <v>RB</v>
          </cell>
          <cell r="D7463" t="str">
            <v>INTRA BALEARES</v>
          </cell>
          <cell r="E7463" t="str">
            <v>01</v>
          </cell>
          <cell r="F7463" t="str">
            <v>DOCS</v>
          </cell>
          <cell r="G7463" t="str">
            <v>B</v>
          </cell>
          <cell r="H7463">
            <v>10.17</v>
          </cell>
        </row>
        <row r="7464">
          <cell r="A7464" t="str">
            <v>1;01;RB;B;PAQ00a02</v>
          </cell>
          <cell r="B7464">
            <v>730069</v>
          </cell>
          <cell r="C7464" t="str">
            <v>RB</v>
          </cell>
          <cell r="D7464" t="str">
            <v>INTRA BALEARES</v>
          </cell>
          <cell r="E7464" t="str">
            <v>01</v>
          </cell>
          <cell r="F7464" t="str">
            <v>PAQ00a02</v>
          </cell>
          <cell r="G7464" t="str">
            <v>B</v>
          </cell>
          <cell r="H7464">
            <v>13.8</v>
          </cell>
        </row>
        <row r="7465">
          <cell r="A7465" t="str">
            <v>1;01;RB;B;PAQ02a05</v>
          </cell>
          <cell r="B7465">
            <v>730069</v>
          </cell>
          <cell r="C7465" t="str">
            <v>RB</v>
          </cell>
          <cell r="D7465" t="str">
            <v>INTRA BALEARES</v>
          </cell>
          <cell r="E7465" t="str">
            <v>01</v>
          </cell>
          <cell r="F7465" t="str">
            <v>PAQ02a05</v>
          </cell>
          <cell r="G7465" t="str">
            <v>B</v>
          </cell>
          <cell r="H7465">
            <v>13.8</v>
          </cell>
        </row>
        <row r="7466">
          <cell r="A7466" t="str">
            <v>1;01;RB;B;PAQ05a10</v>
          </cell>
          <cell r="B7466">
            <v>730069</v>
          </cell>
          <cell r="C7466" t="str">
            <v>RB</v>
          </cell>
          <cell r="D7466" t="str">
            <v>INTRA BALEARES</v>
          </cell>
          <cell r="E7466" t="str">
            <v>01</v>
          </cell>
          <cell r="F7466" t="str">
            <v>PAQ05a10</v>
          </cell>
          <cell r="G7466" t="str">
            <v>B</v>
          </cell>
          <cell r="H7466">
            <v>23.56</v>
          </cell>
        </row>
        <row r="7467">
          <cell r="A7467" t="str">
            <v>1;01;RB;B;PAQ10a15</v>
          </cell>
          <cell r="B7467">
            <v>730069</v>
          </cell>
          <cell r="C7467" t="str">
            <v>RB</v>
          </cell>
          <cell r="D7467" t="str">
            <v>INTRA BALEARES</v>
          </cell>
          <cell r="E7467" t="str">
            <v>01</v>
          </cell>
          <cell r="F7467" t="str">
            <v>PAQ10a15</v>
          </cell>
          <cell r="G7467" t="str">
            <v>B</v>
          </cell>
          <cell r="H7467">
            <v>34.36</v>
          </cell>
        </row>
        <row r="7468">
          <cell r="A7468" t="str">
            <v>1;01;RB;B;PAQ15a20</v>
          </cell>
          <cell r="B7468">
            <v>730069</v>
          </cell>
          <cell r="C7468" t="str">
            <v>RB</v>
          </cell>
          <cell r="D7468" t="str">
            <v>INTRA BALEARES</v>
          </cell>
          <cell r="E7468" t="str">
            <v>01</v>
          </cell>
          <cell r="F7468" t="str">
            <v>PAQ15a20</v>
          </cell>
          <cell r="G7468" t="str">
            <v>B</v>
          </cell>
          <cell r="H7468">
            <v>45.15</v>
          </cell>
        </row>
        <row r="7469">
          <cell r="A7469" t="str">
            <v>1;01;RB;B;PAQ20a25</v>
          </cell>
          <cell r="B7469">
            <v>730069</v>
          </cell>
          <cell r="C7469" t="str">
            <v>RB</v>
          </cell>
          <cell r="D7469" t="str">
            <v>INTRA BALEARES</v>
          </cell>
          <cell r="E7469" t="str">
            <v>01</v>
          </cell>
          <cell r="F7469" t="str">
            <v>PAQ20a25</v>
          </cell>
          <cell r="G7469" t="str">
            <v>B</v>
          </cell>
          <cell r="H7469">
            <v>55.94</v>
          </cell>
        </row>
        <row r="7470">
          <cell r="A7470" t="str">
            <v>1;01;RB;B;PAQ25a30</v>
          </cell>
          <cell r="B7470">
            <v>730069</v>
          </cell>
          <cell r="C7470" t="str">
            <v>RB</v>
          </cell>
          <cell r="D7470" t="str">
            <v>INTRA BALEARES</v>
          </cell>
          <cell r="E7470" t="str">
            <v>01</v>
          </cell>
          <cell r="F7470" t="str">
            <v>PAQ25a30</v>
          </cell>
          <cell r="G7470" t="str">
            <v>B</v>
          </cell>
          <cell r="H7470">
            <v>66.739999999999995</v>
          </cell>
        </row>
        <row r="7471">
          <cell r="A7471" t="str">
            <v>1;01;RB;B;PAQ30a35</v>
          </cell>
          <cell r="B7471">
            <v>730069</v>
          </cell>
          <cell r="C7471" t="str">
            <v>RB</v>
          </cell>
          <cell r="D7471" t="str">
            <v>INTRA BALEARES</v>
          </cell>
          <cell r="E7471" t="str">
            <v>01</v>
          </cell>
          <cell r="F7471" t="str">
            <v>PAQ30a35</v>
          </cell>
          <cell r="G7471" t="str">
            <v>B</v>
          </cell>
          <cell r="H7471">
            <v>77.53</v>
          </cell>
        </row>
        <row r="7472">
          <cell r="A7472" t="str">
            <v>1;01;RB;B;PAQ35a40</v>
          </cell>
          <cell r="B7472">
            <v>730069</v>
          </cell>
          <cell r="C7472" t="str">
            <v>RB</v>
          </cell>
          <cell r="D7472" t="str">
            <v>INTRA BALEARES</v>
          </cell>
          <cell r="E7472" t="str">
            <v>01</v>
          </cell>
          <cell r="F7472" t="str">
            <v>PAQ35a40</v>
          </cell>
          <cell r="G7472" t="str">
            <v>B</v>
          </cell>
          <cell r="H7472">
            <v>88.33</v>
          </cell>
        </row>
        <row r="7473">
          <cell r="A7473" t="str">
            <v>1;01;RB;F;</v>
          </cell>
          <cell r="B7473">
            <v>730069</v>
          </cell>
          <cell r="C7473" t="str">
            <v>RB</v>
          </cell>
          <cell r="D7473" t="str">
            <v>INTRA BALEARES</v>
          </cell>
          <cell r="E7473" t="str">
            <v>01</v>
          </cell>
          <cell r="F7473" t="str">
            <v/>
          </cell>
          <cell r="G7473" t="str">
            <v>F</v>
          </cell>
          <cell r="H7473">
            <v>10.79</v>
          </cell>
        </row>
        <row r="7474">
          <cell r="A7474" t="str">
            <v>1;01;RB;E;</v>
          </cell>
          <cell r="B7474">
            <v>730069</v>
          </cell>
          <cell r="C7474" t="str">
            <v>RB</v>
          </cell>
          <cell r="D7474" t="str">
            <v>INTRA BALEARES</v>
          </cell>
          <cell r="E7474" t="str">
            <v>01</v>
          </cell>
          <cell r="F7474" t="str">
            <v/>
          </cell>
          <cell r="G7474" t="str">
            <v>E</v>
          </cell>
          <cell r="H7474">
            <v>13.8</v>
          </cell>
        </row>
        <row r="7475">
          <cell r="A7475" t="str">
            <v>1;01;RB;P;</v>
          </cell>
          <cell r="B7475">
            <v>730069</v>
          </cell>
          <cell r="C7475" t="str">
            <v>RB</v>
          </cell>
          <cell r="D7475" t="str">
            <v>INTRA BALEARES</v>
          </cell>
          <cell r="E7475" t="str">
            <v>01</v>
          </cell>
          <cell r="F7475" t="str">
            <v/>
          </cell>
          <cell r="G7475" t="str">
            <v>P</v>
          </cell>
          <cell r="H7475">
            <v>13.8</v>
          </cell>
        </row>
        <row r="7476">
          <cell r="A7476" t="str">
            <v>1;02;RB;B;BAG</v>
          </cell>
          <cell r="B7476">
            <v>730069</v>
          </cell>
          <cell r="C7476" t="str">
            <v>RB</v>
          </cell>
          <cell r="D7476" t="str">
            <v>INTRA BALEARES</v>
          </cell>
          <cell r="E7476" t="str">
            <v>02</v>
          </cell>
          <cell r="F7476" t="str">
            <v>BAG</v>
          </cell>
          <cell r="G7476" t="str">
            <v>B</v>
          </cell>
          <cell r="H7476">
            <v>10.09</v>
          </cell>
        </row>
        <row r="7477">
          <cell r="A7477" t="str">
            <v>1;02;RB;B;DOCS</v>
          </cell>
          <cell r="B7477">
            <v>730069</v>
          </cell>
          <cell r="C7477" t="str">
            <v>RB</v>
          </cell>
          <cell r="D7477" t="str">
            <v>INTRA BALEARES</v>
          </cell>
          <cell r="E7477" t="str">
            <v>02</v>
          </cell>
          <cell r="F7477" t="str">
            <v>DOCS</v>
          </cell>
          <cell r="G7477" t="str">
            <v>B</v>
          </cell>
          <cell r="H7477">
            <v>7.69</v>
          </cell>
        </row>
        <row r="7478">
          <cell r="A7478" t="str">
            <v>1;02;RB;B;PAQ00a02</v>
          </cell>
          <cell r="B7478">
            <v>730069</v>
          </cell>
          <cell r="C7478" t="str">
            <v>RB</v>
          </cell>
          <cell r="D7478" t="str">
            <v>INTRA BALEARES</v>
          </cell>
          <cell r="E7478" t="str">
            <v>02</v>
          </cell>
          <cell r="F7478" t="str">
            <v>PAQ00a02</v>
          </cell>
          <cell r="G7478" t="str">
            <v>B</v>
          </cell>
          <cell r="H7478">
            <v>11.83</v>
          </cell>
        </row>
        <row r="7479">
          <cell r="A7479" t="str">
            <v>1;02;RB;B;PAQ02a05</v>
          </cell>
          <cell r="B7479">
            <v>730069</v>
          </cell>
          <cell r="C7479" t="str">
            <v>RB</v>
          </cell>
          <cell r="D7479" t="str">
            <v>INTRA BALEARES</v>
          </cell>
          <cell r="E7479" t="str">
            <v>02</v>
          </cell>
          <cell r="F7479" t="str">
            <v>PAQ02a05</v>
          </cell>
          <cell r="G7479" t="str">
            <v>B</v>
          </cell>
          <cell r="H7479">
            <v>11.83</v>
          </cell>
        </row>
        <row r="7480">
          <cell r="A7480" t="str">
            <v>1;02;RB;B;PAQ05a10</v>
          </cell>
          <cell r="B7480">
            <v>730069</v>
          </cell>
          <cell r="C7480" t="str">
            <v>RB</v>
          </cell>
          <cell r="D7480" t="str">
            <v>INTRA BALEARES</v>
          </cell>
          <cell r="E7480" t="str">
            <v>02</v>
          </cell>
          <cell r="F7480" t="str">
            <v>PAQ05a10</v>
          </cell>
          <cell r="G7480" t="str">
            <v>B</v>
          </cell>
          <cell r="H7480">
            <v>13.06</v>
          </cell>
        </row>
        <row r="7481">
          <cell r="A7481" t="str">
            <v>1;02;RB;B;PAQ10a15</v>
          </cell>
          <cell r="B7481">
            <v>730069</v>
          </cell>
          <cell r="C7481" t="str">
            <v>RB</v>
          </cell>
          <cell r="D7481" t="str">
            <v>INTRA BALEARES</v>
          </cell>
          <cell r="E7481" t="str">
            <v>02</v>
          </cell>
          <cell r="F7481" t="str">
            <v>PAQ10a15</v>
          </cell>
          <cell r="G7481" t="str">
            <v>B</v>
          </cell>
          <cell r="H7481">
            <v>15.94</v>
          </cell>
        </row>
        <row r="7482">
          <cell r="A7482" t="str">
            <v>1;02;RB;B;PAQ15a20</v>
          </cell>
          <cell r="B7482">
            <v>730069</v>
          </cell>
          <cell r="C7482" t="str">
            <v>RB</v>
          </cell>
          <cell r="D7482" t="str">
            <v>INTRA BALEARES</v>
          </cell>
          <cell r="E7482" t="str">
            <v>02</v>
          </cell>
          <cell r="F7482" t="str">
            <v>PAQ15a20</v>
          </cell>
          <cell r="G7482" t="str">
            <v>B</v>
          </cell>
          <cell r="H7482">
            <v>18.82</v>
          </cell>
        </row>
        <row r="7483">
          <cell r="A7483" t="str">
            <v>1;02;RB;B;PAQ20a25</v>
          </cell>
          <cell r="B7483">
            <v>730069</v>
          </cell>
          <cell r="C7483" t="str">
            <v>RB</v>
          </cell>
          <cell r="D7483" t="str">
            <v>INTRA BALEARES</v>
          </cell>
          <cell r="E7483" t="str">
            <v>02</v>
          </cell>
          <cell r="F7483" t="str">
            <v>PAQ20a25</v>
          </cell>
          <cell r="G7483" t="str">
            <v>B</v>
          </cell>
          <cell r="H7483">
            <v>21.69</v>
          </cell>
        </row>
        <row r="7484">
          <cell r="A7484" t="str">
            <v>1;02;RB;B;PAQ25a30</v>
          </cell>
          <cell r="B7484">
            <v>730069</v>
          </cell>
          <cell r="C7484" t="str">
            <v>RB</v>
          </cell>
          <cell r="D7484" t="str">
            <v>INTRA BALEARES</v>
          </cell>
          <cell r="E7484" t="str">
            <v>02</v>
          </cell>
          <cell r="F7484" t="str">
            <v>PAQ25a30</v>
          </cell>
          <cell r="G7484" t="str">
            <v>B</v>
          </cell>
          <cell r="H7484">
            <v>24.57</v>
          </cell>
        </row>
        <row r="7485">
          <cell r="A7485" t="str">
            <v>1;02;RB;B;PAQ30a35</v>
          </cell>
          <cell r="B7485">
            <v>730069</v>
          </cell>
          <cell r="C7485" t="str">
            <v>RB</v>
          </cell>
          <cell r="D7485" t="str">
            <v>INTRA BALEARES</v>
          </cell>
          <cell r="E7485" t="str">
            <v>02</v>
          </cell>
          <cell r="F7485" t="str">
            <v>PAQ30a35</v>
          </cell>
          <cell r="G7485" t="str">
            <v>B</v>
          </cell>
          <cell r="H7485">
            <v>27.45</v>
          </cell>
        </row>
        <row r="7486">
          <cell r="A7486" t="str">
            <v>1;02;RB;F;</v>
          </cell>
          <cell r="B7486">
            <v>730069</v>
          </cell>
          <cell r="C7486" t="str">
            <v>RB</v>
          </cell>
          <cell r="D7486" t="str">
            <v>INTRA BALEARES</v>
          </cell>
          <cell r="E7486" t="str">
            <v>02</v>
          </cell>
          <cell r="F7486" t="str">
            <v/>
          </cell>
          <cell r="G7486" t="str">
            <v>F</v>
          </cell>
          <cell r="H7486">
            <v>2.88</v>
          </cell>
        </row>
        <row r="7487">
          <cell r="A7487" t="str">
            <v>1;02;RB;B;PAQ35a40</v>
          </cell>
          <cell r="B7487">
            <v>730069</v>
          </cell>
          <cell r="C7487" t="str">
            <v>RB</v>
          </cell>
          <cell r="D7487" t="str">
            <v>INTRA BALEARES</v>
          </cell>
          <cell r="E7487" t="str">
            <v>02</v>
          </cell>
          <cell r="F7487" t="str">
            <v>PAQ35a40</v>
          </cell>
          <cell r="G7487" t="str">
            <v>B</v>
          </cell>
          <cell r="H7487">
            <v>30.32</v>
          </cell>
        </row>
        <row r="7488">
          <cell r="A7488" t="str">
            <v>1;02;RB;E;</v>
          </cell>
          <cell r="B7488">
            <v>730069</v>
          </cell>
          <cell r="C7488" t="str">
            <v>RB</v>
          </cell>
          <cell r="D7488" t="str">
            <v>INTRA BALEARES</v>
          </cell>
          <cell r="E7488" t="str">
            <v>02</v>
          </cell>
          <cell r="F7488" t="str">
            <v/>
          </cell>
          <cell r="G7488" t="str">
            <v>E</v>
          </cell>
          <cell r="H7488">
            <v>11.83</v>
          </cell>
        </row>
        <row r="7489">
          <cell r="A7489" t="str">
            <v>1;02;RB;P;</v>
          </cell>
          <cell r="B7489">
            <v>730069</v>
          </cell>
          <cell r="C7489" t="str">
            <v>RB</v>
          </cell>
          <cell r="D7489" t="str">
            <v>INTRA BALEARES</v>
          </cell>
          <cell r="E7489" t="str">
            <v>02</v>
          </cell>
          <cell r="F7489" t="str">
            <v/>
          </cell>
          <cell r="G7489" t="str">
            <v>P</v>
          </cell>
          <cell r="H7489">
            <v>11.83</v>
          </cell>
        </row>
        <row r="7490">
          <cell r="A7490" t="str">
            <v>1;04;RB;B;BAG</v>
          </cell>
          <cell r="B7490">
            <v>730069</v>
          </cell>
          <cell r="C7490" t="str">
            <v>RB</v>
          </cell>
          <cell r="D7490" t="str">
            <v>INTRA BALEARES</v>
          </cell>
          <cell r="E7490" t="str">
            <v>04</v>
          </cell>
          <cell r="F7490" t="str">
            <v>BAG</v>
          </cell>
          <cell r="G7490" t="str">
            <v>B</v>
          </cell>
          <cell r="H7490">
            <v>5.66</v>
          </cell>
        </row>
        <row r="7491">
          <cell r="A7491" t="str">
            <v>1;05;RB;B;BAG</v>
          </cell>
          <cell r="B7491">
            <v>730069</v>
          </cell>
          <cell r="C7491" t="str">
            <v>RB</v>
          </cell>
          <cell r="D7491" t="str">
            <v>INTRA BALEARES</v>
          </cell>
          <cell r="E7491" t="str">
            <v>05</v>
          </cell>
          <cell r="F7491" t="str">
            <v>BAG</v>
          </cell>
          <cell r="G7491" t="str">
            <v>B</v>
          </cell>
          <cell r="H7491">
            <v>5.66</v>
          </cell>
        </row>
        <row r="7492">
          <cell r="A7492" t="str">
            <v>1;06;RB;B;BAG</v>
          </cell>
          <cell r="B7492">
            <v>730069</v>
          </cell>
          <cell r="C7492" t="str">
            <v>RB</v>
          </cell>
          <cell r="D7492" t="str">
            <v>INTRA BALEARES</v>
          </cell>
          <cell r="E7492" t="str">
            <v>06</v>
          </cell>
          <cell r="F7492" t="str">
            <v>BAG</v>
          </cell>
          <cell r="G7492" t="str">
            <v>B</v>
          </cell>
          <cell r="H7492">
            <v>0</v>
          </cell>
        </row>
        <row r="7493">
          <cell r="A7493" t="str">
            <v>1;06;RB;B;DOCS</v>
          </cell>
          <cell r="B7493">
            <v>730069</v>
          </cell>
          <cell r="C7493" t="str">
            <v>RB</v>
          </cell>
          <cell r="D7493" t="str">
            <v>INTRA BALEARES</v>
          </cell>
          <cell r="E7493" t="str">
            <v>06</v>
          </cell>
          <cell r="F7493" t="str">
            <v>DOCS</v>
          </cell>
          <cell r="G7493" t="str">
            <v>B</v>
          </cell>
          <cell r="H7493">
            <v>0</v>
          </cell>
        </row>
        <row r="7494">
          <cell r="A7494" t="str">
            <v>1;06;RB;B;PAQ00a05</v>
          </cell>
          <cell r="B7494">
            <v>730069</v>
          </cell>
          <cell r="C7494" t="str">
            <v>RB</v>
          </cell>
          <cell r="D7494" t="str">
            <v>INTRA BALEARES</v>
          </cell>
          <cell r="E7494" t="str">
            <v>06</v>
          </cell>
          <cell r="F7494" t="str">
            <v>PAQ00a05</v>
          </cell>
          <cell r="G7494" t="str">
            <v>B</v>
          </cell>
          <cell r="H7494">
            <v>0</v>
          </cell>
        </row>
        <row r="7495">
          <cell r="A7495" t="str">
            <v>1;06;RB;B;PAQ05a10</v>
          </cell>
          <cell r="B7495">
            <v>730069</v>
          </cell>
          <cell r="C7495" t="str">
            <v>RB</v>
          </cell>
          <cell r="D7495" t="str">
            <v>INTRA BALEARES</v>
          </cell>
          <cell r="E7495" t="str">
            <v>06</v>
          </cell>
          <cell r="F7495" t="str">
            <v>PAQ05a10</v>
          </cell>
          <cell r="G7495" t="str">
            <v>B</v>
          </cell>
          <cell r="H7495">
            <v>0</v>
          </cell>
        </row>
        <row r="7496">
          <cell r="A7496" t="str">
            <v>1;06;RB;B;PAQ10a15</v>
          </cell>
          <cell r="B7496">
            <v>730069</v>
          </cell>
          <cell r="C7496" t="str">
            <v>RB</v>
          </cell>
          <cell r="D7496" t="str">
            <v>INTRA BALEARES</v>
          </cell>
          <cell r="E7496" t="str">
            <v>06</v>
          </cell>
          <cell r="F7496" t="str">
            <v>PAQ10a15</v>
          </cell>
          <cell r="G7496" t="str">
            <v>B</v>
          </cell>
          <cell r="H7496">
            <v>0</v>
          </cell>
        </row>
        <row r="7497">
          <cell r="A7497" t="str">
            <v>1;06;RB;B;PAQ15a20</v>
          </cell>
          <cell r="B7497">
            <v>730069</v>
          </cell>
          <cell r="C7497" t="str">
            <v>RB</v>
          </cell>
          <cell r="D7497" t="str">
            <v>INTRA BALEARES</v>
          </cell>
          <cell r="E7497" t="str">
            <v>06</v>
          </cell>
          <cell r="F7497" t="str">
            <v>PAQ15a20</v>
          </cell>
          <cell r="G7497" t="str">
            <v>B</v>
          </cell>
          <cell r="H7497">
            <v>0</v>
          </cell>
        </row>
        <row r="7498">
          <cell r="A7498" t="str">
            <v>1;06;RB;B;PAQ20a25</v>
          </cell>
          <cell r="B7498">
            <v>730069</v>
          </cell>
          <cell r="C7498" t="str">
            <v>RB</v>
          </cell>
          <cell r="D7498" t="str">
            <v>INTRA BALEARES</v>
          </cell>
          <cell r="E7498" t="str">
            <v>06</v>
          </cell>
          <cell r="F7498" t="str">
            <v>PAQ20a25</v>
          </cell>
          <cell r="G7498" t="str">
            <v>B</v>
          </cell>
          <cell r="H7498">
            <v>0</v>
          </cell>
        </row>
        <row r="7499">
          <cell r="A7499" t="str">
            <v>1;06;RB;B;PAQ25a30</v>
          </cell>
          <cell r="B7499">
            <v>730069</v>
          </cell>
          <cell r="C7499" t="str">
            <v>RB</v>
          </cell>
          <cell r="D7499" t="str">
            <v>INTRA BALEARES</v>
          </cell>
          <cell r="E7499" t="str">
            <v>06</v>
          </cell>
          <cell r="F7499" t="str">
            <v>PAQ25a30</v>
          </cell>
          <cell r="G7499" t="str">
            <v>B</v>
          </cell>
          <cell r="H7499">
            <v>0</v>
          </cell>
        </row>
        <row r="7500">
          <cell r="A7500" t="str">
            <v>1;06;RB;B;PAQ30a35</v>
          </cell>
          <cell r="B7500">
            <v>730069</v>
          </cell>
          <cell r="C7500" t="str">
            <v>RB</v>
          </cell>
          <cell r="D7500" t="str">
            <v>INTRA BALEARES</v>
          </cell>
          <cell r="E7500" t="str">
            <v>06</v>
          </cell>
          <cell r="F7500" t="str">
            <v>PAQ30a35</v>
          </cell>
          <cell r="G7500" t="str">
            <v>B</v>
          </cell>
          <cell r="H7500">
            <v>0</v>
          </cell>
        </row>
        <row r="7501">
          <cell r="A7501" t="str">
            <v>1;06;RB;F;</v>
          </cell>
          <cell r="B7501">
            <v>730069</v>
          </cell>
          <cell r="C7501" t="str">
            <v>RB</v>
          </cell>
          <cell r="D7501" t="str">
            <v>INTRA BALEARES</v>
          </cell>
          <cell r="E7501" t="str">
            <v>06</v>
          </cell>
          <cell r="F7501" t="str">
            <v/>
          </cell>
          <cell r="G7501" t="str">
            <v>F</v>
          </cell>
          <cell r="H7501">
            <v>0</v>
          </cell>
        </row>
        <row r="7502">
          <cell r="A7502" t="str">
            <v>1;06;RB;B;PAQ35a40</v>
          </cell>
          <cell r="B7502">
            <v>730069</v>
          </cell>
          <cell r="C7502" t="str">
            <v>RB</v>
          </cell>
          <cell r="D7502" t="str">
            <v>INTRA BALEARES</v>
          </cell>
          <cell r="E7502" t="str">
            <v>06</v>
          </cell>
          <cell r="F7502" t="str">
            <v>PAQ35a40</v>
          </cell>
          <cell r="G7502" t="str">
            <v>B</v>
          </cell>
          <cell r="H7502">
            <v>0</v>
          </cell>
        </row>
        <row r="7503">
          <cell r="A7503" t="str">
            <v>1;06;RB;P;</v>
          </cell>
          <cell r="B7503">
            <v>730069</v>
          </cell>
          <cell r="C7503" t="str">
            <v>RB</v>
          </cell>
          <cell r="D7503" t="str">
            <v>INTRA BALEARES</v>
          </cell>
          <cell r="E7503" t="str">
            <v>06</v>
          </cell>
          <cell r="F7503" t="str">
            <v/>
          </cell>
          <cell r="G7503" t="str">
            <v>P</v>
          </cell>
          <cell r="H7503">
            <v>11.83</v>
          </cell>
        </row>
        <row r="7504">
          <cell r="A7504" t="str">
            <v>1;06;RB;E;</v>
          </cell>
          <cell r="B7504">
            <v>730069</v>
          </cell>
          <cell r="C7504" t="str">
            <v>RB</v>
          </cell>
          <cell r="D7504" t="str">
            <v>INTRA BALEARES</v>
          </cell>
          <cell r="E7504" t="str">
            <v>06</v>
          </cell>
          <cell r="F7504" t="str">
            <v/>
          </cell>
          <cell r="G7504" t="str">
            <v>E</v>
          </cell>
          <cell r="H7504">
            <v>11.83</v>
          </cell>
        </row>
        <row r="7505">
          <cell r="A7505" t="str">
            <v>1;07;RB;B;BAG</v>
          </cell>
          <cell r="B7505">
            <v>730069</v>
          </cell>
          <cell r="C7505" t="str">
            <v>RB</v>
          </cell>
          <cell r="D7505" t="str">
            <v>INTRA BALEARES</v>
          </cell>
          <cell r="E7505" t="str">
            <v>07</v>
          </cell>
          <cell r="F7505" t="str">
            <v>BAG</v>
          </cell>
          <cell r="G7505" t="str">
            <v>B</v>
          </cell>
          <cell r="H7505">
            <v>0</v>
          </cell>
        </row>
        <row r="7506">
          <cell r="A7506" t="str">
            <v>1;07;RB;B;DOCS</v>
          </cell>
          <cell r="B7506">
            <v>730069</v>
          </cell>
          <cell r="C7506" t="str">
            <v>RB</v>
          </cell>
          <cell r="D7506" t="str">
            <v>INTRA BALEARES</v>
          </cell>
          <cell r="E7506" t="str">
            <v>07</v>
          </cell>
          <cell r="F7506" t="str">
            <v>DOCS</v>
          </cell>
          <cell r="G7506" t="str">
            <v>B</v>
          </cell>
          <cell r="H7506">
            <v>0</v>
          </cell>
        </row>
        <row r="7507">
          <cell r="A7507" t="str">
            <v>1;07;RB;B;PAQ00a05</v>
          </cell>
          <cell r="B7507">
            <v>730069</v>
          </cell>
          <cell r="C7507" t="str">
            <v>RB</v>
          </cell>
          <cell r="D7507" t="str">
            <v>INTRA BALEARES</v>
          </cell>
          <cell r="E7507" t="str">
            <v>07</v>
          </cell>
          <cell r="F7507" t="str">
            <v>PAQ00a05</v>
          </cell>
          <cell r="G7507" t="str">
            <v>B</v>
          </cell>
          <cell r="H7507">
            <v>0</v>
          </cell>
        </row>
        <row r="7508">
          <cell r="A7508" t="str">
            <v>1;07;RB;B;PAQ05a10</v>
          </cell>
          <cell r="B7508">
            <v>730069</v>
          </cell>
          <cell r="C7508" t="str">
            <v>RB</v>
          </cell>
          <cell r="D7508" t="str">
            <v>INTRA BALEARES</v>
          </cell>
          <cell r="E7508" t="str">
            <v>07</v>
          </cell>
          <cell r="F7508" t="str">
            <v>PAQ05a10</v>
          </cell>
          <cell r="G7508" t="str">
            <v>B</v>
          </cell>
          <cell r="H7508">
            <v>0</v>
          </cell>
        </row>
        <row r="7509">
          <cell r="A7509" t="str">
            <v>1;07;RB;B;PAQ10a15</v>
          </cell>
          <cell r="B7509">
            <v>730069</v>
          </cell>
          <cell r="C7509" t="str">
            <v>RB</v>
          </cell>
          <cell r="D7509" t="str">
            <v>INTRA BALEARES</v>
          </cell>
          <cell r="E7509" t="str">
            <v>07</v>
          </cell>
          <cell r="F7509" t="str">
            <v>PAQ10a15</v>
          </cell>
          <cell r="G7509" t="str">
            <v>B</v>
          </cell>
          <cell r="H7509">
            <v>0</v>
          </cell>
        </row>
        <row r="7510">
          <cell r="A7510" t="str">
            <v>1;07;RB;B;PAQ15a20</v>
          </cell>
          <cell r="B7510">
            <v>730069</v>
          </cell>
          <cell r="C7510" t="str">
            <v>RB</v>
          </cell>
          <cell r="D7510" t="str">
            <v>INTRA BALEARES</v>
          </cell>
          <cell r="E7510" t="str">
            <v>07</v>
          </cell>
          <cell r="F7510" t="str">
            <v>PAQ15a20</v>
          </cell>
          <cell r="G7510" t="str">
            <v>B</v>
          </cell>
          <cell r="H7510">
            <v>0</v>
          </cell>
        </row>
        <row r="7511">
          <cell r="A7511" t="str">
            <v>1;07;RB;B;PAQ20a25</v>
          </cell>
          <cell r="B7511">
            <v>730069</v>
          </cell>
          <cell r="C7511" t="str">
            <v>RB</v>
          </cell>
          <cell r="D7511" t="str">
            <v>INTRA BALEARES</v>
          </cell>
          <cell r="E7511" t="str">
            <v>07</v>
          </cell>
          <cell r="F7511" t="str">
            <v>PAQ20a25</v>
          </cell>
          <cell r="G7511" t="str">
            <v>B</v>
          </cell>
          <cell r="H7511">
            <v>0</v>
          </cell>
        </row>
        <row r="7512">
          <cell r="A7512" t="str">
            <v>1;07;RB;B;PAQ25a30</v>
          </cell>
          <cell r="B7512">
            <v>730069</v>
          </cell>
          <cell r="C7512" t="str">
            <v>RB</v>
          </cell>
          <cell r="D7512" t="str">
            <v>INTRA BALEARES</v>
          </cell>
          <cell r="E7512" t="str">
            <v>07</v>
          </cell>
          <cell r="F7512" t="str">
            <v>PAQ25a30</v>
          </cell>
          <cell r="G7512" t="str">
            <v>B</v>
          </cell>
          <cell r="H7512">
            <v>0</v>
          </cell>
        </row>
        <row r="7513">
          <cell r="A7513" t="str">
            <v>1;07;RB;B;PAQ30a35</v>
          </cell>
          <cell r="B7513">
            <v>730069</v>
          </cell>
          <cell r="C7513" t="str">
            <v>RB</v>
          </cell>
          <cell r="D7513" t="str">
            <v>INTRA BALEARES</v>
          </cell>
          <cell r="E7513" t="str">
            <v>07</v>
          </cell>
          <cell r="F7513" t="str">
            <v>PAQ30a35</v>
          </cell>
          <cell r="G7513" t="str">
            <v>B</v>
          </cell>
          <cell r="H7513">
            <v>0</v>
          </cell>
        </row>
        <row r="7514">
          <cell r="A7514" t="str">
            <v>1;07;RB;B;PAQ35a40</v>
          </cell>
          <cell r="B7514">
            <v>730069</v>
          </cell>
          <cell r="C7514" t="str">
            <v>RB</v>
          </cell>
          <cell r="D7514" t="str">
            <v>INTRA BALEARES</v>
          </cell>
          <cell r="E7514" t="str">
            <v>07</v>
          </cell>
          <cell r="F7514" t="str">
            <v>PAQ35a40</v>
          </cell>
          <cell r="G7514" t="str">
            <v>B</v>
          </cell>
          <cell r="H7514">
            <v>0</v>
          </cell>
        </row>
        <row r="7515">
          <cell r="A7515" t="str">
            <v>1;07;RB;F;</v>
          </cell>
          <cell r="B7515">
            <v>730069</v>
          </cell>
          <cell r="C7515" t="str">
            <v>RB</v>
          </cell>
          <cell r="D7515" t="str">
            <v>INTRA BALEARES</v>
          </cell>
          <cell r="E7515" t="str">
            <v>07</v>
          </cell>
          <cell r="F7515" t="str">
            <v/>
          </cell>
          <cell r="G7515" t="str">
            <v>F</v>
          </cell>
          <cell r="H7515">
            <v>0</v>
          </cell>
        </row>
        <row r="7516">
          <cell r="A7516" t="str">
            <v>1;07;RB;E;</v>
          </cell>
          <cell r="B7516">
            <v>730069</v>
          </cell>
          <cell r="C7516" t="str">
            <v>RB</v>
          </cell>
          <cell r="D7516" t="str">
            <v>INTRA BALEARES</v>
          </cell>
          <cell r="E7516" t="str">
            <v>07</v>
          </cell>
          <cell r="F7516" t="str">
            <v/>
          </cell>
          <cell r="G7516" t="str">
            <v>E</v>
          </cell>
          <cell r="H7516">
            <v>11.83</v>
          </cell>
        </row>
        <row r="7517">
          <cell r="A7517" t="str">
            <v>1;07;RB;P;</v>
          </cell>
          <cell r="B7517">
            <v>730069</v>
          </cell>
          <cell r="C7517" t="str">
            <v>RB</v>
          </cell>
          <cell r="D7517" t="str">
            <v>INTRA BALEARES</v>
          </cell>
          <cell r="E7517" t="str">
            <v>07</v>
          </cell>
          <cell r="F7517" t="str">
            <v/>
          </cell>
          <cell r="G7517" t="str">
            <v>P</v>
          </cell>
          <cell r="H7517">
            <v>11.83</v>
          </cell>
        </row>
        <row r="7518">
          <cell r="A7518" t="str">
            <v>1;08;RB;B;BAG</v>
          </cell>
          <cell r="B7518">
            <v>730069</v>
          </cell>
          <cell r="C7518" t="str">
            <v>RB</v>
          </cell>
          <cell r="D7518" t="str">
            <v>INTRA BALEARES</v>
          </cell>
          <cell r="E7518" t="str">
            <v>08</v>
          </cell>
          <cell r="F7518" t="str">
            <v>BAG</v>
          </cell>
          <cell r="G7518" t="str">
            <v>B</v>
          </cell>
          <cell r="H7518">
            <v>7.99</v>
          </cell>
        </row>
        <row r="7519">
          <cell r="A7519" t="str">
            <v>1;08;RB;B;DOCS</v>
          </cell>
          <cell r="B7519">
            <v>730069</v>
          </cell>
          <cell r="C7519" t="str">
            <v>RB</v>
          </cell>
          <cell r="D7519" t="str">
            <v>INTRA BALEARES</v>
          </cell>
          <cell r="E7519" t="str">
            <v>08</v>
          </cell>
          <cell r="F7519" t="str">
            <v>DOCS</v>
          </cell>
          <cell r="G7519" t="str">
            <v>B</v>
          </cell>
          <cell r="H7519">
            <v>5.81</v>
          </cell>
        </row>
        <row r="7520">
          <cell r="A7520" t="str">
            <v>1;08;RB;B;PAQ00a02</v>
          </cell>
          <cell r="B7520">
            <v>730069</v>
          </cell>
          <cell r="C7520" t="str">
            <v>RB</v>
          </cell>
          <cell r="D7520" t="str">
            <v>INTRA BALEARES</v>
          </cell>
          <cell r="E7520" t="str">
            <v>08</v>
          </cell>
          <cell r="F7520" t="str">
            <v>PAQ00a02</v>
          </cell>
          <cell r="G7520" t="str">
            <v>B</v>
          </cell>
          <cell r="H7520">
            <v>7.99</v>
          </cell>
        </row>
        <row r="7521">
          <cell r="A7521" t="str">
            <v>1;08;RB;B;PAQ02a05</v>
          </cell>
          <cell r="B7521">
            <v>730069</v>
          </cell>
          <cell r="C7521" t="str">
            <v>RB</v>
          </cell>
          <cell r="D7521" t="str">
            <v>INTRA BALEARES</v>
          </cell>
          <cell r="E7521" t="str">
            <v>08</v>
          </cell>
          <cell r="F7521" t="str">
            <v>PAQ02a05</v>
          </cell>
          <cell r="G7521" t="str">
            <v>B</v>
          </cell>
          <cell r="H7521">
            <v>9</v>
          </cell>
        </row>
        <row r="7522">
          <cell r="A7522" t="str">
            <v>1;08;RB;B;PAQ05a10</v>
          </cell>
          <cell r="B7522">
            <v>730069</v>
          </cell>
          <cell r="C7522" t="str">
            <v>RB</v>
          </cell>
          <cell r="D7522" t="str">
            <v>INTRA BALEARES</v>
          </cell>
          <cell r="E7522" t="str">
            <v>08</v>
          </cell>
          <cell r="F7522" t="str">
            <v>PAQ05a10</v>
          </cell>
          <cell r="G7522" t="str">
            <v>B</v>
          </cell>
          <cell r="H7522">
            <v>11.32</v>
          </cell>
        </row>
        <row r="7523">
          <cell r="A7523" t="str">
            <v>1;08;RB;B;PAQ10a15</v>
          </cell>
          <cell r="B7523">
            <v>730069</v>
          </cell>
          <cell r="C7523" t="str">
            <v>RB</v>
          </cell>
          <cell r="D7523" t="str">
            <v>INTRA BALEARES</v>
          </cell>
          <cell r="E7523" t="str">
            <v>08</v>
          </cell>
          <cell r="F7523" t="str">
            <v>PAQ10a15</v>
          </cell>
          <cell r="G7523" t="str">
            <v>B</v>
          </cell>
          <cell r="H7523">
            <v>13.9</v>
          </cell>
        </row>
        <row r="7524">
          <cell r="A7524" t="str">
            <v>1;08;RB;B;PAQ15a20</v>
          </cell>
          <cell r="B7524">
            <v>730069</v>
          </cell>
          <cell r="C7524" t="str">
            <v>RB</v>
          </cell>
          <cell r="D7524" t="str">
            <v>INTRA BALEARES</v>
          </cell>
          <cell r="E7524" t="str">
            <v>08</v>
          </cell>
          <cell r="F7524" t="str">
            <v>PAQ15a20</v>
          </cell>
          <cell r="G7524" t="str">
            <v>B</v>
          </cell>
          <cell r="H7524">
            <v>16.47</v>
          </cell>
        </row>
        <row r="7525">
          <cell r="A7525" t="str">
            <v>1;08;RB;B;PAQ20a25</v>
          </cell>
          <cell r="B7525">
            <v>730069</v>
          </cell>
          <cell r="C7525" t="str">
            <v>RB</v>
          </cell>
          <cell r="D7525" t="str">
            <v>INTRA BALEARES</v>
          </cell>
          <cell r="E7525" t="str">
            <v>08</v>
          </cell>
          <cell r="F7525" t="str">
            <v>PAQ20a25</v>
          </cell>
          <cell r="G7525" t="str">
            <v>B</v>
          </cell>
          <cell r="H7525">
            <v>19.05</v>
          </cell>
        </row>
        <row r="7526">
          <cell r="A7526" t="str">
            <v>1;08;RB;B;PAQ25a30</v>
          </cell>
          <cell r="B7526">
            <v>730069</v>
          </cell>
          <cell r="C7526" t="str">
            <v>RB</v>
          </cell>
          <cell r="D7526" t="str">
            <v>INTRA BALEARES</v>
          </cell>
          <cell r="E7526" t="str">
            <v>08</v>
          </cell>
          <cell r="F7526" t="str">
            <v>PAQ25a30</v>
          </cell>
          <cell r="G7526" t="str">
            <v>B</v>
          </cell>
          <cell r="H7526">
            <v>21.62</v>
          </cell>
        </row>
        <row r="7527">
          <cell r="A7527" t="str">
            <v>1;08;RB;B;PAQ30a35</v>
          </cell>
          <cell r="B7527">
            <v>730069</v>
          </cell>
          <cell r="C7527" t="str">
            <v>RB</v>
          </cell>
          <cell r="D7527" t="str">
            <v>INTRA BALEARES</v>
          </cell>
          <cell r="E7527" t="str">
            <v>08</v>
          </cell>
          <cell r="F7527" t="str">
            <v>PAQ30a35</v>
          </cell>
          <cell r="G7527" t="str">
            <v>B</v>
          </cell>
          <cell r="H7527">
            <v>24.19</v>
          </cell>
        </row>
        <row r="7528">
          <cell r="A7528" t="str">
            <v>1;08;RB;B;PAQ35a40</v>
          </cell>
          <cell r="B7528">
            <v>730069</v>
          </cell>
          <cell r="C7528" t="str">
            <v>RB</v>
          </cell>
          <cell r="D7528" t="str">
            <v>INTRA BALEARES</v>
          </cell>
          <cell r="E7528" t="str">
            <v>08</v>
          </cell>
          <cell r="F7528" t="str">
            <v>PAQ35a40</v>
          </cell>
          <cell r="G7528" t="str">
            <v>B</v>
          </cell>
          <cell r="H7528">
            <v>26.76</v>
          </cell>
        </row>
        <row r="7529">
          <cell r="A7529" t="str">
            <v>1;08;RB;F;</v>
          </cell>
          <cell r="B7529">
            <v>730069</v>
          </cell>
          <cell r="C7529" t="str">
            <v>RB</v>
          </cell>
          <cell r="D7529" t="str">
            <v>INTRA BALEARES</v>
          </cell>
          <cell r="E7529" t="str">
            <v>08</v>
          </cell>
          <cell r="F7529" t="str">
            <v/>
          </cell>
          <cell r="G7529" t="str">
            <v>F</v>
          </cell>
          <cell r="H7529">
            <v>2.57</v>
          </cell>
        </row>
        <row r="7530">
          <cell r="A7530" t="str">
            <v>1;08;RB;E;</v>
          </cell>
          <cell r="B7530">
            <v>730069</v>
          </cell>
          <cell r="C7530" t="str">
            <v>RB</v>
          </cell>
          <cell r="D7530" t="str">
            <v>INTRA BALEARES</v>
          </cell>
          <cell r="E7530" t="str">
            <v>08</v>
          </cell>
          <cell r="F7530" t="str">
            <v/>
          </cell>
          <cell r="G7530" t="str">
            <v>E</v>
          </cell>
          <cell r="H7530">
            <v>2.57</v>
          </cell>
        </row>
        <row r="7531">
          <cell r="A7531" t="str">
            <v>1;08;RB;P;</v>
          </cell>
          <cell r="B7531">
            <v>730069</v>
          </cell>
          <cell r="C7531" t="str">
            <v>RB</v>
          </cell>
          <cell r="D7531" t="str">
            <v>INTRA BALEARES</v>
          </cell>
          <cell r="E7531" t="str">
            <v>08</v>
          </cell>
          <cell r="F7531" t="str">
            <v/>
          </cell>
          <cell r="G7531" t="str">
            <v>P</v>
          </cell>
          <cell r="H7531">
            <v>2.57</v>
          </cell>
        </row>
        <row r="7532">
          <cell r="A7532" t="str">
            <v>1;10;RB;B;BAG</v>
          </cell>
          <cell r="B7532">
            <v>730069</v>
          </cell>
          <cell r="C7532" t="str">
            <v>RB</v>
          </cell>
          <cell r="D7532" t="str">
            <v>INTRA BALEARES</v>
          </cell>
          <cell r="E7532" t="str">
            <v>10</v>
          </cell>
          <cell r="F7532" t="str">
            <v>BAG</v>
          </cell>
          <cell r="G7532" t="str">
            <v>B</v>
          </cell>
          <cell r="H7532">
            <v>1.67</v>
          </cell>
        </row>
        <row r="7533">
          <cell r="A7533" t="str">
            <v>1;10;RB;B;DOCS</v>
          </cell>
          <cell r="B7533">
            <v>730069</v>
          </cell>
          <cell r="C7533" t="str">
            <v>RB</v>
          </cell>
          <cell r="D7533" t="str">
            <v>INTRA BALEARES</v>
          </cell>
          <cell r="E7533" t="str">
            <v>10</v>
          </cell>
          <cell r="F7533" t="str">
            <v>DOCS</v>
          </cell>
          <cell r="G7533" t="str">
            <v>B</v>
          </cell>
          <cell r="H7533">
            <v>1.67</v>
          </cell>
        </row>
        <row r="7534">
          <cell r="A7534" t="str">
            <v>1;11;RB;B;BAG</v>
          </cell>
          <cell r="B7534">
            <v>730069</v>
          </cell>
          <cell r="C7534" t="str">
            <v>RB</v>
          </cell>
          <cell r="D7534" t="str">
            <v>INTRA BALEARES</v>
          </cell>
          <cell r="E7534" t="str">
            <v>11</v>
          </cell>
          <cell r="F7534" t="str">
            <v>BAG</v>
          </cell>
          <cell r="G7534" t="str">
            <v>B</v>
          </cell>
          <cell r="H7534">
            <v>24.38</v>
          </cell>
        </row>
        <row r="7535">
          <cell r="A7535" t="str">
            <v>1;11;RB;B;DOCS</v>
          </cell>
          <cell r="B7535">
            <v>730069</v>
          </cell>
          <cell r="C7535" t="str">
            <v>RB</v>
          </cell>
          <cell r="D7535" t="str">
            <v>INTRA BALEARES</v>
          </cell>
          <cell r="E7535" t="str">
            <v>11</v>
          </cell>
          <cell r="F7535" t="str">
            <v>DOCS</v>
          </cell>
          <cell r="G7535" t="str">
            <v>B</v>
          </cell>
          <cell r="H7535">
            <v>21.42</v>
          </cell>
        </row>
        <row r="7536">
          <cell r="A7536" t="str">
            <v>1;11;RB;B;PAQ00a02</v>
          </cell>
          <cell r="B7536">
            <v>730069</v>
          </cell>
          <cell r="C7536" t="str">
            <v>RB</v>
          </cell>
          <cell r="D7536" t="str">
            <v>INTRA BALEARES</v>
          </cell>
          <cell r="E7536" t="str">
            <v>11</v>
          </cell>
          <cell r="F7536" t="str">
            <v>PAQ00a02</v>
          </cell>
          <cell r="G7536" t="str">
            <v>B</v>
          </cell>
          <cell r="H7536">
            <v>25.04</v>
          </cell>
        </row>
        <row r="7537">
          <cell r="A7537" t="str">
            <v>1;11;RB;B;PAQ02a05</v>
          </cell>
          <cell r="B7537">
            <v>730069</v>
          </cell>
          <cell r="C7537" t="str">
            <v>RB</v>
          </cell>
          <cell r="D7537" t="str">
            <v>INTRA BALEARES</v>
          </cell>
          <cell r="E7537" t="str">
            <v>11</v>
          </cell>
          <cell r="F7537" t="str">
            <v>PAQ02a05</v>
          </cell>
          <cell r="G7537" t="str">
            <v>B</v>
          </cell>
          <cell r="H7537">
            <v>25.04</v>
          </cell>
        </row>
        <row r="7538">
          <cell r="A7538" t="str">
            <v>1;11;RB;B;PAQ05a10</v>
          </cell>
          <cell r="B7538">
            <v>730069</v>
          </cell>
          <cell r="C7538" t="str">
            <v>RB</v>
          </cell>
          <cell r="D7538" t="str">
            <v>INTRA BALEARES</v>
          </cell>
          <cell r="E7538" t="str">
            <v>11</v>
          </cell>
          <cell r="F7538" t="str">
            <v>PAQ05a10</v>
          </cell>
          <cell r="G7538" t="str">
            <v>B</v>
          </cell>
          <cell r="H7538">
            <v>34.81</v>
          </cell>
        </row>
        <row r="7539">
          <cell r="A7539" t="str">
            <v>1;11;RB;B;PAQ10a15</v>
          </cell>
          <cell r="B7539">
            <v>730069</v>
          </cell>
          <cell r="C7539" t="str">
            <v>RB</v>
          </cell>
          <cell r="D7539" t="str">
            <v>INTRA BALEARES</v>
          </cell>
          <cell r="E7539" t="str">
            <v>11</v>
          </cell>
          <cell r="F7539" t="str">
            <v>PAQ10a15</v>
          </cell>
          <cell r="G7539" t="str">
            <v>B</v>
          </cell>
          <cell r="H7539">
            <v>45.59</v>
          </cell>
        </row>
        <row r="7540">
          <cell r="A7540" t="str">
            <v>1;11;RB;B;PAQ15a20</v>
          </cell>
          <cell r="B7540">
            <v>730069</v>
          </cell>
          <cell r="C7540" t="str">
            <v>RB</v>
          </cell>
          <cell r="D7540" t="str">
            <v>INTRA BALEARES</v>
          </cell>
          <cell r="E7540" t="str">
            <v>11</v>
          </cell>
          <cell r="F7540" t="str">
            <v>PAQ15a20</v>
          </cell>
          <cell r="G7540" t="str">
            <v>B</v>
          </cell>
          <cell r="H7540">
            <v>56.39</v>
          </cell>
        </row>
        <row r="7541">
          <cell r="A7541" t="str">
            <v>1;11;RB;B;PAQ20a25</v>
          </cell>
          <cell r="B7541">
            <v>730069</v>
          </cell>
          <cell r="C7541" t="str">
            <v>RB</v>
          </cell>
          <cell r="D7541" t="str">
            <v>INTRA BALEARES</v>
          </cell>
          <cell r="E7541" t="str">
            <v>11</v>
          </cell>
          <cell r="F7541" t="str">
            <v>PAQ20a25</v>
          </cell>
          <cell r="G7541" t="str">
            <v>B</v>
          </cell>
          <cell r="H7541">
            <v>67.180000000000007</v>
          </cell>
        </row>
        <row r="7542">
          <cell r="A7542" t="str">
            <v>1;11;RB;B;PAQ25a30</v>
          </cell>
          <cell r="B7542">
            <v>730069</v>
          </cell>
          <cell r="C7542" t="str">
            <v>RB</v>
          </cell>
          <cell r="D7542" t="str">
            <v>INTRA BALEARES</v>
          </cell>
          <cell r="E7542" t="str">
            <v>11</v>
          </cell>
          <cell r="F7542" t="str">
            <v>PAQ25a30</v>
          </cell>
          <cell r="G7542" t="str">
            <v>B</v>
          </cell>
          <cell r="H7542">
            <v>77.97</v>
          </cell>
        </row>
        <row r="7543">
          <cell r="A7543" t="str">
            <v>1;11;RB;B;PAQ30a35</v>
          </cell>
          <cell r="B7543">
            <v>730069</v>
          </cell>
          <cell r="C7543" t="str">
            <v>RB</v>
          </cell>
          <cell r="D7543" t="str">
            <v>INTRA BALEARES</v>
          </cell>
          <cell r="E7543" t="str">
            <v>11</v>
          </cell>
          <cell r="F7543" t="str">
            <v>PAQ30a35</v>
          </cell>
          <cell r="G7543" t="str">
            <v>B</v>
          </cell>
          <cell r="H7543">
            <v>88.77</v>
          </cell>
        </row>
        <row r="7544">
          <cell r="A7544" t="str">
            <v>1;11;RB;F;</v>
          </cell>
          <cell r="B7544">
            <v>730069</v>
          </cell>
          <cell r="C7544" t="str">
            <v>RB</v>
          </cell>
          <cell r="D7544" t="str">
            <v>INTRA BALEARES</v>
          </cell>
          <cell r="E7544" t="str">
            <v>11</v>
          </cell>
          <cell r="F7544" t="str">
            <v/>
          </cell>
          <cell r="G7544" t="str">
            <v>F</v>
          </cell>
          <cell r="H7544">
            <v>10.79</v>
          </cell>
        </row>
        <row r="7545">
          <cell r="A7545" t="str">
            <v>1;11;RB;B;PAQ35a40</v>
          </cell>
          <cell r="B7545">
            <v>730069</v>
          </cell>
          <cell r="C7545" t="str">
            <v>RB</v>
          </cell>
          <cell r="D7545" t="str">
            <v>INTRA BALEARES</v>
          </cell>
          <cell r="E7545" t="str">
            <v>11</v>
          </cell>
          <cell r="F7545" t="str">
            <v>PAQ35a40</v>
          </cell>
          <cell r="G7545" t="str">
            <v>B</v>
          </cell>
          <cell r="H7545">
            <v>99.56</v>
          </cell>
        </row>
        <row r="7546">
          <cell r="A7546" t="str">
            <v>1;11;RB;P;</v>
          </cell>
          <cell r="B7546">
            <v>730069</v>
          </cell>
          <cell r="C7546" t="str">
            <v>RB</v>
          </cell>
          <cell r="D7546" t="str">
            <v>INTRA BALEARES</v>
          </cell>
          <cell r="E7546" t="str">
            <v>11</v>
          </cell>
          <cell r="F7546" t="str">
            <v/>
          </cell>
          <cell r="G7546" t="str">
            <v>P</v>
          </cell>
          <cell r="H7546">
            <v>13.8</v>
          </cell>
        </row>
        <row r="7547">
          <cell r="A7547" t="str">
            <v>1;11;RB;E;</v>
          </cell>
          <cell r="B7547">
            <v>730069</v>
          </cell>
          <cell r="C7547" t="str">
            <v>RB</v>
          </cell>
          <cell r="D7547" t="str">
            <v>INTRA BALEARES</v>
          </cell>
          <cell r="E7547" t="str">
            <v>11</v>
          </cell>
          <cell r="F7547" t="str">
            <v/>
          </cell>
          <cell r="G7547" t="str">
            <v>E</v>
          </cell>
          <cell r="H7547">
            <v>13.8</v>
          </cell>
        </row>
        <row r="7548">
          <cell r="A7548" t="str">
            <v>1;14;RB;B;BAG</v>
          </cell>
          <cell r="B7548">
            <v>730069</v>
          </cell>
          <cell r="C7548" t="str">
            <v>RB</v>
          </cell>
          <cell r="D7548" t="str">
            <v>INTRA BALEARES</v>
          </cell>
          <cell r="E7548" t="str">
            <v>14</v>
          </cell>
          <cell r="F7548" t="str">
            <v>BAG</v>
          </cell>
          <cell r="G7548" t="str">
            <v>B</v>
          </cell>
          <cell r="H7548">
            <v>1.75</v>
          </cell>
        </row>
        <row r="7549">
          <cell r="A7549" t="str">
            <v>1;15;RB;B;BAG</v>
          </cell>
          <cell r="B7549">
            <v>730069</v>
          </cell>
          <cell r="C7549" t="str">
            <v>RB</v>
          </cell>
          <cell r="D7549" t="str">
            <v>INTRA BALEARES</v>
          </cell>
          <cell r="E7549" t="str">
            <v>15</v>
          </cell>
          <cell r="F7549" t="str">
            <v>BAG</v>
          </cell>
          <cell r="G7549" t="str">
            <v>B</v>
          </cell>
          <cell r="H7549">
            <v>1.75</v>
          </cell>
        </row>
        <row r="7550">
          <cell r="A7550" t="str">
            <v>1;21;RB;B;BAG</v>
          </cell>
          <cell r="B7550">
            <v>730069</v>
          </cell>
          <cell r="C7550" t="str">
            <v>RB</v>
          </cell>
          <cell r="D7550" t="str">
            <v>INTRA BALEARES</v>
          </cell>
          <cell r="E7550" t="str">
            <v>21</v>
          </cell>
          <cell r="F7550" t="str">
            <v>BAG</v>
          </cell>
          <cell r="G7550" t="str">
            <v>B</v>
          </cell>
          <cell r="H7550">
            <v>17.36</v>
          </cell>
        </row>
        <row r="7551">
          <cell r="A7551" t="str">
            <v>1;21;RB;B;DOCS</v>
          </cell>
          <cell r="B7551">
            <v>730069</v>
          </cell>
          <cell r="C7551" t="str">
            <v>RB</v>
          </cell>
          <cell r="D7551" t="str">
            <v>INTRA BALEARES</v>
          </cell>
          <cell r="E7551" t="str">
            <v>21</v>
          </cell>
          <cell r="F7551" t="str">
            <v>DOCS</v>
          </cell>
          <cell r="G7551" t="str">
            <v>B</v>
          </cell>
          <cell r="H7551">
            <v>17.36</v>
          </cell>
        </row>
        <row r="7552">
          <cell r="A7552" t="str">
            <v>1;21;RB;B;PAQ00a02</v>
          </cell>
          <cell r="B7552">
            <v>730069</v>
          </cell>
          <cell r="C7552" t="str">
            <v>RB</v>
          </cell>
          <cell r="D7552" t="str">
            <v>INTRA BALEARES</v>
          </cell>
          <cell r="E7552" t="str">
            <v>21</v>
          </cell>
          <cell r="F7552" t="str">
            <v>PAQ00a02</v>
          </cell>
          <cell r="G7552" t="str">
            <v>B</v>
          </cell>
          <cell r="H7552">
            <v>19.12</v>
          </cell>
        </row>
        <row r="7553">
          <cell r="A7553" t="str">
            <v>1;21;RB;B;PAQ02a05</v>
          </cell>
          <cell r="B7553">
            <v>730069</v>
          </cell>
          <cell r="C7553" t="str">
            <v>RB</v>
          </cell>
          <cell r="D7553" t="str">
            <v>INTRA BALEARES</v>
          </cell>
          <cell r="E7553" t="str">
            <v>21</v>
          </cell>
          <cell r="F7553" t="str">
            <v>PAQ02a05</v>
          </cell>
          <cell r="G7553" t="str">
            <v>B</v>
          </cell>
          <cell r="H7553">
            <v>19.12</v>
          </cell>
        </row>
        <row r="7554">
          <cell r="A7554" t="str">
            <v>1;21;RB;B;PAQ05a10</v>
          </cell>
          <cell r="B7554">
            <v>730069</v>
          </cell>
          <cell r="C7554" t="str">
            <v>RB</v>
          </cell>
          <cell r="D7554" t="str">
            <v>INTRA BALEARES</v>
          </cell>
          <cell r="E7554" t="str">
            <v>21</v>
          </cell>
          <cell r="F7554" t="str">
            <v>PAQ05a10</v>
          </cell>
          <cell r="G7554" t="str">
            <v>B</v>
          </cell>
          <cell r="H7554">
            <v>20.34</v>
          </cell>
        </row>
        <row r="7555">
          <cell r="A7555" t="str">
            <v>1;21;RB;B;PAQ10a15</v>
          </cell>
          <cell r="B7555">
            <v>730069</v>
          </cell>
          <cell r="C7555" t="str">
            <v>RB</v>
          </cell>
          <cell r="D7555" t="str">
            <v>INTRA BALEARES</v>
          </cell>
          <cell r="E7555" t="str">
            <v>21</v>
          </cell>
          <cell r="F7555" t="str">
            <v>PAQ10a15</v>
          </cell>
          <cell r="G7555" t="str">
            <v>B</v>
          </cell>
          <cell r="H7555">
            <v>23.22</v>
          </cell>
        </row>
        <row r="7556">
          <cell r="A7556" t="str">
            <v>1;21;RB;B;PAQ15a20</v>
          </cell>
          <cell r="B7556">
            <v>730069</v>
          </cell>
          <cell r="C7556" t="str">
            <v>RB</v>
          </cell>
          <cell r="D7556" t="str">
            <v>INTRA BALEARES</v>
          </cell>
          <cell r="E7556" t="str">
            <v>21</v>
          </cell>
          <cell r="F7556" t="str">
            <v>PAQ15a20</v>
          </cell>
          <cell r="G7556" t="str">
            <v>B</v>
          </cell>
          <cell r="H7556">
            <v>26.09</v>
          </cell>
        </row>
        <row r="7557">
          <cell r="A7557" t="str">
            <v>1;21;RB;B;PAQ20a25</v>
          </cell>
          <cell r="B7557">
            <v>730069</v>
          </cell>
          <cell r="C7557" t="str">
            <v>RB</v>
          </cell>
          <cell r="D7557" t="str">
            <v>INTRA BALEARES</v>
          </cell>
          <cell r="E7557" t="str">
            <v>21</v>
          </cell>
          <cell r="F7557" t="str">
            <v>PAQ20a25</v>
          </cell>
          <cell r="G7557" t="str">
            <v>B</v>
          </cell>
          <cell r="H7557">
            <v>28.97</v>
          </cell>
        </row>
        <row r="7558">
          <cell r="A7558" t="str">
            <v>1;21;RB;B;PAQ25a30</v>
          </cell>
          <cell r="B7558">
            <v>730069</v>
          </cell>
          <cell r="C7558" t="str">
            <v>RB</v>
          </cell>
          <cell r="D7558" t="str">
            <v>INTRA BALEARES</v>
          </cell>
          <cell r="E7558" t="str">
            <v>21</v>
          </cell>
          <cell r="F7558" t="str">
            <v>PAQ25a30</v>
          </cell>
          <cell r="G7558" t="str">
            <v>B</v>
          </cell>
          <cell r="H7558">
            <v>31.85</v>
          </cell>
        </row>
        <row r="7559">
          <cell r="A7559" t="str">
            <v>1;21;RB;B;PAQ30a35</v>
          </cell>
          <cell r="B7559">
            <v>730069</v>
          </cell>
          <cell r="C7559" t="str">
            <v>RB</v>
          </cell>
          <cell r="D7559" t="str">
            <v>INTRA BALEARES</v>
          </cell>
          <cell r="E7559" t="str">
            <v>21</v>
          </cell>
          <cell r="F7559" t="str">
            <v>PAQ30a35</v>
          </cell>
          <cell r="G7559" t="str">
            <v>B</v>
          </cell>
          <cell r="H7559">
            <v>34.72</v>
          </cell>
        </row>
        <row r="7560">
          <cell r="A7560" t="str">
            <v>1;21;RB;F;</v>
          </cell>
          <cell r="B7560">
            <v>730069</v>
          </cell>
          <cell r="C7560" t="str">
            <v>RB</v>
          </cell>
          <cell r="D7560" t="str">
            <v>INTRA BALEARES</v>
          </cell>
          <cell r="E7560" t="str">
            <v>21</v>
          </cell>
          <cell r="F7560" t="str">
            <v/>
          </cell>
          <cell r="G7560" t="str">
            <v>F</v>
          </cell>
          <cell r="H7560">
            <v>2.88</v>
          </cell>
        </row>
        <row r="7561">
          <cell r="A7561" t="str">
            <v>1;21;RB;B;PAQ35a40</v>
          </cell>
          <cell r="B7561">
            <v>730069</v>
          </cell>
          <cell r="C7561" t="str">
            <v>RB</v>
          </cell>
          <cell r="D7561" t="str">
            <v>INTRA BALEARES</v>
          </cell>
          <cell r="E7561" t="str">
            <v>21</v>
          </cell>
          <cell r="F7561" t="str">
            <v>PAQ35a40</v>
          </cell>
          <cell r="G7561" t="str">
            <v>B</v>
          </cell>
          <cell r="H7561">
            <v>37.6</v>
          </cell>
        </row>
        <row r="7562">
          <cell r="A7562" t="str">
            <v>1;21;RB;E;</v>
          </cell>
          <cell r="B7562">
            <v>730069</v>
          </cell>
          <cell r="C7562" t="str">
            <v>RB</v>
          </cell>
          <cell r="D7562" t="str">
            <v>INTRA BALEARES</v>
          </cell>
          <cell r="E7562" t="str">
            <v>21</v>
          </cell>
          <cell r="F7562" t="str">
            <v/>
          </cell>
          <cell r="G7562" t="str">
            <v>E</v>
          </cell>
          <cell r="H7562">
            <v>11.83</v>
          </cell>
        </row>
        <row r="7563">
          <cell r="A7563" t="str">
            <v>1;21;RB;P;</v>
          </cell>
          <cell r="B7563">
            <v>730069</v>
          </cell>
          <cell r="C7563" t="str">
            <v>RB</v>
          </cell>
          <cell r="D7563" t="str">
            <v>INTRA BALEARES</v>
          </cell>
          <cell r="E7563" t="str">
            <v>21</v>
          </cell>
          <cell r="F7563" t="str">
            <v/>
          </cell>
          <cell r="G7563" t="str">
            <v>P</v>
          </cell>
          <cell r="H7563">
            <v>11.83</v>
          </cell>
        </row>
        <row r="7564">
          <cell r="A7564" t="str">
            <v>1;26;RB;B;BAG</v>
          </cell>
          <cell r="B7564">
            <v>730069</v>
          </cell>
          <cell r="C7564" t="str">
            <v>RB</v>
          </cell>
          <cell r="D7564" t="str">
            <v>INTRA BALEARES</v>
          </cell>
          <cell r="E7564" t="str">
            <v>26</v>
          </cell>
          <cell r="F7564" t="str">
            <v>BAG</v>
          </cell>
          <cell r="G7564" t="str">
            <v>B</v>
          </cell>
          <cell r="H7564">
            <v>5.91</v>
          </cell>
        </row>
        <row r="7565">
          <cell r="A7565" t="str">
            <v>1;26;RB;B;PAQ00a02</v>
          </cell>
          <cell r="B7565">
            <v>730069</v>
          </cell>
          <cell r="C7565" t="str">
            <v>RB</v>
          </cell>
          <cell r="D7565" t="str">
            <v>INTRA BALEARES</v>
          </cell>
          <cell r="E7565" t="str">
            <v>26</v>
          </cell>
          <cell r="F7565" t="str">
            <v>PAQ00a02</v>
          </cell>
          <cell r="G7565" t="str">
            <v>B</v>
          </cell>
          <cell r="H7565">
            <v>5.91</v>
          </cell>
        </row>
        <row r="7566">
          <cell r="A7566" t="str">
            <v>1;26;RB;B;PAQ02a05</v>
          </cell>
          <cell r="B7566">
            <v>730069</v>
          </cell>
          <cell r="C7566" t="str">
            <v>RB</v>
          </cell>
          <cell r="D7566" t="str">
            <v>INTRA BALEARES</v>
          </cell>
          <cell r="E7566" t="str">
            <v>26</v>
          </cell>
          <cell r="F7566" t="str">
            <v>PAQ02a05</v>
          </cell>
          <cell r="G7566" t="str">
            <v>B</v>
          </cell>
          <cell r="H7566">
            <v>7</v>
          </cell>
        </row>
        <row r="7567">
          <cell r="A7567" t="str">
            <v>1;26;RB;B;PAQ05a10</v>
          </cell>
          <cell r="B7567">
            <v>730069</v>
          </cell>
          <cell r="C7567" t="str">
            <v>RB</v>
          </cell>
          <cell r="D7567" t="str">
            <v>INTRA BALEARES</v>
          </cell>
          <cell r="E7567" t="str">
            <v>26</v>
          </cell>
          <cell r="F7567" t="str">
            <v>PAQ05a10</v>
          </cell>
          <cell r="G7567" t="str">
            <v>B</v>
          </cell>
          <cell r="H7567">
            <v>7.5</v>
          </cell>
        </row>
        <row r="7568">
          <cell r="A7568" t="str">
            <v>1;26;RB;B;PAQ10a15</v>
          </cell>
          <cell r="B7568">
            <v>730069</v>
          </cell>
          <cell r="C7568" t="str">
            <v>RB</v>
          </cell>
          <cell r="D7568" t="str">
            <v>INTRA BALEARES</v>
          </cell>
          <cell r="E7568" t="str">
            <v>26</v>
          </cell>
          <cell r="F7568" t="str">
            <v>PAQ10a15</v>
          </cell>
          <cell r="G7568" t="str">
            <v>B</v>
          </cell>
          <cell r="H7568">
            <v>8.1199999999999992</v>
          </cell>
        </row>
        <row r="7569">
          <cell r="A7569" t="str">
            <v>1;26;RB;B;PAQ15a20</v>
          </cell>
          <cell r="B7569">
            <v>730069</v>
          </cell>
          <cell r="C7569" t="str">
            <v>RB</v>
          </cell>
          <cell r="D7569" t="str">
            <v>INTRA BALEARES</v>
          </cell>
          <cell r="E7569" t="str">
            <v>26</v>
          </cell>
          <cell r="F7569" t="str">
            <v>PAQ15a20</v>
          </cell>
          <cell r="G7569" t="str">
            <v>B</v>
          </cell>
          <cell r="H7569">
            <v>8.7200000000000006</v>
          </cell>
        </row>
        <row r="7570">
          <cell r="A7570" t="str">
            <v>1;35;RB;B;BAG</v>
          </cell>
          <cell r="B7570">
            <v>730069</v>
          </cell>
          <cell r="C7570" t="str">
            <v>RB</v>
          </cell>
          <cell r="D7570" t="str">
            <v>INTRA BALEARES</v>
          </cell>
          <cell r="E7570" t="str">
            <v>35</v>
          </cell>
          <cell r="F7570" t="str">
            <v>BAG</v>
          </cell>
          <cell r="G7570" t="str">
            <v>B</v>
          </cell>
          <cell r="H7570">
            <v>2.21</v>
          </cell>
        </row>
        <row r="7571">
          <cell r="A7571" t="str">
            <v>1;35;RB;B;DOCS</v>
          </cell>
          <cell r="B7571">
            <v>730069</v>
          </cell>
          <cell r="C7571" t="str">
            <v>RB</v>
          </cell>
          <cell r="D7571" t="str">
            <v>INTRA BALEARES</v>
          </cell>
          <cell r="E7571" t="str">
            <v>35</v>
          </cell>
          <cell r="F7571" t="str">
            <v>DOCS</v>
          </cell>
          <cell r="G7571" t="str">
            <v>B</v>
          </cell>
          <cell r="H7571">
            <v>2.21</v>
          </cell>
        </row>
        <row r="7572">
          <cell r="A7572" t="str">
            <v>1;35;RB;B;PAQ00a05</v>
          </cell>
          <cell r="B7572">
            <v>730069</v>
          </cell>
          <cell r="C7572" t="str">
            <v>RB</v>
          </cell>
          <cell r="D7572" t="str">
            <v>INTRA BALEARES</v>
          </cell>
          <cell r="E7572" t="str">
            <v>35</v>
          </cell>
          <cell r="F7572" t="str">
            <v>PAQ00a05</v>
          </cell>
          <cell r="G7572" t="str">
            <v>B</v>
          </cell>
          <cell r="H7572">
            <v>2.21</v>
          </cell>
        </row>
        <row r="7573">
          <cell r="A7573" t="str">
            <v>1;35;RB;B;PAQ05a10</v>
          </cell>
          <cell r="B7573">
            <v>730069</v>
          </cell>
          <cell r="C7573" t="str">
            <v>RB</v>
          </cell>
          <cell r="D7573" t="str">
            <v>INTRA BALEARES</v>
          </cell>
          <cell r="E7573" t="str">
            <v>35</v>
          </cell>
          <cell r="F7573" t="str">
            <v>PAQ05a10</v>
          </cell>
          <cell r="G7573" t="str">
            <v>B</v>
          </cell>
          <cell r="H7573">
            <v>2.21</v>
          </cell>
        </row>
        <row r="7574">
          <cell r="A7574" t="str">
            <v>1;35;RB;B;PAQ10a15</v>
          </cell>
          <cell r="B7574">
            <v>730069</v>
          </cell>
          <cell r="C7574" t="str">
            <v>RB</v>
          </cell>
          <cell r="D7574" t="str">
            <v>INTRA BALEARES</v>
          </cell>
          <cell r="E7574" t="str">
            <v>35</v>
          </cell>
          <cell r="F7574" t="str">
            <v>PAQ10a15</v>
          </cell>
          <cell r="G7574" t="str">
            <v>B</v>
          </cell>
          <cell r="H7574">
            <v>2.21</v>
          </cell>
        </row>
        <row r="7575">
          <cell r="A7575" t="str">
            <v>1;35;RB;B;PAQ15a20</v>
          </cell>
          <cell r="B7575">
            <v>730069</v>
          </cell>
          <cell r="C7575" t="str">
            <v>RB</v>
          </cell>
          <cell r="D7575" t="str">
            <v>INTRA BALEARES</v>
          </cell>
          <cell r="E7575" t="str">
            <v>35</v>
          </cell>
          <cell r="F7575" t="str">
            <v>PAQ15a20</v>
          </cell>
          <cell r="G7575" t="str">
            <v>B</v>
          </cell>
          <cell r="H7575">
            <v>2.21</v>
          </cell>
        </row>
        <row r="7576">
          <cell r="A7576" t="str">
            <v>1;35;RB;B;PAQ20a25</v>
          </cell>
          <cell r="B7576">
            <v>730069</v>
          </cell>
          <cell r="C7576" t="str">
            <v>RB</v>
          </cell>
          <cell r="D7576" t="str">
            <v>INTRA BALEARES</v>
          </cell>
          <cell r="E7576" t="str">
            <v>35</v>
          </cell>
          <cell r="F7576" t="str">
            <v>PAQ20a25</v>
          </cell>
          <cell r="G7576" t="str">
            <v>B</v>
          </cell>
          <cell r="H7576">
            <v>3.96</v>
          </cell>
        </row>
        <row r="7577">
          <cell r="A7577" t="str">
            <v>1;35;RB;B;PAQ25a30</v>
          </cell>
          <cell r="B7577">
            <v>730069</v>
          </cell>
          <cell r="C7577" t="str">
            <v>RB</v>
          </cell>
          <cell r="D7577" t="str">
            <v>INTRA BALEARES</v>
          </cell>
          <cell r="E7577" t="str">
            <v>35</v>
          </cell>
          <cell r="F7577" t="str">
            <v>PAQ25a30</v>
          </cell>
          <cell r="G7577" t="str">
            <v>B</v>
          </cell>
          <cell r="H7577">
            <v>3.96</v>
          </cell>
        </row>
        <row r="7578">
          <cell r="A7578" t="str">
            <v>1;35;RB;B;PAQ30a35</v>
          </cell>
          <cell r="B7578">
            <v>730069</v>
          </cell>
          <cell r="C7578" t="str">
            <v>RB</v>
          </cell>
          <cell r="D7578" t="str">
            <v>INTRA BALEARES</v>
          </cell>
          <cell r="E7578" t="str">
            <v>35</v>
          </cell>
          <cell r="F7578" t="str">
            <v>PAQ30a35</v>
          </cell>
          <cell r="G7578" t="str">
            <v>B</v>
          </cell>
          <cell r="H7578">
            <v>3.96</v>
          </cell>
        </row>
        <row r="7579">
          <cell r="A7579" t="str">
            <v>1;35;RB;B;PAQ35a40</v>
          </cell>
          <cell r="B7579">
            <v>730069</v>
          </cell>
          <cell r="C7579" t="str">
            <v>RB</v>
          </cell>
          <cell r="D7579" t="str">
            <v>INTRA BALEARES</v>
          </cell>
          <cell r="E7579" t="str">
            <v>35</v>
          </cell>
          <cell r="F7579" t="str">
            <v>PAQ35a40</v>
          </cell>
          <cell r="G7579" t="str">
            <v>B</v>
          </cell>
          <cell r="H7579">
            <v>3.96</v>
          </cell>
        </row>
        <row r="7580">
          <cell r="A7580" t="str">
            <v>1;35;RB;F;</v>
          </cell>
          <cell r="B7580">
            <v>730069</v>
          </cell>
          <cell r="C7580" t="str">
            <v>RB</v>
          </cell>
          <cell r="D7580" t="str">
            <v>INTRA BALEARES</v>
          </cell>
          <cell r="E7580" t="str">
            <v>35</v>
          </cell>
          <cell r="F7580" t="str">
            <v/>
          </cell>
          <cell r="G7580" t="str">
            <v>F</v>
          </cell>
          <cell r="H7580">
            <v>1.23</v>
          </cell>
        </row>
        <row r="7581">
          <cell r="A7581" t="str">
            <v>1;35;RB;P;</v>
          </cell>
          <cell r="B7581">
            <v>730069</v>
          </cell>
          <cell r="C7581" t="str">
            <v>RB</v>
          </cell>
          <cell r="D7581" t="str">
            <v>INTRA BALEARES</v>
          </cell>
          <cell r="E7581" t="str">
            <v>35</v>
          </cell>
          <cell r="F7581" t="str">
            <v/>
          </cell>
          <cell r="G7581" t="str">
            <v>P</v>
          </cell>
          <cell r="H7581">
            <v>1.23</v>
          </cell>
        </row>
        <row r="7582">
          <cell r="A7582" t="str">
            <v>1;35;RB;E;</v>
          </cell>
          <cell r="B7582">
            <v>730069</v>
          </cell>
          <cell r="C7582" t="str">
            <v>RB</v>
          </cell>
          <cell r="D7582" t="str">
            <v>INTRA BALEARES</v>
          </cell>
          <cell r="E7582" t="str">
            <v>35</v>
          </cell>
          <cell r="F7582" t="str">
            <v/>
          </cell>
          <cell r="G7582" t="str">
            <v>E</v>
          </cell>
          <cell r="H7582">
            <v>1.23</v>
          </cell>
        </row>
        <row r="7583">
          <cell r="A7583" t="str">
            <v>1;60;RB;B;BAG</v>
          </cell>
          <cell r="B7583">
            <v>730069</v>
          </cell>
          <cell r="C7583" t="str">
            <v>RB</v>
          </cell>
          <cell r="D7583" t="str">
            <v>INTRA BALEARES</v>
          </cell>
          <cell r="E7583" t="str">
            <v>60</v>
          </cell>
          <cell r="F7583" t="str">
            <v>BAG</v>
          </cell>
          <cell r="G7583" t="str">
            <v>B</v>
          </cell>
          <cell r="H7583">
            <v>25.85</v>
          </cell>
        </row>
        <row r="7584">
          <cell r="A7584" t="str">
            <v>1;60;RB;B;PAQ00a05</v>
          </cell>
          <cell r="B7584">
            <v>730069</v>
          </cell>
          <cell r="C7584" t="str">
            <v>RB</v>
          </cell>
          <cell r="D7584" t="str">
            <v>INTRA BALEARES</v>
          </cell>
          <cell r="E7584" t="str">
            <v>60</v>
          </cell>
          <cell r="F7584" t="str">
            <v>PAQ00a05</v>
          </cell>
          <cell r="G7584" t="str">
            <v>B</v>
          </cell>
          <cell r="H7584">
            <v>26.5</v>
          </cell>
        </row>
        <row r="7585">
          <cell r="A7585" t="str">
            <v>1;60;RB;B;PAQ05a10</v>
          </cell>
          <cell r="B7585">
            <v>730069</v>
          </cell>
          <cell r="C7585" t="str">
            <v>RB</v>
          </cell>
          <cell r="D7585" t="str">
            <v>INTRA BALEARES</v>
          </cell>
          <cell r="E7585" t="str">
            <v>60</v>
          </cell>
          <cell r="F7585" t="str">
            <v>PAQ05a10</v>
          </cell>
          <cell r="G7585" t="str">
            <v>B</v>
          </cell>
          <cell r="H7585">
            <v>36.270000000000003</v>
          </cell>
        </row>
        <row r="7586">
          <cell r="A7586" t="str">
            <v>1;60;RB;B;PAQ10a15</v>
          </cell>
          <cell r="B7586">
            <v>730069</v>
          </cell>
          <cell r="C7586" t="str">
            <v>RB</v>
          </cell>
          <cell r="D7586" t="str">
            <v>INTRA BALEARES</v>
          </cell>
          <cell r="E7586" t="str">
            <v>60</v>
          </cell>
          <cell r="F7586" t="str">
            <v>PAQ10a15</v>
          </cell>
          <cell r="G7586" t="str">
            <v>B</v>
          </cell>
          <cell r="H7586">
            <v>47.06</v>
          </cell>
        </row>
        <row r="7587">
          <cell r="A7587" t="str">
            <v>1;60;RB;B;PAQ15a20</v>
          </cell>
          <cell r="B7587">
            <v>730069</v>
          </cell>
          <cell r="C7587" t="str">
            <v>RB</v>
          </cell>
          <cell r="D7587" t="str">
            <v>INTRA BALEARES</v>
          </cell>
          <cell r="E7587" t="str">
            <v>60</v>
          </cell>
          <cell r="F7587" t="str">
            <v>PAQ15a20</v>
          </cell>
          <cell r="G7587" t="str">
            <v>B</v>
          </cell>
          <cell r="H7587">
            <v>57.84</v>
          </cell>
        </row>
        <row r="7588">
          <cell r="A7588" t="str">
            <v>1;60;RB;B;PAQ20a25</v>
          </cell>
          <cell r="B7588">
            <v>730069</v>
          </cell>
          <cell r="C7588" t="str">
            <v>RB</v>
          </cell>
          <cell r="D7588" t="str">
            <v>INTRA BALEARES</v>
          </cell>
          <cell r="E7588" t="str">
            <v>60</v>
          </cell>
          <cell r="F7588" t="str">
            <v>PAQ20a25</v>
          </cell>
          <cell r="G7588" t="str">
            <v>B</v>
          </cell>
          <cell r="H7588">
            <v>68.64</v>
          </cell>
        </row>
        <row r="7589">
          <cell r="A7589" t="str">
            <v>1;60;RB;B;PAQ25a30</v>
          </cell>
          <cell r="B7589">
            <v>730069</v>
          </cell>
          <cell r="C7589" t="str">
            <v>RB</v>
          </cell>
          <cell r="D7589" t="str">
            <v>INTRA BALEARES</v>
          </cell>
          <cell r="E7589" t="str">
            <v>60</v>
          </cell>
          <cell r="F7589" t="str">
            <v>PAQ25a30</v>
          </cell>
          <cell r="G7589" t="str">
            <v>B</v>
          </cell>
          <cell r="H7589">
            <v>79.430000000000007</v>
          </cell>
        </row>
        <row r="7590">
          <cell r="A7590" t="str">
            <v>1;60;RB;B;PAQ30a35</v>
          </cell>
          <cell r="B7590">
            <v>730069</v>
          </cell>
          <cell r="C7590" t="str">
            <v>RB</v>
          </cell>
          <cell r="D7590" t="str">
            <v>INTRA BALEARES</v>
          </cell>
          <cell r="E7590" t="str">
            <v>60</v>
          </cell>
          <cell r="F7590" t="str">
            <v>PAQ30a35</v>
          </cell>
          <cell r="G7590" t="str">
            <v>B</v>
          </cell>
          <cell r="H7590">
            <v>90.23</v>
          </cell>
        </row>
        <row r="7591">
          <cell r="A7591" t="str">
            <v>1;60;RB;B;PAQ35a40</v>
          </cell>
          <cell r="B7591">
            <v>730069</v>
          </cell>
          <cell r="C7591" t="str">
            <v>RB</v>
          </cell>
          <cell r="D7591" t="str">
            <v>INTRA BALEARES</v>
          </cell>
          <cell r="E7591" t="str">
            <v>60</v>
          </cell>
          <cell r="F7591" t="str">
            <v>PAQ35a40</v>
          </cell>
          <cell r="G7591" t="str">
            <v>B</v>
          </cell>
          <cell r="H7591">
            <v>101.02</v>
          </cell>
        </row>
        <row r="7592">
          <cell r="A7592" t="str">
            <v>1;60;RB;F;</v>
          </cell>
          <cell r="B7592">
            <v>730069</v>
          </cell>
          <cell r="C7592" t="str">
            <v>RB</v>
          </cell>
          <cell r="D7592" t="str">
            <v>INTRA BALEARES</v>
          </cell>
          <cell r="E7592" t="str">
            <v>60</v>
          </cell>
          <cell r="F7592" t="str">
            <v/>
          </cell>
          <cell r="G7592" t="str">
            <v>F</v>
          </cell>
          <cell r="H7592">
            <v>10.79</v>
          </cell>
        </row>
        <row r="7593">
          <cell r="A7593" t="str">
            <v>1;60;RB;E;</v>
          </cell>
          <cell r="B7593">
            <v>730069</v>
          </cell>
          <cell r="C7593" t="str">
            <v>RB</v>
          </cell>
          <cell r="D7593" t="str">
            <v>INTRA BALEARES</v>
          </cell>
          <cell r="E7593" t="str">
            <v>60</v>
          </cell>
          <cell r="F7593" t="str">
            <v/>
          </cell>
          <cell r="G7593" t="str">
            <v>E</v>
          </cell>
          <cell r="H7593">
            <v>15.25</v>
          </cell>
        </row>
        <row r="7594">
          <cell r="A7594" t="str">
            <v>1;60;RB;P;</v>
          </cell>
          <cell r="B7594">
            <v>730069</v>
          </cell>
          <cell r="C7594" t="str">
            <v>RB</v>
          </cell>
          <cell r="D7594" t="str">
            <v>INTRA BALEARES</v>
          </cell>
          <cell r="E7594" t="str">
            <v>60</v>
          </cell>
          <cell r="F7594" t="str">
            <v/>
          </cell>
          <cell r="G7594" t="str">
            <v>P</v>
          </cell>
          <cell r="H7594">
            <v>15.25</v>
          </cell>
        </row>
        <row r="7595">
          <cell r="A7595" t="str">
            <v>1;61;RB;B;BAG</v>
          </cell>
          <cell r="B7595">
            <v>730069</v>
          </cell>
          <cell r="C7595" t="str">
            <v>RB</v>
          </cell>
          <cell r="D7595" t="str">
            <v>INTRA BALEARES</v>
          </cell>
          <cell r="E7595" t="str">
            <v>61</v>
          </cell>
          <cell r="F7595" t="str">
            <v>BAG</v>
          </cell>
          <cell r="G7595" t="str">
            <v>B</v>
          </cell>
          <cell r="H7595">
            <v>14.58</v>
          </cell>
        </row>
        <row r="7596">
          <cell r="A7596" t="str">
            <v>1;61;RB;B;PAQ00a05</v>
          </cell>
          <cell r="B7596">
            <v>730069</v>
          </cell>
          <cell r="C7596" t="str">
            <v>RB</v>
          </cell>
          <cell r="D7596" t="str">
            <v>INTRA BALEARES</v>
          </cell>
          <cell r="E7596" t="str">
            <v>61</v>
          </cell>
          <cell r="F7596" t="str">
            <v>PAQ00a05</v>
          </cell>
          <cell r="G7596" t="str">
            <v>B</v>
          </cell>
          <cell r="H7596">
            <v>15.25</v>
          </cell>
        </row>
        <row r="7597">
          <cell r="A7597" t="str">
            <v>1;61;RB;B;PAQ05a10</v>
          </cell>
          <cell r="B7597">
            <v>730069</v>
          </cell>
          <cell r="C7597" t="str">
            <v>RB</v>
          </cell>
          <cell r="D7597" t="str">
            <v>INTRA BALEARES</v>
          </cell>
          <cell r="E7597" t="str">
            <v>61</v>
          </cell>
          <cell r="F7597" t="str">
            <v>PAQ05a10</v>
          </cell>
          <cell r="G7597" t="str">
            <v>B</v>
          </cell>
          <cell r="H7597">
            <v>25</v>
          </cell>
        </row>
        <row r="7598">
          <cell r="A7598" t="str">
            <v>1;61;RB;B;PAQ10a15</v>
          </cell>
          <cell r="B7598">
            <v>730069</v>
          </cell>
          <cell r="C7598" t="str">
            <v>RB</v>
          </cell>
          <cell r="D7598" t="str">
            <v>INTRA BALEARES</v>
          </cell>
          <cell r="E7598" t="str">
            <v>61</v>
          </cell>
          <cell r="F7598" t="str">
            <v>PAQ10a15</v>
          </cell>
          <cell r="G7598" t="str">
            <v>B</v>
          </cell>
          <cell r="H7598">
            <v>35.79</v>
          </cell>
        </row>
        <row r="7599">
          <cell r="A7599" t="str">
            <v>1;61;RB;B;PAQ15a20</v>
          </cell>
          <cell r="B7599">
            <v>730069</v>
          </cell>
          <cell r="C7599" t="str">
            <v>RB</v>
          </cell>
          <cell r="D7599" t="str">
            <v>INTRA BALEARES</v>
          </cell>
          <cell r="E7599" t="str">
            <v>61</v>
          </cell>
          <cell r="F7599" t="str">
            <v>PAQ15a20</v>
          </cell>
          <cell r="G7599" t="str">
            <v>B</v>
          </cell>
          <cell r="H7599">
            <v>46.59</v>
          </cell>
        </row>
        <row r="7600">
          <cell r="A7600" t="str">
            <v>1;61;RB;B;PAQ20a25</v>
          </cell>
          <cell r="B7600">
            <v>730069</v>
          </cell>
          <cell r="C7600" t="str">
            <v>RB</v>
          </cell>
          <cell r="D7600" t="str">
            <v>INTRA BALEARES</v>
          </cell>
          <cell r="E7600" t="str">
            <v>61</v>
          </cell>
          <cell r="F7600" t="str">
            <v>PAQ20a25</v>
          </cell>
          <cell r="G7600" t="str">
            <v>B</v>
          </cell>
          <cell r="H7600">
            <v>57.38</v>
          </cell>
        </row>
        <row r="7601">
          <cell r="A7601" t="str">
            <v>1;61;RB;B;PAQ25a30</v>
          </cell>
          <cell r="B7601">
            <v>730069</v>
          </cell>
          <cell r="C7601" t="str">
            <v>RB</v>
          </cell>
          <cell r="D7601" t="str">
            <v>INTRA BALEARES</v>
          </cell>
          <cell r="E7601" t="str">
            <v>61</v>
          </cell>
          <cell r="F7601" t="str">
            <v>PAQ25a30</v>
          </cell>
          <cell r="G7601" t="str">
            <v>B</v>
          </cell>
          <cell r="H7601">
            <v>68.180000000000007</v>
          </cell>
        </row>
        <row r="7602">
          <cell r="A7602" t="str">
            <v>1;61;RB;B;PAQ30a35</v>
          </cell>
          <cell r="B7602">
            <v>730069</v>
          </cell>
          <cell r="C7602" t="str">
            <v>RB</v>
          </cell>
          <cell r="D7602" t="str">
            <v>INTRA BALEARES</v>
          </cell>
          <cell r="E7602" t="str">
            <v>61</v>
          </cell>
          <cell r="F7602" t="str">
            <v>PAQ30a35</v>
          </cell>
          <cell r="G7602" t="str">
            <v>B</v>
          </cell>
          <cell r="H7602">
            <v>78.97</v>
          </cell>
        </row>
        <row r="7603">
          <cell r="A7603" t="str">
            <v>1;61;RB;B;PAQ35a40</v>
          </cell>
          <cell r="B7603">
            <v>730069</v>
          </cell>
          <cell r="C7603" t="str">
            <v>RB</v>
          </cell>
          <cell r="D7603" t="str">
            <v>INTRA BALEARES</v>
          </cell>
          <cell r="E7603" t="str">
            <v>61</v>
          </cell>
          <cell r="F7603" t="str">
            <v>PAQ35a40</v>
          </cell>
          <cell r="G7603" t="str">
            <v>B</v>
          </cell>
          <cell r="H7603">
            <v>89.76</v>
          </cell>
        </row>
        <row r="7604">
          <cell r="A7604" t="str">
            <v>1;61;RB;F;</v>
          </cell>
          <cell r="B7604">
            <v>730069</v>
          </cell>
          <cell r="C7604" t="str">
            <v>RB</v>
          </cell>
          <cell r="D7604" t="str">
            <v>INTRA BALEARES</v>
          </cell>
          <cell r="E7604" t="str">
            <v>61</v>
          </cell>
          <cell r="F7604" t="str">
            <v/>
          </cell>
          <cell r="G7604" t="str">
            <v>F</v>
          </cell>
          <cell r="H7604">
            <v>10.79</v>
          </cell>
        </row>
        <row r="7605">
          <cell r="A7605" t="str">
            <v>1;61;RB;P;</v>
          </cell>
          <cell r="B7605">
            <v>730069</v>
          </cell>
          <cell r="C7605" t="str">
            <v>RB</v>
          </cell>
          <cell r="D7605" t="str">
            <v>INTRA BALEARES</v>
          </cell>
          <cell r="E7605" t="str">
            <v>61</v>
          </cell>
          <cell r="F7605" t="str">
            <v/>
          </cell>
          <cell r="G7605" t="str">
            <v>P</v>
          </cell>
          <cell r="H7605">
            <v>15.25</v>
          </cell>
        </row>
        <row r="7606">
          <cell r="A7606" t="str">
            <v>1;61;RB;E;</v>
          </cell>
          <cell r="B7606">
            <v>730069</v>
          </cell>
          <cell r="C7606" t="str">
            <v>RB</v>
          </cell>
          <cell r="D7606" t="str">
            <v>INTRA BALEARES</v>
          </cell>
          <cell r="E7606" t="str">
            <v>61</v>
          </cell>
          <cell r="F7606" t="str">
            <v/>
          </cell>
          <cell r="G7606" t="str">
            <v>E</v>
          </cell>
          <cell r="H7606">
            <v>15.25</v>
          </cell>
        </row>
        <row r="7607">
          <cell r="A7607" t="str">
            <v>1;62;RB;B;BAG</v>
          </cell>
          <cell r="B7607">
            <v>730069</v>
          </cell>
          <cell r="C7607" t="str">
            <v>RB</v>
          </cell>
          <cell r="D7607" t="str">
            <v>INTRA BALEARES</v>
          </cell>
          <cell r="E7607" t="str">
            <v>62</v>
          </cell>
          <cell r="F7607" t="str">
            <v>BAG</v>
          </cell>
          <cell r="G7607" t="str">
            <v>B</v>
          </cell>
          <cell r="H7607">
            <v>11.56</v>
          </cell>
        </row>
        <row r="7608">
          <cell r="A7608" t="str">
            <v>1;62;RB;B;PAQ00a05</v>
          </cell>
          <cell r="B7608">
            <v>730069</v>
          </cell>
          <cell r="C7608" t="str">
            <v>RB</v>
          </cell>
          <cell r="D7608" t="str">
            <v>INTRA BALEARES</v>
          </cell>
          <cell r="E7608" t="str">
            <v>62</v>
          </cell>
          <cell r="F7608" t="str">
            <v>PAQ00a05</v>
          </cell>
          <cell r="G7608" t="str">
            <v>B</v>
          </cell>
          <cell r="H7608">
            <v>13.3</v>
          </cell>
        </row>
        <row r="7609">
          <cell r="A7609" t="str">
            <v>1;62;RB;B;PAQ05a10</v>
          </cell>
          <cell r="B7609">
            <v>730069</v>
          </cell>
          <cell r="C7609" t="str">
            <v>RB</v>
          </cell>
          <cell r="D7609" t="str">
            <v>INTRA BALEARES</v>
          </cell>
          <cell r="E7609" t="str">
            <v>62</v>
          </cell>
          <cell r="F7609" t="str">
            <v>PAQ05a10</v>
          </cell>
          <cell r="G7609" t="str">
            <v>B</v>
          </cell>
          <cell r="H7609">
            <v>14.51</v>
          </cell>
        </row>
        <row r="7610">
          <cell r="A7610" t="str">
            <v>1;62;RB;B;PAQ10a15</v>
          </cell>
          <cell r="B7610">
            <v>730069</v>
          </cell>
          <cell r="C7610" t="str">
            <v>RB</v>
          </cell>
          <cell r="D7610" t="str">
            <v>INTRA BALEARES</v>
          </cell>
          <cell r="E7610" t="str">
            <v>62</v>
          </cell>
          <cell r="F7610" t="str">
            <v>PAQ10a15</v>
          </cell>
          <cell r="G7610" t="str">
            <v>B</v>
          </cell>
          <cell r="H7610">
            <v>17.39</v>
          </cell>
        </row>
        <row r="7611">
          <cell r="A7611" t="str">
            <v>1;62;RB;B;PAQ15a20</v>
          </cell>
          <cell r="B7611">
            <v>730069</v>
          </cell>
          <cell r="C7611" t="str">
            <v>RB</v>
          </cell>
          <cell r="D7611" t="str">
            <v>INTRA BALEARES</v>
          </cell>
          <cell r="E7611" t="str">
            <v>62</v>
          </cell>
          <cell r="F7611" t="str">
            <v>PAQ15a20</v>
          </cell>
          <cell r="G7611" t="str">
            <v>B</v>
          </cell>
          <cell r="H7611">
            <v>20.27</v>
          </cell>
        </row>
        <row r="7612">
          <cell r="A7612" t="str">
            <v>1;62;RB;B;PAQ20a25</v>
          </cell>
          <cell r="B7612">
            <v>730069</v>
          </cell>
          <cell r="C7612" t="str">
            <v>RB</v>
          </cell>
          <cell r="D7612" t="str">
            <v>INTRA BALEARES</v>
          </cell>
          <cell r="E7612" t="str">
            <v>62</v>
          </cell>
          <cell r="F7612" t="str">
            <v>PAQ20a25</v>
          </cell>
          <cell r="G7612" t="str">
            <v>B</v>
          </cell>
          <cell r="H7612">
            <v>23.14</v>
          </cell>
        </row>
        <row r="7613">
          <cell r="A7613" t="str">
            <v>1;62;RB;B;PAQ25a30</v>
          </cell>
          <cell r="B7613">
            <v>730069</v>
          </cell>
          <cell r="C7613" t="str">
            <v>RB</v>
          </cell>
          <cell r="D7613" t="str">
            <v>INTRA BALEARES</v>
          </cell>
          <cell r="E7613" t="str">
            <v>62</v>
          </cell>
          <cell r="F7613" t="str">
            <v>PAQ25a30</v>
          </cell>
          <cell r="G7613" t="str">
            <v>B</v>
          </cell>
          <cell r="H7613">
            <v>26.02</v>
          </cell>
        </row>
        <row r="7614">
          <cell r="A7614" t="str">
            <v>1;62;RB;B;PAQ30a35</v>
          </cell>
          <cell r="B7614">
            <v>730069</v>
          </cell>
          <cell r="C7614" t="str">
            <v>RB</v>
          </cell>
          <cell r="D7614" t="str">
            <v>INTRA BALEARES</v>
          </cell>
          <cell r="E7614" t="str">
            <v>62</v>
          </cell>
          <cell r="F7614" t="str">
            <v>PAQ30a35</v>
          </cell>
          <cell r="G7614" t="str">
            <v>B</v>
          </cell>
          <cell r="H7614">
            <v>28.9</v>
          </cell>
        </row>
        <row r="7615">
          <cell r="A7615" t="str">
            <v>1;62;RB;B;PAQ35a40</v>
          </cell>
          <cell r="B7615">
            <v>730069</v>
          </cell>
          <cell r="C7615" t="str">
            <v>RB</v>
          </cell>
          <cell r="D7615" t="str">
            <v>INTRA BALEARES</v>
          </cell>
          <cell r="E7615" t="str">
            <v>62</v>
          </cell>
          <cell r="F7615" t="str">
            <v>PAQ35a40</v>
          </cell>
          <cell r="G7615" t="str">
            <v>B</v>
          </cell>
          <cell r="H7615">
            <v>31.77</v>
          </cell>
        </row>
        <row r="7616">
          <cell r="A7616" t="str">
            <v>1;62;RB;F;</v>
          </cell>
          <cell r="B7616">
            <v>730069</v>
          </cell>
          <cell r="C7616" t="str">
            <v>RB</v>
          </cell>
          <cell r="D7616" t="str">
            <v>INTRA BALEARES</v>
          </cell>
          <cell r="E7616" t="str">
            <v>62</v>
          </cell>
          <cell r="F7616" t="str">
            <v/>
          </cell>
          <cell r="G7616" t="str">
            <v>F</v>
          </cell>
          <cell r="H7616">
            <v>2.88</v>
          </cell>
        </row>
        <row r="7617">
          <cell r="A7617" t="str">
            <v>1;62;RB;E;</v>
          </cell>
          <cell r="B7617">
            <v>730069</v>
          </cell>
          <cell r="C7617" t="str">
            <v>RB</v>
          </cell>
          <cell r="D7617" t="str">
            <v>INTRA BALEARES</v>
          </cell>
          <cell r="E7617" t="str">
            <v>62</v>
          </cell>
          <cell r="F7617" t="str">
            <v/>
          </cell>
          <cell r="G7617" t="str">
            <v>E</v>
          </cell>
          <cell r="H7617">
            <v>13.3</v>
          </cell>
        </row>
        <row r="7618">
          <cell r="A7618" t="str">
            <v>1;62;RB;P;</v>
          </cell>
          <cell r="B7618">
            <v>730069</v>
          </cell>
          <cell r="C7618" t="str">
            <v>RB</v>
          </cell>
          <cell r="D7618" t="str">
            <v>INTRA BALEARES</v>
          </cell>
          <cell r="E7618" t="str">
            <v>62</v>
          </cell>
          <cell r="F7618" t="str">
            <v/>
          </cell>
          <cell r="G7618" t="str">
            <v>P</v>
          </cell>
          <cell r="H7618">
            <v>13.3</v>
          </cell>
        </row>
        <row r="7619">
          <cell r="A7619" t="str">
            <v>1;63;RB;B;BAG</v>
          </cell>
          <cell r="B7619">
            <v>730069</v>
          </cell>
          <cell r="C7619" t="str">
            <v>RB</v>
          </cell>
          <cell r="D7619" t="str">
            <v>INTRA BALEARES</v>
          </cell>
          <cell r="E7619" t="str">
            <v>63</v>
          </cell>
          <cell r="F7619" t="str">
            <v>BAG</v>
          </cell>
          <cell r="G7619" t="str">
            <v>B</v>
          </cell>
          <cell r="H7619">
            <v>18.829999999999998</v>
          </cell>
        </row>
        <row r="7620">
          <cell r="A7620" t="str">
            <v>1;63;RB;B;PAQ00a05</v>
          </cell>
          <cell r="B7620">
            <v>730069</v>
          </cell>
          <cell r="C7620" t="str">
            <v>RB</v>
          </cell>
          <cell r="D7620" t="str">
            <v>INTRA BALEARES</v>
          </cell>
          <cell r="E7620" t="str">
            <v>63</v>
          </cell>
          <cell r="F7620" t="str">
            <v>PAQ00a05</v>
          </cell>
          <cell r="G7620" t="str">
            <v>B</v>
          </cell>
          <cell r="H7620">
            <v>20.58</v>
          </cell>
        </row>
        <row r="7621">
          <cell r="A7621" t="str">
            <v>1;63;RB;B;PAQ05a10</v>
          </cell>
          <cell r="B7621">
            <v>730069</v>
          </cell>
          <cell r="C7621" t="str">
            <v>RB</v>
          </cell>
          <cell r="D7621" t="str">
            <v>INTRA BALEARES</v>
          </cell>
          <cell r="E7621" t="str">
            <v>63</v>
          </cell>
          <cell r="F7621" t="str">
            <v>PAQ05a10</v>
          </cell>
          <cell r="G7621" t="str">
            <v>B</v>
          </cell>
          <cell r="H7621">
            <v>21.79</v>
          </cell>
        </row>
        <row r="7622">
          <cell r="A7622" t="str">
            <v>1;63;RB;B;PAQ10a15</v>
          </cell>
          <cell r="B7622">
            <v>730069</v>
          </cell>
          <cell r="C7622" t="str">
            <v>RB</v>
          </cell>
          <cell r="D7622" t="str">
            <v>INTRA BALEARES</v>
          </cell>
          <cell r="E7622" t="str">
            <v>63</v>
          </cell>
          <cell r="F7622" t="str">
            <v>PAQ10a15</v>
          </cell>
          <cell r="G7622" t="str">
            <v>B</v>
          </cell>
          <cell r="H7622">
            <v>24.66</v>
          </cell>
        </row>
        <row r="7623">
          <cell r="A7623" t="str">
            <v>1;63;RB;B;PAQ15a20</v>
          </cell>
          <cell r="B7623">
            <v>730069</v>
          </cell>
          <cell r="C7623" t="str">
            <v>RB</v>
          </cell>
          <cell r="D7623" t="str">
            <v>INTRA BALEARES</v>
          </cell>
          <cell r="E7623" t="str">
            <v>63</v>
          </cell>
          <cell r="F7623" t="str">
            <v>PAQ15a20</v>
          </cell>
          <cell r="G7623" t="str">
            <v>B</v>
          </cell>
          <cell r="H7623">
            <v>27.54</v>
          </cell>
        </row>
        <row r="7624">
          <cell r="A7624" t="str">
            <v>1;63;RB;B;PAQ20a25</v>
          </cell>
          <cell r="B7624">
            <v>730069</v>
          </cell>
          <cell r="C7624" t="str">
            <v>RB</v>
          </cell>
          <cell r="D7624" t="str">
            <v>INTRA BALEARES</v>
          </cell>
          <cell r="E7624" t="str">
            <v>63</v>
          </cell>
          <cell r="F7624" t="str">
            <v>PAQ20a25</v>
          </cell>
          <cell r="G7624" t="str">
            <v>B</v>
          </cell>
          <cell r="H7624">
            <v>30.42</v>
          </cell>
        </row>
        <row r="7625">
          <cell r="A7625" t="str">
            <v>1;63;RB;B;PAQ25a30</v>
          </cell>
          <cell r="B7625">
            <v>730069</v>
          </cell>
          <cell r="C7625" t="str">
            <v>RB</v>
          </cell>
          <cell r="D7625" t="str">
            <v>INTRA BALEARES</v>
          </cell>
          <cell r="E7625" t="str">
            <v>63</v>
          </cell>
          <cell r="F7625" t="str">
            <v>PAQ25a30</v>
          </cell>
          <cell r="G7625" t="str">
            <v>B</v>
          </cell>
          <cell r="H7625">
            <v>33.299999999999997</v>
          </cell>
        </row>
        <row r="7626">
          <cell r="A7626" t="str">
            <v>1;63;RB;B;PAQ30a35</v>
          </cell>
          <cell r="B7626">
            <v>730069</v>
          </cell>
          <cell r="C7626" t="str">
            <v>RB</v>
          </cell>
          <cell r="D7626" t="str">
            <v>INTRA BALEARES</v>
          </cell>
          <cell r="E7626" t="str">
            <v>63</v>
          </cell>
          <cell r="F7626" t="str">
            <v>PAQ30a35</v>
          </cell>
          <cell r="G7626" t="str">
            <v>B</v>
          </cell>
          <cell r="H7626">
            <v>36.17</v>
          </cell>
        </row>
        <row r="7627">
          <cell r="A7627" t="str">
            <v>1;63;RB;F;</v>
          </cell>
          <cell r="B7627">
            <v>730069</v>
          </cell>
          <cell r="C7627" t="str">
            <v>RB</v>
          </cell>
          <cell r="D7627" t="str">
            <v>INTRA BALEARES</v>
          </cell>
          <cell r="E7627" t="str">
            <v>63</v>
          </cell>
          <cell r="F7627" t="str">
            <v/>
          </cell>
          <cell r="G7627" t="str">
            <v>F</v>
          </cell>
          <cell r="H7627">
            <v>2.88</v>
          </cell>
        </row>
        <row r="7628">
          <cell r="A7628" t="str">
            <v>1;63;RB;B;PAQ35a40</v>
          </cell>
          <cell r="B7628">
            <v>730069</v>
          </cell>
          <cell r="C7628" t="str">
            <v>RB</v>
          </cell>
          <cell r="D7628" t="str">
            <v>INTRA BALEARES</v>
          </cell>
          <cell r="E7628" t="str">
            <v>63</v>
          </cell>
          <cell r="F7628" t="str">
            <v>PAQ35a40</v>
          </cell>
          <cell r="G7628" t="str">
            <v>B</v>
          </cell>
          <cell r="H7628">
            <v>39.049999999999997</v>
          </cell>
        </row>
        <row r="7629">
          <cell r="A7629" t="str">
            <v>1;63;RB;P;</v>
          </cell>
          <cell r="B7629">
            <v>730069</v>
          </cell>
          <cell r="C7629" t="str">
            <v>RB</v>
          </cell>
          <cell r="D7629" t="str">
            <v>INTRA BALEARES</v>
          </cell>
          <cell r="E7629" t="str">
            <v>63</v>
          </cell>
          <cell r="F7629" t="str">
            <v/>
          </cell>
          <cell r="G7629" t="str">
            <v>P</v>
          </cell>
          <cell r="H7629">
            <v>13.3</v>
          </cell>
        </row>
        <row r="7630">
          <cell r="A7630" t="str">
            <v>1;63;RB;E;</v>
          </cell>
          <cell r="B7630">
            <v>730069</v>
          </cell>
          <cell r="C7630" t="str">
            <v>RB</v>
          </cell>
          <cell r="D7630" t="str">
            <v>INTRA BALEARES</v>
          </cell>
          <cell r="E7630" t="str">
            <v>63</v>
          </cell>
          <cell r="F7630" t="str">
            <v/>
          </cell>
          <cell r="G7630" t="str">
            <v>E</v>
          </cell>
          <cell r="H7630">
            <v>13.3</v>
          </cell>
        </row>
        <row r="7631">
          <cell r="A7631" t="str">
            <v>1;E;RC;B;BAG</v>
          </cell>
          <cell r="B7631">
            <v>730069</v>
          </cell>
          <cell r="C7631" t="str">
            <v>RC</v>
          </cell>
          <cell r="D7631" t="str">
            <v>INTRA CANARIAS</v>
          </cell>
          <cell r="E7631" t="str">
            <v>E</v>
          </cell>
          <cell r="F7631" t="str">
            <v>BAG</v>
          </cell>
          <cell r="G7631" t="str">
            <v>B</v>
          </cell>
          <cell r="H7631">
            <v>0</v>
          </cell>
        </row>
        <row r="7632">
          <cell r="A7632" t="str">
            <v>1;E;RC;B;PAQ00a05</v>
          </cell>
          <cell r="B7632">
            <v>730069</v>
          </cell>
          <cell r="C7632" t="str">
            <v>RC</v>
          </cell>
          <cell r="D7632" t="str">
            <v>INTRA CANARIAS</v>
          </cell>
          <cell r="E7632" t="str">
            <v>E</v>
          </cell>
          <cell r="F7632" t="str">
            <v>PAQ00a05</v>
          </cell>
          <cell r="G7632" t="str">
            <v>B</v>
          </cell>
          <cell r="H7632">
            <v>0</v>
          </cell>
        </row>
        <row r="7633">
          <cell r="A7633" t="str">
            <v>1;E;RC;B;PAQ05a10</v>
          </cell>
          <cell r="B7633">
            <v>730069</v>
          </cell>
          <cell r="C7633" t="str">
            <v>RC</v>
          </cell>
          <cell r="D7633" t="str">
            <v>INTRA CANARIAS</v>
          </cell>
          <cell r="E7633" t="str">
            <v>E</v>
          </cell>
          <cell r="F7633" t="str">
            <v>PAQ05a10</v>
          </cell>
          <cell r="G7633" t="str">
            <v>B</v>
          </cell>
          <cell r="H7633">
            <v>0</v>
          </cell>
        </row>
        <row r="7634">
          <cell r="A7634" t="str">
            <v>1;E;RC;B;PAQ10a15</v>
          </cell>
          <cell r="B7634">
            <v>730069</v>
          </cell>
          <cell r="C7634" t="str">
            <v>RC</v>
          </cell>
          <cell r="D7634" t="str">
            <v>INTRA CANARIAS</v>
          </cell>
          <cell r="E7634" t="str">
            <v>E</v>
          </cell>
          <cell r="F7634" t="str">
            <v>PAQ10a15</v>
          </cell>
          <cell r="G7634" t="str">
            <v>B</v>
          </cell>
          <cell r="H7634">
            <v>0</v>
          </cell>
        </row>
        <row r="7635">
          <cell r="A7635" t="str">
            <v>1;E;RC;B;PAQ15a20</v>
          </cell>
          <cell r="B7635">
            <v>730069</v>
          </cell>
          <cell r="C7635" t="str">
            <v>RC</v>
          </cell>
          <cell r="D7635" t="str">
            <v>INTRA CANARIAS</v>
          </cell>
          <cell r="E7635" t="str">
            <v>E</v>
          </cell>
          <cell r="F7635" t="str">
            <v>PAQ15a20</v>
          </cell>
          <cell r="G7635" t="str">
            <v>B</v>
          </cell>
          <cell r="H7635">
            <v>0</v>
          </cell>
        </row>
        <row r="7636">
          <cell r="A7636" t="str">
            <v>1;E;RC;B;PAQ20a25</v>
          </cell>
          <cell r="B7636">
            <v>730069</v>
          </cell>
          <cell r="C7636" t="str">
            <v>RC</v>
          </cell>
          <cell r="D7636" t="str">
            <v>INTRA CANARIAS</v>
          </cell>
          <cell r="E7636" t="str">
            <v>E</v>
          </cell>
          <cell r="F7636" t="str">
            <v>PAQ20a25</v>
          </cell>
          <cell r="G7636" t="str">
            <v>B</v>
          </cell>
          <cell r="H7636">
            <v>0</v>
          </cell>
        </row>
        <row r="7637">
          <cell r="A7637" t="str">
            <v>1;E;RC;B;PAQ25a30</v>
          </cell>
          <cell r="B7637">
            <v>730069</v>
          </cell>
          <cell r="C7637" t="str">
            <v>RC</v>
          </cell>
          <cell r="D7637" t="str">
            <v>INTRA CANARIAS</v>
          </cell>
          <cell r="E7637" t="str">
            <v>E</v>
          </cell>
          <cell r="F7637" t="str">
            <v>PAQ25a30</v>
          </cell>
          <cell r="G7637" t="str">
            <v>B</v>
          </cell>
          <cell r="H7637">
            <v>0</v>
          </cell>
        </row>
        <row r="7638">
          <cell r="A7638" t="str">
            <v>1;E;RC;B;PAQ30a35</v>
          </cell>
          <cell r="B7638">
            <v>730069</v>
          </cell>
          <cell r="C7638" t="str">
            <v>RC</v>
          </cell>
          <cell r="D7638" t="str">
            <v>INTRA CANARIAS</v>
          </cell>
          <cell r="E7638" t="str">
            <v>E</v>
          </cell>
          <cell r="F7638" t="str">
            <v>PAQ30a35</v>
          </cell>
          <cell r="G7638" t="str">
            <v>B</v>
          </cell>
          <cell r="H7638">
            <v>0</v>
          </cell>
        </row>
        <row r="7639">
          <cell r="A7639" t="str">
            <v>1;E;RC;B;PAQ35a40</v>
          </cell>
          <cell r="B7639">
            <v>730069</v>
          </cell>
          <cell r="C7639" t="str">
            <v>RC</v>
          </cell>
          <cell r="D7639" t="str">
            <v>INTRA CANARIAS</v>
          </cell>
          <cell r="E7639" t="str">
            <v>E</v>
          </cell>
          <cell r="F7639" t="str">
            <v>PAQ35a40</v>
          </cell>
          <cell r="G7639" t="str">
            <v>B</v>
          </cell>
          <cell r="H7639">
            <v>0</v>
          </cell>
        </row>
        <row r="7640">
          <cell r="A7640" t="str">
            <v>1;E;RC;F;</v>
          </cell>
          <cell r="B7640">
            <v>730069</v>
          </cell>
          <cell r="C7640" t="str">
            <v>RC</v>
          </cell>
          <cell r="D7640" t="str">
            <v>INTRA CANARIAS</v>
          </cell>
          <cell r="E7640" t="str">
            <v>E</v>
          </cell>
          <cell r="F7640" t="str">
            <v/>
          </cell>
          <cell r="G7640" t="str">
            <v>F</v>
          </cell>
          <cell r="H7640">
            <v>0</v>
          </cell>
        </row>
        <row r="7641">
          <cell r="A7641" t="str">
            <v>1;E;RC;E;</v>
          </cell>
          <cell r="B7641">
            <v>730069</v>
          </cell>
          <cell r="C7641" t="str">
            <v>RC</v>
          </cell>
          <cell r="D7641" t="str">
            <v>INTRA CANARIAS</v>
          </cell>
          <cell r="E7641" t="str">
            <v>E</v>
          </cell>
          <cell r="F7641" t="str">
            <v/>
          </cell>
          <cell r="G7641" t="str">
            <v>E</v>
          </cell>
          <cell r="H7641">
            <v>0</v>
          </cell>
        </row>
        <row r="7642">
          <cell r="A7642" t="str">
            <v>1;E;RC;P;</v>
          </cell>
          <cell r="B7642">
            <v>730069</v>
          </cell>
          <cell r="C7642" t="str">
            <v>RC</v>
          </cell>
          <cell r="D7642" t="str">
            <v>INTRA CANARIAS</v>
          </cell>
          <cell r="E7642" t="str">
            <v>E</v>
          </cell>
          <cell r="F7642" t="str">
            <v/>
          </cell>
          <cell r="G7642" t="str">
            <v>P</v>
          </cell>
          <cell r="H7642">
            <v>0</v>
          </cell>
        </row>
        <row r="7643">
          <cell r="A7643" t="str">
            <v>1;F;RC;B;BAG</v>
          </cell>
          <cell r="B7643">
            <v>730069</v>
          </cell>
          <cell r="C7643" t="str">
            <v>RC</v>
          </cell>
          <cell r="D7643" t="str">
            <v>INTRA CANARIAS</v>
          </cell>
          <cell r="E7643" t="str">
            <v>F</v>
          </cell>
          <cell r="F7643" t="str">
            <v>BAG</v>
          </cell>
          <cell r="G7643" t="str">
            <v>B</v>
          </cell>
          <cell r="H7643">
            <v>0</v>
          </cell>
        </row>
        <row r="7644">
          <cell r="A7644" t="str">
            <v>1;F;RC;B;PAQ00a05</v>
          </cell>
          <cell r="B7644">
            <v>730069</v>
          </cell>
          <cell r="C7644" t="str">
            <v>RC</v>
          </cell>
          <cell r="D7644" t="str">
            <v>INTRA CANARIAS</v>
          </cell>
          <cell r="E7644" t="str">
            <v>F</v>
          </cell>
          <cell r="F7644" t="str">
            <v>PAQ00a05</v>
          </cell>
          <cell r="G7644" t="str">
            <v>B</v>
          </cell>
          <cell r="H7644">
            <v>0</v>
          </cell>
        </row>
        <row r="7645">
          <cell r="A7645" t="str">
            <v>1;F;RC;B;PAQ05a10</v>
          </cell>
          <cell r="B7645">
            <v>730069</v>
          </cell>
          <cell r="C7645" t="str">
            <v>RC</v>
          </cell>
          <cell r="D7645" t="str">
            <v>INTRA CANARIAS</v>
          </cell>
          <cell r="E7645" t="str">
            <v>F</v>
          </cell>
          <cell r="F7645" t="str">
            <v>PAQ05a10</v>
          </cell>
          <cell r="G7645" t="str">
            <v>B</v>
          </cell>
          <cell r="H7645">
            <v>0</v>
          </cell>
        </row>
        <row r="7646">
          <cell r="A7646" t="str">
            <v>1;F;RC;B;PAQ10a15</v>
          </cell>
          <cell r="B7646">
            <v>730069</v>
          </cell>
          <cell r="C7646" t="str">
            <v>RC</v>
          </cell>
          <cell r="D7646" t="str">
            <v>INTRA CANARIAS</v>
          </cell>
          <cell r="E7646" t="str">
            <v>F</v>
          </cell>
          <cell r="F7646" t="str">
            <v>PAQ10a15</v>
          </cell>
          <cell r="G7646" t="str">
            <v>B</v>
          </cell>
          <cell r="H7646">
            <v>0</v>
          </cell>
        </row>
        <row r="7647">
          <cell r="A7647" t="str">
            <v>1;F;RC;B;PAQ15a20</v>
          </cell>
          <cell r="B7647">
            <v>730069</v>
          </cell>
          <cell r="C7647" t="str">
            <v>RC</v>
          </cell>
          <cell r="D7647" t="str">
            <v>INTRA CANARIAS</v>
          </cell>
          <cell r="E7647" t="str">
            <v>F</v>
          </cell>
          <cell r="F7647" t="str">
            <v>PAQ15a20</v>
          </cell>
          <cell r="G7647" t="str">
            <v>B</v>
          </cell>
          <cell r="H7647">
            <v>0</v>
          </cell>
        </row>
        <row r="7648">
          <cell r="A7648" t="str">
            <v>1;F;RC;B;PAQ20a25</v>
          </cell>
          <cell r="B7648">
            <v>730069</v>
          </cell>
          <cell r="C7648" t="str">
            <v>RC</v>
          </cell>
          <cell r="D7648" t="str">
            <v>INTRA CANARIAS</v>
          </cell>
          <cell r="E7648" t="str">
            <v>F</v>
          </cell>
          <cell r="F7648" t="str">
            <v>PAQ20a25</v>
          </cell>
          <cell r="G7648" t="str">
            <v>B</v>
          </cell>
          <cell r="H7648">
            <v>0</v>
          </cell>
        </row>
        <row r="7649">
          <cell r="A7649" t="str">
            <v>1;F;RC;B;PAQ25a30</v>
          </cell>
          <cell r="B7649">
            <v>730069</v>
          </cell>
          <cell r="C7649" t="str">
            <v>RC</v>
          </cell>
          <cell r="D7649" t="str">
            <v>INTRA CANARIAS</v>
          </cell>
          <cell r="E7649" t="str">
            <v>F</v>
          </cell>
          <cell r="F7649" t="str">
            <v>PAQ25a30</v>
          </cell>
          <cell r="G7649" t="str">
            <v>B</v>
          </cell>
          <cell r="H7649">
            <v>0</v>
          </cell>
        </row>
        <row r="7650">
          <cell r="A7650" t="str">
            <v>1;F;RC;B;PAQ30a35</v>
          </cell>
          <cell r="B7650">
            <v>730069</v>
          </cell>
          <cell r="C7650" t="str">
            <v>RC</v>
          </cell>
          <cell r="D7650" t="str">
            <v>INTRA CANARIAS</v>
          </cell>
          <cell r="E7650" t="str">
            <v>F</v>
          </cell>
          <cell r="F7650" t="str">
            <v>PAQ30a35</v>
          </cell>
          <cell r="G7650" t="str">
            <v>B</v>
          </cell>
          <cell r="H7650">
            <v>0</v>
          </cell>
        </row>
        <row r="7651">
          <cell r="A7651" t="str">
            <v>1;F;RC;B;PAQ35a40</v>
          </cell>
          <cell r="B7651">
            <v>730069</v>
          </cell>
          <cell r="C7651" t="str">
            <v>RC</v>
          </cell>
          <cell r="D7651" t="str">
            <v>INTRA CANARIAS</v>
          </cell>
          <cell r="E7651" t="str">
            <v>F</v>
          </cell>
          <cell r="F7651" t="str">
            <v>PAQ35a40</v>
          </cell>
          <cell r="G7651" t="str">
            <v>B</v>
          </cell>
          <cell r="H7651">
            <v>0</v>
          </cell>
        </row>
        <row r="7652">
          <cell r="A7652" t="str">
            <v>1;F;RC;F;</v>
          </cell>
          <cell r="B7652">
            <v>730069</v>
          </cell>
          <cell r="C7652" t="str">
            <v>RC</v>
          </cell>
          <cell r="D7652" t="str">
            <v>INTRA CANARIAS</v>
          </cell>
          <cell r="E7652" t="str">
            <v>F</v>
          </cell>
          <cell r="F7652" t="str">
            <v/>
          </cell>
          <cell r="G7652" t="str">
            <v>F</v>
          </cell>
          <cell r="H7652">
            <v>0</v>
          </cell>
        </row>
        <row r="7653">
          <cell r="A7653" t="str">
            <v>1;F;RC;E;</v>
          </cell>
          <cell r="B7653">
            <v>730069</v>
          </cell>
          <cell r="C7653" t="str">
            <v>RC</v>
          </cell>
          <cell r="D7653" t="str">
            <v>INTRA CANARIAS</v>
          </cell>
          <cell r="E7653" t="str">
            <v>F</v>
          </cell>
          <cell r="F7653" t="str">
            <v/>
          </cell>
          <cell r="G7653" t="str">
            <v>E</v>
          </cell>
          <cell r="H7653">
            <v>0</v>
          </cell>
        </row>
        <row r="7654">
          <cell r="A7654" t="str">
            <v>1;F;RC;P;</v>
          </cell>
          <cell r="B7654">
            <v>730069</v>
          </cell>
          <cell r="C7654" t="str">
            <v>RC</v>
          </cell>
          <cell r="D7654" t="str">
            <v>INTRA CANARIAS</v>
          </cell>
          <cell r="E7654" t="str">
            <v>F</v>
          </cell>
          <cell r="F7654" t="str">
            <v/>
          </cell>
          <cell r="G7654" t="str">
            <v>P</v>
          </cell>
          <cell r="H7654">
            <v>0</v>
          </cell>
        </row>
        <row r="7655">
          <cell r="A7655" t="str">
            <v>1;G;RC;B;BAG</v>
          </cell>
          <cell r="B7655">
            <v>730069</v>
          </cell>
          <cell r="C7655" t="str">
            <v>RC</v>
          </cell>
          <cell r="D7655" t="str">
            <v>INTRA CANARIAS</v>
          </cell>
          <cell r="E7655" t="str">
            <v>G</v>
          </cell>
          <cell r="F7655" t="str">
            <v>BAG</v>
          </cell>
          <cell r="G7655" t="str">
            <v>B</v>
          </cell>
          <cell r="H7655">
            <v>0</v>
          </cell>
        </row>
        <row r="7656">
          <cell r="A7656" t="str">
            <v>1;G;RC;B;PAQ00a05</v>
          </cell>
          <cell r="B7656">
            <v>730069</v>
          </cell>
          <cell r="C7656" t="str">
            <v>RC</v>
          </cell>
          <cell r="D7656" t="str">
            <v>INTRA CANARIAS</v>
          </cell>
          <cell r="E7656" t="str">
            <v>G</v>
          </cell>
          <cell r="F7656" t="str">
            <v>PAQ00a05</v>
          </cell>
          <cell r="G7656" t="str">
            <v>B</v>
          </cell>
          <cell r="H7656">
            <v>0</v>
          </cell>
        </row>
        <row r="7657">
          <cell r="A7657" t="str">
            <v>1;G;RC;B;PAQ05a10</v>
          </cell>
          <cell r="B7657">
            <v>730069</v>
          </cell>
          <cell r="C7657" t="str">
            <v>RC</v>
          </cell>
          <cell r="D7657" t="str">
            <v>INTRA CANARIAS</v>
          </cell>
          <cell r="E7657" t="str">
            <v>G</v>
          </cell>
          <cell r="F7657" t="str">
            <v>PAQ05a10</v>
          </cell>
          <cell r="G7657" t="str">
            <v>B</v>
          </cell>
          <cell r="H7657">
            <v>0</v>
          </cell>
        </row>
        <row r="7658">
          <cell r="A7658" t="str">
            <v>1;G;RC;B;PAQ10a15</v>
          </cell>
          <cell r="B7658">
            <v>730069</v>
          </cell>
          <cell r="C7658" t="str">
            <v>RC</v>
          </cell>
          <cell r="D7658" t="str">
            <v>INTRA CANARIAS</v>
          </cell>
          <cell r="E7658" t="str">
            <v>G</v>
          </cell>
          <cell r="F7658" t="str">
            <v>PAQ10a15</v>
          </cell>
          <cell r="G7658" t="str">
            <v>B</v>
          </cell>
          <cell r="H7658">
            <v>0</v>
          </cell>
        </row>
        <row r="7659">
          <cell r="A7659" t="str">
            <v>1;G;RC;B;PAQ15a20</v>
          </cell>
          <cell r="B7659">
            <v>730069</v>
          </cell>
          <cell r="C7659" t="str">
            <v>RC</v>
          </cell>
          <cell r="D7659" t="str">
            <v>INTRA CANARIAS</v>
          </cell>
          <cell r="E7659" t="str">
            <v>G</v>
          </cell>
          <cell r="F7659" t="str">
            <v>PAQ15a20</v>
          </cell>
          <cell r="G7659" t="str">
            <v>B</v>
          </cell>
          <cell r="H7659">
            <v>0</v>
          </cell>
        </row>
        <row r="7660">
          <cell r="A7660" t="str">
            <v>1;G;RC;B;PAQ20a25</v>
          </cell>
          <cell r="B7660">
            <v>730069</v>
          </cell>
          <cell r="C7660" t="str">
            <v>RC</v>
          </cell>
          <cell r="D7660" t="str">
            <v>INTRA CANARIAS</v>
          </cell>
          <cell r="E7660" t="str">
            <v>G</v>
          </cell>
          <cell r="F7660" t="str">
            <v>PAQ20a25</v>
          </cell>
          <cell r="G7660" t="str">
            <v>B</v>
          </cell>
          <cell r="H7660">
            <v>0</v>
          </cell>
        </row>
        <row r="7661">
          <cell r="A7661" t="str">
            <v>1;G;RC;B;PAQ25a30</v>
          </cell>
          <cell r="B7661">
            <v>730069</v>
          </cell>
          <cell r="C7661" t="str">
            <v>RC</v>
          </cell>
          <cell r="D7661" t="str">
            <v>INTRA CANARIAS</v>
          </cell>
          <cell r="E7661" t="str">
            <v>G</v>
          </cell>
          <cell r="F7661" t="str">
            <v>PAQ25a30</v>
          </cell>
          <cell r="G7661" t="str">
            <v>B</v>
          </cell>
          <cell r="H7661">
            <v>0</v>
          </cell>
        </row>
        <row r="7662">
          <cell r="A7662" t="str">
            <v>1;G;RC;B;PAQ30a35</v>
          </cell>
          <cell r="B7662">
            <v>730069</v>
          </cell>
          <cell r="C7662" t="str">
            <v>RC</v>
          </cell>
          <cell r="D7662" t="str">
            <v>INTRA CANARIAS</v>
          </cell>
          <cell r="E7662" t="str">
            <v>G</v>
          </cell>
          <cell r="F7662" t="str">
            <v>PAQ30a35</v>
          </cell>
          <cell r="G7662" t="str">
            <v>B</v>
          </cell>
          <cell r="H7662">
            <v>0</v>
          </cell>
        </row>
        <row r="7663">
          <cell r="A7663" t="str">
            <v>1;G;RC;B;PAQ35a40</v>
          </cell>
          <cell r="B7663">
            <v>730069</v>
          </cell>
          <cell r="C7663" t="str">
            <v>RC</v>
          </cell>
          <cell r="D7663" t="str">
            <v>INTRA CANARIAS</v>
          </cell>
          <cell r="E7663" t="str">
            <v>G</v>
          </cell>
          <cell r="F7663" t="str">
            <v>PAQ35a40</v>
          </cell>
          <cell r="G7663" t="str">
            <v>B</v>
          </cell>
          <cell r="H7663">
            <v>0</v>
          </cell>
        </row>
        <row r="7664">
          <cell r="A7664" t="str">
            <v>1;G;RC;F;</v>
          </cell>
          <cell r="B7664">
            <v>730069</v>
          </cell>
          <cell r="C7664" t="str">
            <v>RC</v>
          </cell>
          <cell r="D7664" t="str">
            <v>INTRA CANARIAS</v>
          </cell>
          <cell r="E7664" t="str">
            <v>G</v>
          </cell>
          <cell r="F7664" t="str">
            <v/>
          </cell>
          <cell r="G7664" t="str">
            <v>F</v>
          </cell>
          <cell r="H7664">
            <v>0</v>
          </cell>
        </row>
        <row r="7665">
          <cell r="A7665" t="str">
            <v>1;G;RC;E;</v>
          </cell>
          <cell r="B7665">
            <v>730069</v>
          </cell>
          <cell r="C7665" t="str">
            <v>RC</v>
          </cell>
          <cell r="D7665" t="str">
            <v>INTRA CANARIAS</v>
          </cell>
          <cell r="E7665" t="str">
            <v>G</v>
          </cell>
          <cell r="F7665" t="str">
            <v/>
          </cell>
          <cell r="G7665" t="str">
            <v>E</v>
          </cell>
          <cell r="H7665">
            <v>0</v>
          </cell>
        </row>
        <row r="7666">
          <cell r="A7666" t="str">
            <v>1;G;RC;P;</v>
          </cell>
          <cell r="B7666">
            <v>730069</v>
          </cell>
          <cell r="C7666" t="str">
            <v>RC</v>
          </cell>
          <cell r="D7666" t="str">
            <v>INTRA CANARIAS</v>
          </cell>
          <cell r="E7666" t="str">
            <v>G</v>
          </cell>
          <cell r="F7666" t="str">
            <v/>
          </cell>
          <cell r="G7666" t="str">
            <v>P</v>
          </cell>
          <cell r="H7666">
            <v>0</v>
          </cell>
        </row>
        <row r="7667">
          <cell r="A7667" t="str">
            <v>1;01;RC;B;BAG</v>
          </cell>
          <cell r="B7667">
            <v>730069</v>
          </cell>
          <cell r="C7667" t="str">
            <v>RC</v>
          </cell>
          <cell r="D7667" t="str">
            <v>INTRA CANARIAS</v>
          </cell>
          <cell r="E7667" t="str">
            <v>01</v>
          </cell>
          <cell r="F7667" t="str">
            <v>BAG</v>
          </cell>
          <cell r="G7667" t="str">
            <v>B</v>
          </cell>
          <cell r="H7667">
            <v>13.14</v>
          </cell>
        </row>
        <row r="7668">
          <cell r="A7668" t="str">
            <v>1;01;RC;B;DOCS</v>
          </cell>
          <cell r="B7668">
            <v>730069</v>
          </cell>
          <cell r="C7668" t="str">
            <v>RC</v>
          </cell>
          <cell r="D7668" t="str">
            <v>INTRA CANARIAS</v>
          </cell>
          <cell r="E7668" t="str">
            <v>01</v>
          </cell>
          <cell r="F7668" t="str">
            <v>DOCS</v>
          </cell>
          <cell r="G7668" t="str">
            <v>B</v>
          </cell>
          <cell r="H7668">
            <v>10.17</v>
          </cell>
        </row>
        <row r="7669">
          <cell r="A7669" t="str">
            <v>1;01;RC;B;PAQ00a02</v>
          </cell>
          <cell r="B7669">
            <v>730069</v>
          </cell>
          <cell r="C7669" t="str">
            <v>RC</v>
          </cell>
          <cell r="D7669" t="str">
            <v>INTRA CANARIAS</v>
          </cell>
          <cell r="E7669" t="str">
            <v>01</v>
          </cell>
          <cell r="F7669" t="str">
            <v>PAQ00a02</v>
          </cell>
          <cell r="G7669" t="str">
            <v>B</v>
          </cell>
          <cell r="H7669">
            <v>13.8</v>
          </cell>
        </row>
        <row r="7670">
          <cell r="A7670" t="str">
            <v>1;01;RC;B;PAQ02a05</v>
          </cell>
          <cell r="B7670">
            <v>730069</v>
          </cell>
          <cell r="C7670" t="str">
            <v>RC</v>
          </cell>
          <cell r="D7670" t="str">
            <v>INTRA CANARIAS</v>
          </cell>
          <cell r="E7670" t="str">
            <v>01</v>
          </cell>
          <cell r="F7670" t="str">
            <v>PAQ02a05</v>
          </cell>
          <cell r="G7670" t="str">
            <v>B</v>
          </cell>
          <cell r="H7670">
            <v>13.8</v>
          </cell>
        </row>
        <row r="7671">
          <cell r="A7671" t="str">
            <v>1;01;RC;B;PAQ05a10</v>
          </cell>
          <cell r="B7671">
            <v>730069</v>
          </cell>
          <cell r="C7671" t="str">
            <v>RC</v>
          </cell>
          <cell r="D7671" t="str">
            <v>INTRA CANARIAS</v>
          </cell>
          <cell r="E7671" t="str">
            <v>01</v>
          </cell>
          <cell r="F7671" t="str">
            <v>PAQ05a10</v>
          </cell>
          <cell r="G7671" t="str">
            <v>B</v>
          </cell>
          <cell r="H7671">
            <v>23.56</v>
          </cell>
        </row>
        <row r="7672">
          <cell r="A7672" t="str">
            <v>1;01;RC;B;PAQ10a15</v>
          </cell>
          <cell r="B7672">
            <v>730069</v>
          </cell>
          <cell r="C7672" t="str">
            <v>RC</v>
          </cell>
          <cell r="D7672" t="str">
            <v>INTRA CANARIAS</v>
          </cell>
          <cell r="E7672" t="str">
            <v>01</v>
          </cell>
          <cell r="F7672" t="str">
            <v>PAQ10a15</v>
          </cell>
          <cell r="G7672" t="str">
            <v>B</v>
          </cell>
          <cell r="H7672">
            <v>34.36</v>
          </cell>
        </row>
        <row r="7673">
          <cell r="A7673" t="str">
            <v>1;01;RC;B;PAQ15a20</v>
          </cell>
          <cell r="B7673">
            <v>730069</v>
          </cell>
          <cell r="C7673" t="str">
            <v>RC</v>
          </cell>
          <cell r="D7673" t="str">
            <v>INTRA CANARIAS</v>
          </cell>
          <cell r="E7673" t="str">
            <v>01</v>
          </cell>
          <cell r="F7673" t="str">
            <v>PAQ15a20</v>
          </cell>
          <cell r="G7673" t="str">
            <v>B</v>
          </cell>
          <cell r="H7673">
            <v>45.15</v>
          </cell>
        </row>
        <row r="7674">
          <cell r="A7674" t="str">
            <v>1;01;RC;B;PAQ20a25</v>
          </cell>
          <cell r="B7674">
            <v>730069</v>
          </cell>
          <cell r="C7674" t="str">
            <v>RC</v>
          </cell>
          <cell r="D7674" t="str">
            <v>INTRA CANARIAS</v>
          </cell>
          <cell r="E7674" t="str">
            <v>01</v>
          </cell>
          <cell r="F7674" t="str">
            <v>PAQ20a25</v>
          </cell>
          <cell r="G7674" t="str">
            <v>B</v>
          </cell>
          <cell r="H7674">
            <v>55.94</v>
          </cell>
        </row>
        <row r="7675">
          <cell r="A7675" t="str">
            <v>1;01;RC;B;PAQ25a30</v>
          </cell>
          <cell r="B7675">
            <v>730069</v>
          </cell>
          <cell r="C7675" t="str">
            <v>RC</v>
          </cell>
          <cell r="D7675" t="str">
            <v>INTRA CANARIAS</v>
          </cell>
          <cell r="E7675" t="str">
            <v>01</v>
          </cell>
          <cell r="F7675" t="str">
            <v>PAQ25a30</v>
          </cell>
          <cell r="G7675" t="str">
            <v>B</v>
          </cell>
          <cell r="H7675">
            <v>66.739999999999995</v>
          </cell>
        </row>
        <row r="7676">
          <cell r="A7676" t="str">
            <v>1;01;RC;B;PAQ30a35</v>
          </cell>
          <cell r="B7676">
            <v>730069</v>
          </cell>
          <cell r="C7676" t="str">
            <v>RC</v>
          </cell>
          <cell r="D7676" t="str">
            <v>INTRA CANARIAS</v>
          </cell>
          <cell r="E7676" t="str">
            <v>01</v>
          </cell>
          <cell r="F7676" t="str">
            <v>PAQ30a35</v>
          </cell>
          <cell r="G7676" t="str">
            <v>B</v>
          </cell>
          <cell r="H7676">
            <v>77.53</v>
          </cell>
        </row>
        <row r="7677">
          <cell r="A7677" t="str">
            <v>1;01;RC;F;</v>
          </cell>
          <cell r="B7677">
            <v>730069</v>
          </cell>
          <cell r="C7677" t="str">
            <v>RC</v>
          </cell>
          <cell r="D7677" t="str">
            <v>INTRA CANARIAS</v>
          </cell>
          <cell r="E7677" t="str">
            <v>01</v>
          </cell>
          <cell r="F7677" t="str">
            <v/>
          </cell>
          <cell r="G7677" t="str">
            <v>F</v>
          </cell>
          <cell r="H7677">
            <v>10.79</v>
          </cell>
        </row>
        <row r="7678">
          <cell r="A7678" t="str">
            <v>1;01;RC;B;PAQ35a40</v>
          </cell>
          <cell r="B7678">
            <v>730069</v>
          </cell>
          <cell r="C7678" t="str">
            <v>RC</v>
          </cell>
          <cell r="D7678" t="str">
            <v>INTRA CANARIAS</v>
          </cell>
          <cell r="E7678" t="str">
            <v>01</v>
          </cell>
          <cell r="F7678" t="str">
            <v>PAQ35a40</v>
          </cell>
          <cell r="G7678" t="str">
            <v>B</v>
          </cell>
          <cell r="H7678">
            <v>88.33</v>
          </cell>
        </row>
        <row r="7679">
          <cell r="A7679" t="str">
            <v>1;01;RC;P;</v>
          </cell>
          <cell r="B7679">
            <v>730069</v>
          </cell>
          <cell r="C7679" t="str">
            <v>RC</v>
          </cell>
          <cell r="D7679" t="str">
            <v>INTRA CANARIAS</v>
          </cell>
          <cell r="E7679" t="str">
            <v>01</v>
          </cell>
          <cell r="F7679" t="str">
            <v/>
          </cell>
          <cell r="G7679" t="str">
            <v>P</v>
          </cell>
          <cell r="H7679">
            <v>13.8</v>
          </cell>
        </row>
        <row r="7680">
          <cell r="A7680" t="str">
            <v>1;01;RC;E;</v>
          </cell>
          <cell r="B7680">
            <v>730069</v>
          </cell>
          <cell r="C7680" t="str">
            <v>RC</v>
          </cell>
          <cell r="D7680" t="str">
            <v>INTRA CANARIAS</v>
          </cell>
          <cell r="E7680" t="str">
            <v>01</v>
          </cell>
          <cell r="F7680" t="str">
            <v/>
          </cell>
          <cell r="G7680" t="str">
            <v>E</v>
          </cell>
          <cell r="H7680">
            <v>13.8</v>
          </cell>
        </row>
        <row r="7681">
          <cell r="A7681" t="str">
            <v>1;02;RC;B;BAG</v>
          </cell>
          <cell r="B7681">
            <v>730069</v>
          </cell>
          <cell r="C7681" t="str">
            <v>RC</v>
          </cell>
          <cell r="D7681" t="str">
            <v>INTRA CANARIAS</v>
          </cell>
          <cell r="E7681" t="str">
            <v>02</v>
          </cell>
          <cell r="F7681" t="str">
            <v>BAG</v>
          </cell>
          <cell r="G7681" t="str">
            <v>B</v>
          </cell>
          <cell r="H7681">
            <v>10.09</v>
          </cell>
        </row>
        <row r="7682">
          <cell r="A7682" t="str">
            <v>1;02;RC;B;DOCS</v>
          </cell>
          <cell r="B7682">
            <v>730069</v>
          </cell>
          <cell r="C7682" t="str">
            <v>RC</v>
          </cell>
          <cell r="D7682" t="str">
            <v>INTRA CANARIAS</v>
          </cell>
          <cell r="E7682" t="str">
            <v>02</v>
          </cell>
          <cell r="F7682" t="str">
            <v>DOCS</v>
          </cell>
          <cell r="G7682" t="str">
            <v>B</v>
          </cell>
          <cell r="H7682">
            <v>7.69</v>
          </cell>
        </row>
        <row r="7683">
          <cell r="A7683" t="str">
            <v>1;02;RC;B;PAQ00a02</v>
          </cell>
          <cell r="B7683">
            <v>730069</v>
          </cell>
          <cell r="C7683" t="str">
            <v>RC</v>
          </cell>
          <cell r="D7683" t="str">
            <v>INTRA CANARIAS</v>
          </cell>
          <cell r="E7683" t="str">
            <v>02</v>
          </cell>
          <cell r="F7683" t="str">
            <v>PAQ00a02</v>
          </cell>
          <cell r="G7683" t="str">
            <v>B</v>
          </cell>
          <cell r="H7683">
            <v>11.83</v>
          </cell>
        </row>
        <row r="7684">
          <cell r="A7684" t="str">
            <v>1;02;RC;B;PAQ02a05</v>
          </cell>
          <cell r="B7684">
            <v>730069</v>
          </cell>
          <cell r="C7684" t="str">
            <v>RC</v>
          </cell>
          <cell r="D7684" t="str">
            <v>INTRA CANARIAS</v>
          </cell>
          <cell r="E7684" t="str">
            <v>02</v>
          </cell>
          <cell r="F7684" t="str">
            <v>PAQ02a05</v>
          </cell>
          <cell r="G7684" t="str">
            <v>B</v>
          </cell>
          <cell r="H7684">
            <v>11.83</v>
          </cell>
        </row>
        <row r="7685">
          <cell r="A7685" t="str">
            <v>1;02;RC;B;PAQ05a10</v>
          </cell>
          <cell r="B7685">
            <v>730069</v>
          </cell>
          <cell r="C7685" t="str">
            <v>RC</v>
          </cell>
          <cell r="D7685" t="str">
            <v>INTRA CANARIAS</v>
          </cell>
          <cell r="E7685" t="str">
            <v>02</v>
          </cell>
          <cell r="F7685" t="str">
            <v>PAQ05a10</v>
          </cell>
          <cell r="G7685" t="str">
            <v>B</v>
          </cell>
          <cell r="H7685">
            <v>13.06</v>
          </cell>
        </row>
        <row r="7686">
          <cell r="A7686" t="str">
            <v>1;02;RC;B;PAQ10a15</v>
          </cell>
          <cell r="B7686">
            <v>730069</v>
          </cell>
          <cell r="C7686" t="str">
            <v>RC</v>
          </cell>
          <cell r="D7686" t="str">
            <v>INTRA CANARIAS</v>
          </cell>
          <cell r="E7686" t="str">
            <v>02</v>
          </cell>
          <cell r="F7686" t="str">
            <v>PAQ10a15</v>
          </cell>
          <cell r="G7686" t="str">
            <v>B</v>
          </cell>
          <cell r="H7686">
            <v>15.94</v>
          </cell>
        </row>
        <row r="7687">
          <cell r="A7687" t="str">
            <v>1;02;RC;B;PAQ15a20</v>
          </cell>
          <cell r="B7687">
            <v>730069</v>
          </cell>
          <cell r="C7687" t="str">
            <v>RC</v>
          </cell>
          <cell r="D7687" t="str">
            <v>INTRA CANARIAS</v>
          </cell>
          <cell r="E7687" t="str">
            <v>02</v>
          </cell>
          <cell r="F7687" t="str">
            <v>PAQ15a20</v>
          </cell>
          <cell r="G7687" t="str">
            <v>B</v>
          </cell>
          <cell r="H7687">
            <v>18.82</v>
          </cell>
        </row>
        <row r="7688">
          <cell r="A7688" t="str">
            <v>1;02;RC;B;PAQ20a25</v>
          </cell>
          <cell r="B7688">
            <v>730069</v>
          </cell>
          <cell r="C7688" t="str">
            <v>RC</v>
          </cell>
          <cell r="D7688" t="str">
            <v>INTRA CANARIAS</v>
          </cell>
          <cell r="E7688" t="str">
            <v>02</v>
          </cell>
          <cell r="F7688" t="str">
            <v>PAQ20a25</v>
          </cell>
          <cell r="G7688" t="str">
            <v>B</v>
          </cell>
          <cell r="H7688">
            <v>21.69</v>
          </cell>
        </row>
        <row r="7689">
          <cell r="A7689" t="str">
            <v>1;02;RC;B;PAQ25a30</v>
          </cell>
          <cell r="B7689">
            <v>730069</v>
          </cell>
          <cell r="C7689" t="str">
            <v>RC</v>
          </cell>
          <cell r="D7689" t="str">
            <v>INTRA CANARIAS</v>
          </cell>
          <cell r="E7689" t="str">
            <v>02</v>
          </cell>
          <cell r="F7689" t="str">
            <v>PAQ25a30</v>
          </cell>
          <cell r="G7689" t="str">
            <v>B</v>
          </cell>
          <cell r="H7689">
            <v>24.57</v>
          </cell>
        </row>
        <row r="7690">
          <cell r="A7690" t="str">
            <v>1;02;RC;B;PAQ30a35</v>
          </cell>
          <cell r="B7690">
            <v>730069</v>
          </cell>
          <cell r="C7690" t="str">
            <v>RC</v>
          </cell>
          <cell r="D7690" t="str">
            <v>INTRA CANARIAS</v>
          </cell>
          <cell r="E7690" t="str">
            <v>02</v>
          </cell>
          <cell r="F7690" t="str">
            <v>PAQ30a35</v>
          </cell>
          <cell r="G7690" t="str">
            <v>B</v>
          </cell>
          <cell r="H7690">
            <v>27.45</v>
          </cell>
        </row>
        <row r="7691">
          <cell r="A7691" t="str">
            <v>1;02;RC;F;</v>
          </cell>
          <cell r="B7691">
            <v>730069</v>
          </cell>
          <cell r="C7691" t="str">
            <v>RC</v>
          </cell>
          <cell r="D7691" t="str">
            <v>INTRA CANARIAS</v>
          </cell>
          <cell r="E7691" t="str">
            <v>02</v>
          </cell>
          <cell r="F7691" t="str">
            <v/>
          </cell>
          <cell r="G7691" t="str">
            <v>F</v>
          </cell>
          <cell r="H7691">
            <v>2.88</v>
          </cell>
        </row>
        <row r="7692">
          <cell r="A7692" t="str">
            <v>1;02;RC;B;PAQ35a40</v>
          </cell>
          <cell r="B7692">
            <v>730069</v>
          </cell>
          <cell r="C7692" t="str">
            <v>RC</v>
          </cell>
          <cell r="D7692" t="str">
            <v>INTRA CANARIAS</v>
          </cell>
          <cell r="E7692" t="str">
            <v>02</v>
          </cell>
          <cell r="F7692" t="str">
            <v>PAQ35a40</v>
          </cell>
          <cell r="G7692" t="str">
            <v>B</v>
          </cell>
          <cell r="H7692">
            <v>30.32</v>
          </cell>
        </row>
        <row r="7693">
          <cell r="A7693" t="str">
            <v>1;02;RC;E;</v>
          </cell>
          <cell r="B7693">
            <v>730069</v>
          </cell>
          <cell r="C7693" t="str">
            <v>RC</v>
          </cell>
          <cell r="D7693" t="str">
            <v>INTRA CANARIAS</v>
          </cell>
          <cell r="E7693" t="str">
            <v>02</v>
          </cell>
          <cell r="F7693" t="str">
            <v/>
          </cell>
          <cell r="G7693" t="str">
            <v>E</v>
          </cell>
          <cell r="H7693">
            <v>11.83</v>
          </cell>
        </row>
        <row r="7694">
          <cell r="A7694" t="str">
            <v>1;02;RC;P;</v>
          </cell>
          <cell r="B7694">
            <v>730069</v>
          </cell>
          <cell r="C7694" t="str">
            <v>RC</v>
          </cell>
          <cell r="D7694" t="str">
            <v>INTRA CANARIAS</v>
          </cell>
          <cell r="E7694" t="str">
            <v>02</v>
          </cell>
          <cell r="F7694" t="str">
            <v/>
          </cell>
          <cell r="G7694" t="str">
            <v>P</v>
          </cell>
          <cell r="H7694">
            <v>11.83</v>
          </cell>
        </row>
        <row r="7695">
          <cell r="A7695" t="str">
            <v>1;03;RC;B;BAG</v>
          </cell>
          <cell r="B7695">
            <v>730069</v>
          </cell>
          <cell r="C7695" t="str">
            <v>RC</v>
          </cell>
          <cell r="D7695" t="str">
            <v>INTRA CANARIAS</v>
          </cell>
          <cell r="E7695" t="str">
            <v>03</v>
          </cell>
          <cell r="F7695" t="str">
            <v>BAG</v>
          </cell>
          <cell r="G7695" t="str">
            <v>B</v>
          </cell>
          <cell r="H7695">
            <v>13.14</v>
          </cell>
        </row>
        <row r="7696">
          <cell r="A7696" t="str">
            <v>1;03;RC;B;DOCS</v>
          </cell>
          <cell r="B7696">
            <v>730069</v>
          </cell>
          <cell r="C7696" t="str">
            <v>RC</v>
          </cell>
          <cell r="D7696" t="str">
            <v>INTRA CANARIAS</v>
          </cell>
          <cell r="E7696" t="str">
            <v>03</v>
          </cell>
          <cell r="F7696" t="str">
            <v>DOCS</v>
          </cell>
          <cell r="G7696" t="str">
            <v>B</v>
          </cell>
          <cell r="H7696">
            <v>10.17</v>
          </cell>
        </row>
        <row r="7697">
          <cell r="A7697" t="str">
            <v>1;03;RC;B;PAQ00a02</v>
          </cell>
          <cell r="B7697">
            <v>730069</v>
          </cell>
          <cell r="C7697" t="str">
            <v>RC</v>
          </cell>
          <cell r="D7697" t="str">
            <v>INTRA CANARIAS</v>
          </cell>
          <cell r="E7697" t="str">
            <v>03</v>
          </cell>
          <cell r="F7697" t="str">
            <v>PAQ00a02</v>
          </cell>
          <cell r="G7697" t="str">
            <v>B</v>
          </cell>
          <cell r="H7697">
            <v>13.8</v>
          </cell>
        </row>
        <row r="7698">
          <cell r="A7698" t="str">
            <v>1;03;RC;B;PAQ02a05</v>
          </cell>
          <cell r="B7698">
            <v>730069</v>
          </cell>
          <cell r="C7698" t="str">
            <v>RC</v>
          </cell>
          <cell r="D7698" t="str">
            <v>INTRA CANARIAS</v>
          </cell>
          <cell r="E7698" t="str">
            <v>03</v>
          </cell>
          <cell r="F7698" t="str">
            <v>PAQ02a05</v>
          </cell>
          <cell r="G7698" t="str">
            <v>B</v>
          </cell>
          <cell r="H7698">
            <v>13.8</v>
          </cell>
        </row>
        <row r="7699">
          <cell r="A7699" t="str">
            <v>1;03;RC;B;PAQ05a10</v>
          </cell>
          <cell r="B7699">
            <v>730069</v>
          </cell>
          <cell r="C7699" t="str">
            <v>RC</v>
          </cell>
          <cell r="D7699" t="str">
            <v>INTRA CANARIAS</v>
          </cell>
          <cell r="E7699" t="str">
            <v>03</v>
          </cell>
          <cell r="F7699" t="str">
            <v>PAQ05a10</v>
          </cell>
          <cell r="G7699" t="str">
            <v>B</v>
          </cell>
          <cell r="H7699">
            <v>23.56</v>
          </cell>
        </row>
        <row r="7700">
          <cell r="A7700" t="str">
            <v>1;03;RC;B;PAQ10a15</v>
          </cell>
          <cell r="B7700">
            <v>730069</v>
          </cell>
          <cell r="C7700" t="str">
            <v>RC</v>
          </cell>
          <cell r="D7700" t="str">
            <v>INTRA CANARIAS</v>
          </cell>
          <cell r="E7700" t="str">
            <v>03</v>
          </cell>
          <cell r="F7700" t="str">
            <v>PAQ10a15</v>
          </cell>
          <cell r="G7700" t="str">
            <v>B</v>
          </cell>
          <cell r="H7700">
            <v>34.36</v>
          </cell>
        </row>
        <row r="7701">
          <cell r="A7701" t="str">
            <v>1;03;RC;B;PAQ15a20</v>
          </cell>
          <cell r="B7701">
            <v>730069</v>
          </cell>
          <cell r="C7701" t="str">
            <v>RC</v>
          </cell>
          <cell r="D7701" t="str">
            <v>INTRA CANARIAS</v>
          </cell>
          <cell r="E7701" t="str">
            <v>03</v>
          </cell>
          <cell r="F7701" t="str">
            <v>PAQ15a20</v>
          </cell>
          <cell r="G7701" t="str">
            <v>B</v>
          </cell>
          <cell r="H7701">
            <v>45.15</v>
          </cell>
        </row>
        <row r="7702">
          <cell r="A7702" t="str">
            <v>1;03;RC;B;PAQ20a25</v>
          </cell>
          <cell r="B7702">
            <v>730069</v>
          </cell>
          <cell r="C7702" t="str">
            <v>RC</v>
          </cell>
          <cell r="D7702" t="str">
            <v>INTRA CANARIAS</v>
          </cell>
          <cell r="E7702" t="str">
            <v>03</v>
          </cell>
          <cell r="F7702" t="str">
            <v>PAQ20a25</v>
          </cell>
          <cell r="G7702" t="str">
            <v>B</v>
          </cell>
          <cell r="H7702">
            <v>55.94</v>
          </cell>
        </row>
        <row r="7703">
          <cell r="A7703" t="str">
            <v>1;03;RC;B;PAQ25a30</v>
          </cell>
          <cell r="B7703">
            <v>730069</v>
          </cell>
          <cell r="C7703" t="str">
            <v>RC</v>
          </cell>
          <cell r="D7703" t="str">
            <v>INTRA CANARIAS</v>
          </cell>
          <cell r="E7703" t="str">
            <v>03</v>
          </cell>
          <cell r="F7703" t="str">
            <v>PAQ25a30</v>
          </cell>
          <cell r="G7703" t="str">
            <v>B</v>
          </cell>
          <cell r="H7703">
            <v>66.739999999999995</v>
          </cell>
        </row>
        <row r="7704">
          <cell r="A7704" t="str">
            <v>1;03;RC;B;PAQ30a35</v>
          </cell>
          <cell r="B7704">
            <v>730069</v>
          </cell>
          <cell r="C7704" t="str">
            <v>RC</v>
          </cell>
          <cell r="D7704" t="str">
            <v>INTRA CANARIAS</v>
          </cell>
          <cell r="E7704" t="str">
            <v>03</v>
          </cell>
          <cell r="F7704" t="str">
            <v>PAQ30a35</v>
          </cell>
          <cell r="G7704" t="str">
            <v>B</v>
          </cell>
          <cell r="H7704">
            <v>77.53</v>
          </cell>
        </row>
        <row r="7705">
          <cell r="A7705" t="str">
            <v>1;03;RC;B;PAQ35a40</v>
          </cell>
          <cell r="B7705">
            <v>730069</v>
          </cell>
          <cell r="C7705" t="str">
            <v>RC</v>
          </cell>
          <cell r="D7705" t="str">
            <v>INTRA CANARIAS</v>
          </cell>
          <cell r="E7705" t="str">
            <v>03</v>
          </cell>
          <cell r="F7705" t="str">
            <v>PAQ35a40</v>
          </cell>
          <cell r="G7705" t="str">
            <v>B</v>
          </cell>
          <cell r="H7705">
            <v>88.33</v>
          </cell>
        </row>
        <row r="7706">
          <cell r="A7706" t="str">
            <v>1;03;RC;F;</v>
          </cell>
          <cell r="B7706">
            <v>730069</v>
          </cell>
          <cell r="C7706" t="str">
            <v>RC</v>
          </cell>
          <cell r="D7706" t="str">
            <v>INTRA CANARIAS</v>
          </cell>
          <cell r="E7706" t="str">
            <v>03</v>
          </cell>
          <cell r="F7706" t="str">
            <v/>
          </cell>
          <cell r="G7706" t="str">
            <v>F</v>
          </cell>
          <cell r="H7706">
            <v>10.79</v>
          </cell>
        </row>
        <row r="7707">
          <cell r="A7707" t="str">
            <v>1;03;RC;E;</v>
          </cell>
          <cell r="B7707">
            <v>730069</v>
          </cell>
          <cell r="C7707" t="str">
            <v>RC</v>
          </cell>
          <cell r="D7707" t="str">
            <v>INTRA CANARIAS</v>
          </cell>
          <cell r="E7707" t="str">
            <v>03</v>
          </cell>
          <cell r="F7707" t="str">
            <v/>
          </cell>
          <cell r="G7707" t="str">
            <v>E</v>
          </cell>
          <cell r="H7707">
            <v>13.8</v>
          </cell>
        </row>
        <row r="7708">
          <cell r="A7708" t="str">
            <v>1;03;RC;P;</v>
          </cell>
          <cell r="B7708">
            <v>730069</v>
          </cell>
          <cell r="C7708" t="str">
            <v>RC</v>
          </cell>
          <cell r="D7708" t="str">
            <v>INTRA CANARIAS</v>
          </cell>
          <cell r="E7708" t="str">
            <v>03</v>
          </cell>
          <cell r="F7708" t="str">
            <v/>
          </cell>
          <cell r="G7708" t="str">
            <v>P</v>
          </cell>
          <cell r="H7708">
            <v>13.8</v>
          </cell>
        </row>
        <row r="7709">
          <cell r="A7709" t="str">
            <v>1;04;RC;B;BAG</v>
          </cell>
          <cell r="B7709">
            <v>730069</v>
          </cell>
          <cell r="C7709" t="str">
            <v>RC</v>
          </cell>
          <cell r="D7709" t="str">
            <v>INTRA CANARIAS</v>
          </cell>
          <cell r="E7709" t="str">
            <v>04</v>
          </cell>
          <cell r="F7709" t="str">
            <v>BAG</v>
          </cell>
          <cell r="G7709" t="str">
            <v>B</v>
          </cell>
          <cell r="H7709">
            <v>5.66</v>
          </cell>
        </row>
        <row r="7710">
          <cell r="A7710" t="str">
            <v>1;05;RC;B;BAG</v>
          </cell>
          <cell r="B7710">
            <v>730069</v>
          </cell>
          <cell r="C7710" t="str">
            <v>RC</v>
          </cell>
          <cell r="D7710" t="str">
            <v>INTRA CANARIAS</v>
          </cell>
          <cell r="E7710" t="str">
            <v>05</v>
          </cell>
          <cell r="F7710" t="str">
            <v>BAG</v>
          </cell>
          <cell r="G7710" t="str">
            <v>B</v>
          </cell>
          <cell r="H7710">
            <v>5.66</v>
          </cell>
        </row>
        <row r="7711">
          <cell r="A7711" t="str">
            <v>1;06;RC;B;BAG</v>
          </cell>
          <cell r="B7711">
            <v>730069</v>
          </cell>
          <cell r="C7711" t="str">
            <v>RC</v>
          </cell>
          <cell r="D7711" t="str">
            <v>INTRA CANARIAS</v>
          </cell>
          <cell r="E7711" t="str">
            <v>06</v>
          </cell>
          <cell r="F7711" t="str">
            <v>BAG</v>
          </cell>
          <cell r="G7711" t="str">
            <v>B</v>
          </cell>
          <cell r="H7711">
            <v>0</v>
          </cell>
        </row>
        <row r="7712">
          <cell r="A7712" t="str">
            <v>1;06;RC;B;DOCS</v>
          </cell>
          <cell r="B7712">
            <v>730069</v>
          </cell>
          <cell r="C7712" t="str">
            <v>RC</v>
          </cell>
          <cell r="D7712" t="str">
            <v>INTRA CANARIAS</v>
          </cell>
          <cell r="E7712" t="str">
            <v>06</v>
          </cell>
          <cell r="F7712" t="str">
            <v>DOCS</v>
          </cell>
          <cell r="G7712" t="str">
            <v>B</v>
          </cell>
          <cell r="H7712">
            <v>0</v>
          </cell>
        </row>
        <row r="7713">
          <cell r="A7713" t="str">
            <v>1;06;RC;B;PAQ00a05</v>
          </cell>
          <cell r="B7713">
            <v>730069</v>
          </cell>
          <cell r="C7713" t="str">
            <v>RC</v>
          </cell>
          <cell r="D7713" t="str">
            <v>INTRA CANARIAS</v>
          </cell>
          <cell r="E7713" t="str">
            <v>06</v>
          </cell>
          <cell r="F7713" t="str">
            <v>PAQ00a05</v>
          </cell>
          <cell r="G7713" t="str">
            <v>B</v>
          </cell>
          <cell r="H7713">
            <v>0</v>
          </cell>
        </row>
        <row r="7714">
          <cell r="A7714" t="str">
            <v>1;06;RC;B;PAQ05a10</v>
          </cell>
          <cell r="B7714">
            <v>730069</v>
          </cell>
          <cell r="C7714" t="str">
            <v>RC</v>
          </cell>
          <cell r="D7714" t="str">
            <v>INTRA CANARIAS</v>
          </cell>
          <cell r="E7714" t="str">
            <v>06</v>
          </cell>
          <cell r="F7714" t="str">
            <v>PAQ05a10</v>
          </cell>
          <cell r="G7714" t="str">
            <v>B</v>
          </cell>
          <cell r="H7714">
            <v>0</v>
          </cell>
        </row>
        <row r="7715">
          <cell r="A7715" t="str">
            <v>1;06;RC;B;PAQ10a15</v>
          </cell>
          <cell r="B7715">
            <v>730069</v>
          </cell>
          <cell r="C7715" t="str">
            <v>RC</v>
          </cell>
          <cell r="D7715" t="str">
            <v>INTRA CANARIAS</v>
          </cell>
          <cell r="E7715" t="str">
            <v>06</v>
          </cell>
          <cell r="F7715" t="str">
            <v>PAQ10a15</v>
          </cell>
          <cell r="G7715" t="str">
            <v>B</v>
          </cell>
          <cell r="H7715">
            <v>0</v>
          </cell>
        </row>
        <row r="7716">
          <cell r="A7716" t="str">
            <v>1;06;RC;B;PAQ15a20</v>
          </cell>
          <cell r="B7716">
            <v>730069</v>
          </cell>
          <cell r="C7716" t="str">
            <v>RC</v>
          </cell>
          <cell r="D7716" t="str">
            <v>INTRA CANARIAS</v>
          </cell>
          <cell r="E7716" t="str">
            <v>06</v>
          </cell>
          <cell r="F7716" t="str">
            <v>PAQ15a20</v>
          </cell>
          <cell r="G7716" t="str">
            <v>B</v>
          </cell>
          <cell r="H7716">
            <v>0</v>
          </cell>
        </row>
        <row r="7717">
          <cell r="A7717" t="str">
            <v>1;06;RC;B;PAQ20a25</v>
          </cell>
          <cell r="B7717">
            <v>730069</v>
          </cell>
          <cell r="C7717" t="str">
            <v>RC</v>
          </cell>
          <cell r="D7717" t="str">
            <v>INTRA CANARIAS</v>
          </cell>
          <cell r="E7717" t="str">
            <v>06</v>
          </cell>
          <cell r="F7717" t="str">
            <v>PAQ20a25</v>
          </cell>
          <cell r="G7717" t="str">
            <v>B</v>
          </cell>
          <cell r="H7717">
            <v>0</v>
          </cell>
        </row>
        <row r="7718">
          <cell r="A7718" t="str">
            <v>1;06;RC;B;PAQ25a30</v>
          </cell>
          <cell r="B7718">
            <v>730069</v>
          </cell>
          <cell r="C7718" t="str">
            <v>RC</v>
          </cell>
          <cell r="D7718" t="str">
            <v>INTRA CANARIAS</v>
          </cell>
          <cell r="E7718" t="str">
            <v>06</v>
          </cell>
          <cell r="F7718" t="str">
            <v>PAQ25a30</v>
          </cell>
          <cell r="G7718" t="str">
            <v>B</v>
          </cell>
          <cell r="H7718">
            <v>0</v>
          </cell>
        </row>
        <row r="7719">
          <cell r="A7719" t="str">
            <v>1;06;RC;B;PAQ30a35</v>
          </cell>
          <cell r="B7719">
            <v>730069</v>
          </cell>
          <cell r="C7719" t="str">
            <v>RC</v>
          </cell>
          <cell r="D7719" t="str">
            <v>INTRA CANARIAS</v>
          </cell>
          <cell r="E7719" t="str">
            <v>06</v>
          </cell>
          <cell r="F7719" t="str">
            <v>PAQ30a35</v>
          </cell>
          <cell r="G7719" t="str">
            <v>B</v>
          </cell>
          <cell r="H7719">
            <v>0</v>
          </cell>
        </row>
        <row r="7720">
          <cell r="A7720" t="str">
            <v>1;06;RC;B;PAQ35a40</v>
          </cell>
          <cell r="B7720">
            <v>730069</v>
          </cell>
          <cell r="C7720" t="str">
            <v>RC</v>
          </cell>
          <cell r="D7720" t="str">
            <v>INTRA CANARIAS</v>
          </cell>
          <cell r="E7720" t="str">
            <v>06</v>
          </cell>
          <cell r="F7720" t="str">
            <v>PAQ35a40</v>
          </cell>
          <cell r="G7720" t="str">
            <v>B</v>
          </cell>
          <cell r="H7720">
            <v>0</v>
          </cell>
        </row>
        <row r="7721">
          <cell r="A7721" t="str">
            <v>1;06;RC;F;</v>
          </cell>
          <cell r="B7721">
            <v>730069</v>
          </cell>
          <cell r="C7721" t="str">
            <v>RC</v>
          </cell>
          <cell r="D7721" t="str">
            <v>INTRA CANARIAS</v>
          </cell>
          <cell r="E7721" t="str">
            <v>06</v>
          </cell>
          <cell r="F7721" t="str">
            <v/>
          </cell>
          <cell r="G7721" t="str">
            <v>F</v>
          </cell>
          <cell r="H7721">
            <v>0</v>
          </cell>
        </row>
        <row r="7722">
          <cell r="A7722" t="str">
            <v>1;06;RC;E;</v>
          </cell>
          <cell r="B7722">
            <v>730069</v>
          </cell>
          <cell r="C7722" t="str">
            <v>RC</v>
          </cell>
          <cell r="D7722" t="str">
            <v>INTRA CANARIAS</v>
          </cell>
          <cell r="E7722" t="str">
            <v>06</v>
          </cell>
          <cell r="F7722" t="str">
            <v/>
          </cell>
          <cell r="G7722" t="str">
            <v>E</v>
          </cell>
          <cell r="H7722">
            <v>11.83</v>
          </cell>
        </row>
        <row r="7723">
          <cell r="A7723" t="str">
            <v>1;06;RC;P;</v>
          </cell>
          <cell r="B7723">
            <v>730069</v>
          </cell>
          <cell r="C7723" t="str">
            <v>RC</v>
          </cell>
          <cell r="D7723" t="str">
            <v>INTRA CANARIAS</v>
          </cell>
          <cell r="E7723" t="str">
            <v>06</v>
          </cell>
          <cell r="F7723" t="str">
            <v/>
          </cell>
          <cell r="G7723" t="str">
            <v>P</v>
          </cell>
          <cell r="H7723">
            <v>11.83</v>
          </cell>
        </row>
        <row r="7724">
          <cell r="A7724" t="str">
            <v>1;07;RC;B;BAG</v>
          </cell>
          <cell r="B7724">
            <v>730069</v>
          </cell>
          <cell r="C7724" t="str">
            <v>RC</v>
          </cell>
          <cell r="D7724" t="str">
            <v>INTRA CANARIAS</v>
          </cell>
          <cell r="E7724" t="str">
            <v>07</v>
          </cell>
          <cell r="F7724" t="str">
            <v>BAG</v>
          </cell>
          <cell r="G7724" t="str">
            <v>B</v>
          </cell>
          <cell r="H7724">
            <v>0</v>
          </cell>
        </row>
        <row r="7725">
          <cell r="A7725" t="str">
            <v>1;07;RC;B;DOCS</v>
          </cell>
          <cell r="B7725">
            <v>730069</v>
          </cell>
          <cell r="C7725" t="str">
            <v>RC</v>
          </cell>
          <cell r="D7725" t="str">
            <v>INTRA CANARIAS</v>
          </cell>
          <cell r="E7725" t="str">
            <v>07</v>
          </cell>
          <cell r="F7725" t="str">
            <v>DOCS</v>
          </cell>
          <cell r="G7725" t="str">
            <v>B</v>
          </cell>
          <cell r="H7725">
            <v>0</v>
          </cell>
        </row>
        <row r="7726">
          <cell r="A7726" t="str">
            <v>1;07;RC;B;PAQ00a05</v>
          </cell>
          <cell r="B7726">
            <v>730069</v>
          </cell>
          <cell r="C7726" t="str">
            <v>RC</v>
          </cell>
          <cell r="D7726" t="str">
            <v>INTRA CANARIAS</v>
          </cell>
          <cell r="E7726" t="str">
            <v>07</v>
          </cell>
          <cell r="F7726" t="str">
            <v>PAQ00a05</v>
          </cell>
          <cell r="G7726" t="str">
            <v>B</v>
          </cell>
          <cell r="H7726">
            <v>0</v>
          </cell>
        </row>
        <row r="7727">
          <cell r="A7727" t="str">
            <v>1;07;RC;B;PAQ05a10</v>
          </cell>
          <cell r="B7727">
            <v>730069</v>
          </cell>
          <cell r="C7727" t="str">
            <v>RC</v>
          </cell>
          <cell r="D7727" t="str">
            <v>INTRA CANARIAS</v>
          </cell>
          <cell r="E7727" t="str">
            <v>07</v>
          </cell>
          <cell r="F7727" t="str">
            <v>PAQ05a10</v>
          </cell>
          <cell r="G7727" t="str">
            <v>B</v>
          </cell>
          <cell r="H7727">
            <v>0</v>
          </cell>
        </row>
        <row r="7728">
          <cell r="A7728" t="str">
            <v>1;07;RC;B;PAQ10a15</v>
          </cell>
          <cell r="B7728">
            <v>730069</v>
          </cell>
          <cell r="C7728" t="str">
            <v>RC</v>
          </cell>
          <cell r="D7728" t="str">
            <v>INTRA CANARIAS</v>
          </cell>
          <cell r="E7728" t="str">
            <v>07</v>
          </cell>
          <cell r="F7728" t="str">
            <v>PAQ10a15</v>
          </cell>
          <cell r="G7728" t="str">
            <v>B</v>
          </cell>
          <cell r="H7728">
            <v>0</v>
          </cell>
        </row>
        <row r="7729">
          <cell r="A7729" t="str">
            <v>1;07;RC;B;PAQ15a20</v>
          </cell>
          <cell r="B7729">
            <v>730069</v>
          </cell>
          <cell r="C7729" t="str">
            <v>RC</v>
          </cell>
          <cell r="D7729" t="str">
            <v>INTRA CANARIAS</v>
          </cell>
          <cell r="E7729" t="str">
            <v>07</v>
          </cell>
          <cell r="F7729" t="str">
            <v>PAQ15a20</v>
          </cell>
          <cell r="G7729" t="str">
            <v>B</v>
          </cell>
          <cell r="H7729">
            <v>0</v>
          </cell>
        </row>
        <row r="7730">
          <cell r="A7730" t="str">
            <v>1;07;RC;B;PAQ20a25</v>
          </cell>
          <cell r="B7730">
            <v>730069</v>
          </cell>
          <cell r="C7730" t="str">
            <v>RC</v>
          </cell>
          <cell r="D7730" t="str">
            <v>INTRA CANARIAS</v>
          </cell>
          <cell r="E7730" t="str">
            <v>07</v>
          </cell>
          <cell r="F7730" t="str">
            <v>PAQ20a25</v>
          </cell>
          <cell r="G7730" t="str">
            <v>B</v>
          </cell>
          <cell r="H7730">
            <v>0</v>
          </cell>
        </row>
        <row r="7731">
          <cell r="A7731" t="str">
            <v>1;07;RC;B;PAQ25a30</v>
          </cell>
          <cell r="B7731">
            <v>730069</v>
          </cell>
          <cell r="C7731" t="str">
            <v>RC</v>
          </cell>
          <cell r="D7731" t="str">
            <v>INTRA CANARIAS</v>
          </cell>
          <cell r="E7731" t="str">
            <v>07</v>
          </cell>
          <cell r="F7731" t="str">
            <v>PAQ25a30</v>
          </cell>
          <cell r="G7731" t="str">
            <v>B</v>
          </cell>
          <cell r="H7731">
            <v>0</v>
          </cell>
        </row>
        <row r="7732">
          <cell r="A7732" t="str">
            <v>1;07;RC;B;PAQ30a35</v>
          </cell>
          <cell r="B7732">
            <v>730069</v>
          </cell>
          <cell r="C7732" t="str">
            <v>RC</v>
          </cell>
          <cell r="D7732" t="str">
            <v>INTRA CANARIAS</v>
          </cell>
          <cell r="E7732" t="str">
            <v>07</v>
          </cell>
          <cell r="F7732" t="str">
            <v>PAQ30a35</v>
          </cell>
          <cell r="G7732" t="str">
            <v>B</v>
          </cell>
          <cell r="H7732">
            <v>0</v>
          </cell>
        </row>
        <row r="7733">
          <cell r="A7733" t="str">
            <v>1;07;RC;B;PAQ35a40</v>
          </cell>
          <cell r="B7733">
            <v>730069</v>
          </cell>
          <cell r="C7733" t="str">
            <v>RC</v>
          </cell>
          <cell r="D7733" t="str">
            <v>INTRA CANARIAS</v>
          </cell>
          <cell r="E7733" t="str">
            <v>07</v>
          </cell>
          <cell r="F7733" t="str">
            <v>PAQ35a40</v>
          </cell>
          <cell r="G7733" t="str">
            <v>B</v>
          </cell>
          <cell r="H7733">
            <v>0</v>
          </cell>
        </row>
        <row r="7734">
          <cell r="A7734" t="str">
            <v>1;07;RC;F;</v>
          </cell>
          <cell r="B7734">
            <v>730069</v>
          </cell>
          <cell r="C7734" t="str">
            <v>RC</v>
          </cell>
          <cell r="D7734" t="str">
            <v>INTRA CANARIAS</v>
          </cell>
          <cell r="E7734" t="str">
            <v>07</v>
          </cell>
          <cell r="F7734" t="str">
            <v/>
          </cell>
          <cell r="G7734" t="str">
            <v>F</v>
          </cell>
          <cell r="H7734">
            <v>0</v>
          </cell>
        </row>
        <row r="7735">
          <cell r="A7735" t="str">
            <v>1;07;RC;E;</v>
          </cell>
          <cell r="B7735">
            <v>730069</v>
          </cell>
          <cell r="C7735" t="str">
            <v>RC</v>
          </cell>
          <cell r="D7735" t="str">
            <v>INTRA CANARIAS</v>
          </cell>
          <cell r="E7735" t="str">
            <v>07</v>
          </cell>
          <cell r="F7735" t="str">
            <v/>
          </cell>
          <cell r="G7735" t="str">
            <v>E</v>
          </cell>
          <cell r="H7735">
            <v>11.83</v>
          </cell>
        </row>
        <row r="7736">
          <cell r="A7736" t="str">
            <v>1;07;RC;P;</v>
          </cell>
          <cell r="B7736">
            <v>730069</v>
          </cell>
          <cell r="C7736" t="str">
            <v>RC</v>
          </cell>
          <cell r="D7736" t="str">
            <v>INTRA CANARIAS</v>
          </cell>
          <cell r="E7736" t="str">
            <v>07</v>
          </cell>
          <cell r="F7736" t="str">
            <v/>
          </cell>
          <cell r="G7736" t="str">
            <v>P</v>
          </cell>
          <cell r="H7736">
            <v>11.83</v>
          </cell>
        </row>
        <row r="7737">
          <cell r="A7737" t="str">
            <v>1;08;RC;B;BAG</v>
          </cell>
          <cell r="B7737">
            <v>730069</v>
          </cell>
          <cell r="C7737" t="str">
            <v>RC</v>
          </cell>
          <cell r="D7737" t="str">
            <v>INTRA CANARIAS</v>
          </cell>
          <cell r="E7737" t="str">
            <v>08</v>
          </cell>
          <cell r="F7737" t="str">
            <v>BAG</v>
          </cell>
          <cell r="G7737" t="str">
            <v>B</v>
          </cell>
          <cell r="H7737">
            <v>7.99</v>
          </cell>
        </row>
        <row r="7738">
          <cell r="A7738" t="str">
            <v>1;08;RC;B;DOCS</v>
          </cell>
          <cell r="B7738">
            <v>730069</v>
          </cell>
          <cell r="C7738" t="str">
            <v>RC</v>
          </cell>
          <cell r="D7738" t="str">
            <v>INTRA CANARIAS</v>
          </cell>
          <cell r="E7738" t="str">
            <v>08</v>
          </cell>
          <cell r="F7738" t="str">
            <v>DOCS</v>
          </cell>
          <cell r="G7738" t="str">
            <v>B</v>
          </cell>
          <cell r="H7738">
            <v>5.81</v>
          </cell>
        </row>
        <row r="7739">
          <cell r="A7739" t="str">
            <v>1;08;RC;B;PAQ00a02</v>
          </cell>
          <cell r="B7739">
            <v>730069</v>
          </cell>
          <cell r="C7739" t="str">
            <v>RC</v>
          </cell>
          <cell r="D7739" t="str">
            <v>INTRA CANARIAS</v>
          </cell>
          <cell r="E7739" t="str">
            <v>08</v>
          </cell>
          <cell r="F7739" t="str">
            <v>PAQ00a02</v>
          </cell>
          <cell r="G7739" t="str">
            <v>B</v>
          </cell>
          <cell r="H7739">
            <v>7.99</v>
          </cell>
        </row>
        <row r="7740">
          <cell r="A7740" t="str">
            <v>1;08;RC;B;PAQ02a05</v>
          </cell>
          <cell r="B7740">
            <v>730069</v>
          </cell>
          <cell r="C7740" t="str">
            <v>RC</v>
          </cell>
          <cell r="D7740" t="str">
            <v>INTRA CANARIAS</v>
          </cell>
          <cell r="E7740" t="str">
            <v>08</v>
          </cell>
          <cell r="F7740" t="str">
            <v>PAQ02a05</v>
          </cell>
          <cell r="G7740" t="str">
            <v>B</v>
          </cell>
          <cell r="H7740">
            <v>9</v>
          </cell>
        </row>
        <row r="7741">
          <cell r="A7741" t="str">
            <v>1;08;RC;B;PAQ05a10</v>
          </cell>
          <cell r="B7741">
            <v>730069</v>
          </cell>
          <cell r="C7741" t="str">
            <v>RC</v>
          </cell>
          <cell r="D7741" t="str">
            <v>INTRA CANARIAS</v>
          </cell>
          <cell r="E7741" t="str">
            <v>08</v>
          </cell>
          <cell r="F7741" t="str">
            <v>PAQ05a10</v>
          </cell>
          <cell r="G7741" t="str">
            <v>B</v>
          </cell>
          <cell r="H7741">
            <v>11.32</v>
          </cell>
        </row>
        <row r="7742">
          <cell r="A7742" t="str">
            <v>1;08;RC;B;PAQ10a15</v>
          </cell>
          <cell r="B7742">
            <v>730069</v>
          </cell>
          <cell r="C7742" t="str">
            <v>RC</v>
          </cell>
          <cell r="D7742" t="str">
            <v>INTRA CANARIAS</v>
          </cell>
          <cell r="E7742" t="str">
            <v>08</v>
          </cell>
          <cell r="F7742" t="str">
            <v>PAQ10a15</v>
          </cell>
          <cell r="G7742" t="str">
            <v>B</v>
          </cell>
          <cell r="H7742">
            <v>13.9</v>
          </cell>
        </row>
        <row r="7743">
          <cell r="A7743" t="str">
            <v>1;08;RC;B;PAQ15a20</v>
          </cell>
          <cell r="B7743">
            <v>730069</v>
          </cell>
          <cell r="C7743" t="str">
            <v>RC</v>
          </cell>
          <cell r="D7743" t="str">
            <v>INTRA CANARIAS</v>
          </cell>
          <cell r="E7743" t="str">
            <v>08</v>
          </cell>
          <cell r="F7743" t="str">
            <v>PAQ15a20</v>
          </cell>
          <cell r="G7743" t="str">
            <v>B</v>
          </cell>
          <cell r="H7743">
            <v>16.47</v>
          </cell>
        </row>
        <row r="7744">
          <cell r="A7744" t="str">
            <v>1;08;RC;B;PAQ20a25</v>
          </cell>
          <cell r="B7744">
            <v>730069</v>
          </cell>
          <cell r="C7744" t="str">
            <v>RC</v>
          </cell>
          <cell r="D7744" t="str">
            <v>INTRA CANARIAS</v>
          </cell>
          <cell r="E7744" t="str">
            <v>08</v>
          </cell>
          <cell r="F7744" t="str">
            <v>PAQ20a25</v>
          </cell>
          <cell r="G7744" t="str">
            <v>B</v>
          </cell>
          <cell r="H7744">
            <v>19.05</v>
          </cell>
        </row>
        <row r="7745">
          <cell r="A7745" t="str">
            <v>1;08;RC;B;PAQ25a30</v>
          </cell>
          <cell r="B7745">
            <v>730069</v>
          </cell>
          <cell r="C7745" t="str">
            <v>RC</v>
          </cell>
          <cell r="D7745" t="str">
            <v>INTRA CANARIAS</v>
          </cell>
          <cell r="E7745" t="str">
            <v>08</v>
          </cell>
          <cell r="F7745" t="str">
            <v>PAQ25a30</v>
          </cell>
          <cell r="G7745" t="str">
            <v>B</v>
          </cell>
          <cell r="H7745">
            <v>21.62</v>
          </cell>
        </row>
        <row r="7746">
          <cell r="A7746" t="str">
            <v>1;08;RC;B;PAQ30a35</v>
          </cell>
          <cell r="B7746">
            <v>730069</v>
          </cell>
          <cell r="C7746" t="str">
            <v>RC</v>
          </cell>
          <cell r="D7746" t="str">
            <v>INTRA CANARIAS</v>
          </cell>
          <cell r="E7746" t="str">
            <v>08</v>
          </cell>
          <cell r="F7746" t="str">
            <v>PAQ30a35</v>
          </cell>
          <cell r="G7746" t="str">
            <v>B</v>
          </cell>
          <cell r="H7746">
            <v>24.19</v>
          </cell>
        </row>
        <row r="7747">
          <cell r="A7747" t="str">
            <v>1;08;RC;B;PAQ35a40</v>
          </cell>
          <cell r="B7747">
            <v>730069</v>
          </cell>
          <cell r="C7747" t="str">
            <v>RC</v>
          </cell>
          <cell r="D7747" t="str">
            <v>INTRA CANARIAS</v>
          </cell>
          <cell r="E7747" t="str">
            <v>08</v>
          </cell>
          <cell r="F7747" t="str">
            <v>PAQ35a40</v>
          </cell>
          <cell r="G7747" t="str">
            <v>B</v>
          </cell>
          <cell r="H7747">
            <v>26.76</v>
          </cell>
        </row>
        <row r="7748">
          <cell r="A7748" t="str">
            <v>1;08;RC;F;</v>
          </cell>
          <cell r="B7748">
            <v>730069</v>
          </cell>
          <cell r="C7748" t="str">
            <v>RC</v>
          </cell>
          <cell r="D7748" t="str">
            <v>INTRA CANARIAS</v>
          </cell>
          <cell r="E7748" t="str">
            <v>08</v>
          </cell>
          <cell r="F7748" t="str">
            <v/>
          </cell>
          <cell r="G7748" t="str">
            <v>F</v>
          </cell>
          <cell r="H7748">
            <v>2.57</v>
          </cell>
        </row>
        <row r="7749">
          <cell r="A7749" t="str">
            <v>1;08;RC;E;</v>
          </cell>
          <cell r="B7749">
            <v>730069</v>
          </cell>
          <cell r="C7749" t="str">
            <v>RC</v>
          </cell>
          <cell r="D7749" t="str">
            <v>INTRA CANARIAS</v>
          </cell>
          <cell r="E7749" t="str">
            <v>08</v>
          </cell>
          <cell r="F7749" t="str">
            <v/>
          </cell>
          <cell r="G7749" t="str">
            <v>E</v>
          </cell>
          <cell r="H7749">
            <v>2.57</v>
          </cell>
        </row>
        <row r="7750">
          <cell r="A7750" t="str">
            <v>1;08;RC;P;</v>
          </cell>
          <cell r="B7750">
            <v>730069</v>
          </cell>
          <cell r="C7750" t="str">
            <v>RC</v>
          </cell>
          <cell r="D7750" t="str">
            <v>INTRA CANARIAS</v>
          </cell>
          <cell r="E7750" t="str">
            <v>08</v>
          </cell>
          <cell r="F7750" t="str">
            <v/>
          </cell>
          <cell r="G7750" t="str">
            <v>P</v>
          </cell>
          <cell r="H7750">
            <v>2.57</v>
          </cell>
        </row>
        <row r="7751">
          <cell r="A7751" t="str">
            <v>1;10;RC;B;BAG</v>
          </cell>
          <cell r="B7751">
            <v>730069</v>
          </cell>
          <cell r="C7751" t="str">
            <v>RC</v>
          </cell>
          <cell r="D7751" t="str">
            <v>INTRA CANARIAS</v>
          </cell>
          <cell r="E7751" t="str">
            <v>10</v>
          </cell>
          <cell r="F7751" t="str">
            <v>BAG</v>
          </cell>
          <cell r="G7751" t="str">
            <v>B</v>
          </cell>
          <cell r="H7751">
            <v>1.67</v>
          </cell>
        </row>
        <row r="7752">
          <cell r="A7752" t="str">
            <v>1;10;RC;B;DOCS</v>
          </cell>
          <cell r="B7752">
            <v>730069</v>
          </cell>
          <cell r="C7752" t="str">
            <v>RC</v>
          </cell>
          <cell r="D7752" t="str">
            <v>INTRA CANARIAS</v>
          </cell>
          <cell r="E7752" t="str">
            <v>10</v>
          </cell>
          <cell r="F7752" t="str">
            <v>DOCS</v>
          </cell>
          <cell r="G7752" t="str">
            <v>B</v>
          </cell>
          <cell r="H7752">
            <v>1.67</v>
          </cell>
        </row>
        <row r="7753">
          <cell r="A7753" t="str">
            <v>1;14;RC;B;BAG</v>
          </cell>
          <cell r="B7753">
            <v>730069</v>
          </cell>
          <cell r="C7753" t="str">
            <v>RC</v>
          </cell>
          <cell r="D7753" t="str">
            <v>INTRA CANARIAS</v>
          </cell>
          <cell r="E7753" t="str">
            <v>14</v>
          </cell>
          <cell r="F7753" t="str">
            <v>BAG</v>
          </cell>
          <cell r="G7753" t="str">
            <v>B</v>
          </cell>
          <cell r="H7753">
            <v>1.75</v>
          </cell>
        </row>
        <row r="7754">
          <cell r="A7754" t="str">
            <v>1;15;RC;B;BAG</v>
          </cell>
          <cell r="B7754">
            <v>730069</v>
          </cell>
          <cell r="C7754" t="str">
            <v>RC</v>
          </cell>
          <cell r="D7754" t="str">
            <v>INTRA CANARIAS</v>
          </cell>
          <cell r="E7754" t="str">
            <v>15</v>
          </cell>
          <cell r="F7754" t="str">
            <v>BAG</v>
          </cell>
          <cell r="G7754" t="str">
            <v>B</v>
          </cell>
          <cell r="H7754">
            <v>1.75</v>
          </cell>
        </row>
        <row r="7755">
          <cell r="A7755" t="str">
            <v>1;21;RC;B;BAG</v>
          </cell>
          <cell r="B7755">
            <v>730069</v>
          </cell>
          <cell r="C7755" t="str">
            <v>RC</v>
          </cell>
          <cell r="D7755" t="str">
            <v>INTRA CANARIAS</v>
          </cell>
          <cell r="E7755" t="str">
            <v>21</v>
          </cell>
          <cell r="F7755" t="str">
            <v>BAG</v>
          </cell>
          <cell r="G7755" t="str">
            <v>B</v>
          </cell>
          <cell r="H7755">
            <v>17.36</v>
          </cell>
        </row>
        <row r="7756">
          <cell r="A7756" t="str">
            <v>1;21;RC;B;DOCS</v>
          </cell>
          <cell r="B7756">
            <v>730069</v>
          </cell>
          <cell r="C7756" t="str">
            <v>RC</v>
          </cell>
          <cell r="D7756" t="str">
            <v>INTRA CANARIAS</v>
          </cell>
          <cell r="E7756" t="str">
            <v>21</v>
          </cell>
          <cell r="F7756" t="str">
            <v>DOCS</v>
          </cell>
          <cell r="G7756" t="str">
            <v>B</v>
          </cell>
          <cell r="H7756">
            <v>17.36</v>
          </cell>
        </row>
        <row r="7757">
          <cell r="A7757" t="str">
            <v>1;21;RC;B;PAQ00a02</v>
          </cell>
          <cell r="B7757">
            <v>730069</v>
          </cell>
          <cell r="C7757" t="str">
            <v>RC</v>
          </cell>
          <cell r="D7757" t="str">
            <v>INTRA CANARIAS</v>
          </cell>
          <cell r="E7757" t="str">
            <v>21</v>
          </cell>
          <cell r="F7757" t="str">
            <v>PAQ00a02</v>
          </cell>
          <cell r="G7757" t="str">
            <v>B</v>
          </cell>
          <cell r="H7757">
            <v>19.12</v>
          </cell>
        </row>
        <row r="7758">
          <cell r="A7758" t="str">
            <v>1;21;RC;B;PAQ02a05</v>
          </cell>
          <cell r="B7758">
            <v>730069</v>
          </cell>
          <cell r="C7758" t="str">
            <v>RC</v>
          </cell>
          <cell r="D7758" t="str">
            <v>INTRA CANARIAS</v>
          </cell>
          <cell r="E7758" t="str">
            <v>21</v>
          </cell>
          <cell r="F7758" t="str">
            <v>PAQ02a05</v>
          </cell>
          <cell r="G7758" t="str">
            <v>B</v>
          </cell>
          <cell r="H7758">
            <v>19.12</v>
          </cell>
        </row>
        <row r="7759">
          <cell r="A7759" t="str">
            <v>1;21;RC;B;PAQ05a10</v>
          </cell>
          <cell r="B7759">
            <v>730069</v>
          </cell>
          <cell r="C7759" t="str">
            <v>RC</v>
          </cell>
          <cell r="D7759" t="str">
            <v>INTRA CANARIAS</v>
          </cell>
          <cell r="E7759" t="str">
            <v>21</v>
          </cell>
          <cell r="F7759" t="str">
            <v>PAQ05a10</v>
          </cell>
          <cell r="G7759" t="str">
            <v>B</v>
          </cell>
          <cell r="H7759">
            <v>20.34</v>
          </cell>
        </row>
        <row r="7760">
          <cell r="A7760" t="str">
            <v>1;21;RC;B;PAQ10a15</v>
          </cell>
          <cell r="B7760">
            <v>730069</v>
          </cell>
          <cell r="C7760" t="str">
            <v>RC</v>
          </cell>
          <cell r="D7760" t="str">
            <v>INTRA CANARIAS</v>
          </cell>
          <cell r="E7760" t="str">
            <v>21</v>
          </cell>
          <cell r="F7760" t="str">
            <v>PAQ10a15</v>
          </cell>
          <cell r="G7760" t="str">
            <v>B</v>
          </cell>
          <cell r="H7760">
            <v>23.22</v>
          </cell>
        </row>
        <row r="7761">
          <cell r="A7761" t="str">
            <v>1;21;RC;B;PAQ15a20</v>
          </cell>
          <cell r="B7761">
            <v>730069</v>
          </cell>
          <cell r="C7761" t="str">
            <v>RC</v>
          </cell>
          <cell r="D7761" t="str">
            <v>INTRA CANARIAS</v>
          </cell>
          <cell r="E7761" t="str">
            <v>21</v>
          </cell>
          <cell r="F7761" t="str">
            <v>PAQ15a20</v>
          </cell>
          <cell r="G7761" t="str">
            <v>B</v>
          </cell>
          <cell r="H7761">
            <v>26.09</v>
          </cell>
        </row>
        <row r="7762">
          <cell r="A7762" t="str">
            <v>1;21;RC;B;PAQ20a25</v>
          </cell>
          <cell r="B7762">
            <v>730069</v>
          </cell>
          <cell r="C7762" t="str">
            <v>RC</v>
          </cell>
          <cell r="D7762" t="str">
            <v>INTRA CANARIAS</v>
          </cell>
          <cell r="E7762" t="str">
            <v>21</v>
          </cell>
          <cell r="F7762" t="str">
            <v>PAQ20a25</v>
          </cell>
          <cell r="G7762" t="str">
            <v>B</v>
          </cell>
          <cell r="H7762">
            <v>28.97</v>
          </cell>
        </row>
        <row r="7763">
          <cell r="A7763" t="str">
            <v>1;21;RC;B;PAQ25a30</v>
          </cell>
          <cell r="B7763">
            <v>730069</v>
          </cell>
          <cell r="C7763" t="str">
            <v>RC</v>
          </cell>
          <cell r="D7763" t="str">
            <v>INTRA CANARIAS</v>
          </cell>
          <cell r="E7763" t="str">
            <v>21</v>
          </cell>
          <cell r="F7763" t="str">
            <v>PAQ25a30</v>
          </cell>
          <cell r="G7763" t="str">
            <v>B</v>
          </cell>
          <cell r="H7763">
            <v>31.85</v>
          </cell>
        </row>
        <row r="7764">
          <cell r="A7764" t="str">
            <v>1;21;RC;B;PAQ30a35</v>
          </cell>
          <cell r="B7764">
            <v>730069</v>
          </cell>
          <cell r="C7764" t="str">
            <v>RC</v>
          </cell>
          <cell r="D7764" t="str">
            <v>INTRA CANARIAS</v>
          </cell>
          <cell r="E7764" t="str">
            <v>21</v>
          </cell>
          <cell r="F7764" t="str">
            <v>PAQ30a35</v>
          </cell>
          <cell r="G7764" t="str">
            <v>B</v>
          </cell>
          <cell r="H7764">
            <v>34.72</v>
          </cell>
        </row>
        <row r="7765">
          <cell r="A7765" t="str">
            <v>1;21;RC;B;PAQ35a40</v>
          </cell>
          <cell r="B7765">
            <v>730069</v>
          </cell>
          <cell r="C7765" t="str">
            <v>RC</v>
          </cell>
          <cell r="D7765" t="str">
            <v>INTRA CANARIAS</v>
          </cell>
          <cell r="E7765" t="str">
            <v>21</v>
          </cell>
          <cell r="F7765" t="str">
            <v>PAQ35a40</v>
          </cell>
          <cell r="G7765" t="str">
            <v>B</v>
          </cell>
          <cell r="H7765">
            <v>37.6</v>
          </cell>
        </row>
        <row r="7766">
          <cell r="A7766" t="str">
            <v>1;21;RC;F;</v>
          </cell>
          <cell r="B7766">
            <v>730069</v>
          </cell>
          <cell r="C7766" t="str">
            <v>RC</v>
          </cell>
          <cell r="D7766" t="str">
            <v>INTRA CANARIAS</v>
          </cell>
          <cell r="E7766" t="str">
            <v>21</v>
          </cell>
          <cell r="F7766" t="str">
            <v/>
          </cell>
          <cell r="G7766" t="str">
            <v>F</v>
          </cell>
          <cell r="H7766">
            <v>2.88</v>
          </cell>
        </row>
        <row r="7767">
          <cell r="A7767" t="str">
            <v>1;21;RC;E;</v>
          </cell>
          <cell r="B7767">
            <v>730069</v>
          </cell>
          <cell r="C7767" t="str">
            <v>RC</v>
          </cell>
          <cell r="D7767" t="str">
            <v>INTRA CANARIAS</v>
          </cell>
          <cell r="E7767" t="str">
            <v>21</v>
          </cell>
          <cell r="F7767" t="str">
            <v/>
          </cell>
          <cell r="G7767" t="str">
            <v>E</v>
          </cell>
          <cell r="H7767">
            <v>11.83</v>
          </cell>
        </row>
        <row r="7768">
          <cell r="A7768" t="str">
            <v>1;21;RC;P;</v>
          </cell>
          <cell r="B7768">
            <v>730069</v>
          </cell>
          <cell r="C7768" t="str">
            <v>RC</v>
          </cell>
          <cell r="D7768" t="str">
            <v>INTRA CANARIAS</v>
          </cell>
          <cell r="E7768" t="str">
            <v>21</v>
          </cell>
          <cell r="F7768" t="str">
            <v/>
          </cell>
          <cell r="G7768" t="str">
            <v>P</v>
          </cell>
          <cell r="H7768">
            <v>11.83</v>
          </cell>
        </row>
        <row r="7769">
          <cell r="A7769" t="str">
            <v>1;26;RC;B;BAG</v>
          </cell>
          <cell r="B7769">
            <v>730069</v>
          </cell>
          <cell r="C7769" t="str">
            <v>RC</v>
          </cell>
          <cell r="D7769" t="str">
            <v>INTRA CANARIAS</v>
          </cell>
          <cell r="E7769" t="str">
            <v>26</v>
          </cell>
          <cell r="F7769" t="str">
            <v>BAG</v>
          </cell>
          <cell r="G7769" t="str">
            <v>B</v>
          </cell>
          <cell r="H7769">
            <v>5.91</v>
          </cell>
        </row>
        <row r="7770">
          <cell r="A7770" t="str">
            <v>1;26;RC;B;PAQ00a02</v>
          </cell>
          <cell r="B7770">
            <v>730069</v>
          </cell>
          <cell r="C7770" t="str">
            <v>RC</v>
          </cell>
          <cell r="D7770" t="str">
            <v>INTRA CANARIAS</v>
          </cell>
          <cell r="E7770" t="str">
            <v>26</v>
          </cell>
          <cell r="F7770" t="str">
            <v>PAQ00a02</v>
          </cell>
          <cell r="G7770" t="str">
            <v>B</v>
          </cell>
          <cell r="H7770">
            <v>5.91</v>
          </cell>
        </row>
        <row r="7771">
          <cell r="A7771" t="str">
            <v>1;26;RC;B;PAQ02a05</v>
          </cell>
          <cell r="B7771">
            <v>730069</v>
          </cell>
          <cell r="C7771" t="str">
            <v>RC</v>
          </cell>
          <cell r="D7771" t="str">
            <v>INTRA CANARIAS</v>
          </cell>
          <cell r="E7771" t="str">
            <v>26</v>
          </cell>
          <cell r="F7771" t="str">
            <v>PAQ02a05</v>
          </cell>
          <cell r="G7771" t="str">
            <v>B</v>
          </cell>
          <cell r="H7771">
            <v>7</v>
          </cell>
        </row>
        <row r="7772">
          <cell r="A7772" t="str">
            <v>1;26;RC;B;PAQ05a10</v>
          </cell>
          <cell r="B7772">
            <v>730069</v>
          </cell>
          <cell r="C7772" t="str">
            <v>RC</v>
          </cell>
          <cell r="D7772" t="str">
            <v>INTRA CANARIAS</v>
          </cell>
          <cell r="E7772" t="str">
            <v>26</v>
          </cell>
          <cell r="F7772" t="str">
            <v>PAQ05a10</v>
          </cell>
          <cell r="G7772" t="str">
            <v>B</v>
          </cell>
          <cell r="H7772">
            <v>7.5</v>
          </cell>
        </row>
        <row r="7773">
          <cell r="A7773" t="str">
            <v>1;26;RC;B;PAQ10a15</v>
          </cell>
          <cell r="B7773">
            <v>730069</v>
          </cell>
          <cell r="C7773" t="str">
            <v>RC</v>
          </cell>
          <cell r="D7773" t="str">
            <v>INTRA CANARIAS</v>
          </cell>
          <cell r="E7773" t="str">
            <v>26</v>
          </cell>
          <cell r="F7773" t="str">
            <v>PAQ10a15</v>
          </cell>
          <cell r="G7773" t="str">
            <v>B</v>
          </cell>
          <cell r="H7773">
            <v>8.1199999999999992</v>
          </cell>
        </row>
        <row r="7774">
          <cell r="A7774" t="str">
            <v>1;26;RC;B;PAQ15a20</v>
          </cell>
          <cell r="B7774">
            <v>730069</v>
          </cell>
          <cell r="C7774" t="str">
            <v>RC</v>
          </cell>
          <cell r="D7774" t="str">
            <v>INTRA CANARIAS</v>
          </cell>
          <cell r="E7774" t="str">
            <v>26</v>
          </cell>
          <cell r="F7774" t="str">
            <v>PAQ15a20</v>
          </cell>
          <cell r="G7774" t="str">
            <v>B</v>
          </cell>
          <cell r="H7774">
            <v>8.7200000000000006</v>
          </cell>
        </row>
        <row r="7775">
          <cell r="A7775" t="str">
            <v>1;35;RC;B;BAG</v>
          </cell>
          <cell r="B7775">
            <v>730069</v>
          </cell>
          <cell r="C7775" t="str">
            <v>RC</v>
          </cell>
          <cell r="D7775" t="str">
            <v>INTRA CANARIAS</v>
          </cell>
          <cell r="E7775" t="str">
            <v>35</v>
          </cell>
          <cell r="F7775" t="str">
            <v>BAG</v>
          </cell>
          <cell r="G7775" t="str">
            <v>B</v>
          </cell>
          <cell r="H7775">
            <v>2.21</v>
          </cell>
        </row>
        <row r="7776">
          <cell r="A7776" t="str">
            <v>1;35;RC;B;DOCS</v>
          </cell>
          <cell r="B7776">
            <v>730069</v>
          </cell>
          <cell r="C7776" t="str">
            <v>RC</v>
          </cell>
          <cell r="D7776" t="str">
            <v>INTRA CANARIAS</v>
          </cell>
          <cell r="E7776" t="str">
            <v>35</v>
          </cell>
          <cell r="F7776" t="str">
            <v>DOCS</v>
          </cell>
          <cell r="G7776" t="str">
            <v>B</v>
          </cell>
          <cell r="H7776">
            <v>2.21</v>
          </cell>
        </row>
        <row r="7777">
          <cell r="A7777" t="str">
            <v>1;35;RC;B;PAQ00a05</v>
          </cell>
          <cell r="B7777">
            <v>730069</v>
          </cell>
          <cell r="C7777" t="str">
            <v>RC</v>
          </cell>
          <cell r="D7777" t="str">
            <v>INTRA CANARIAS</v>
          </cell>
          <cell r="E7777" t="str">
            <v>35</v>
          </cell>
          <cell r="F7777" t="str">
            <v>PAQ00a05</v>
          </cell>
          <cell r="G7777" t="str">
            <v>B</v>
          </cell>
          <cell r="H7777">
            <v>2.21</v>
          </cell>
        </row>
        <row r="7778">
          <cell r="A7778" t="str">
            <v>1;35;RC;B;PAQ05a10</v>
          </cell>
          <cell r="B7778">
            <v>730069</v>
          </cell>
          <cell r="C7778" t="str">
            <v>RC</v>
          </cell>
          <cell r="D7778" t="str">
            <v>INTRA CANARIAS</v>
          </cell>
          <cell r="E7778" t="str">
            <v>35</v>
          </cell>
          <cell r="F7778" t="str">
            <v>PAQ05a10</v>
          </cell>
          <cell r="G7778" t="str">
            <v>B</v>
          </cell>
          <cell r="H7778">
            <v>2.21</v>
          </cell>
        </row>
        <row r="7779">
          <cell r="A7779" t="str">
            <v>1;35;RC;B;PAQ10a15</v>
          </cell>
          <cell r="B7779">
            <v>730069</v>
          </cell>
          <cell r="C7779" t="str">
            <v>RC</v>
          </cell>
          <cell r="D7779" t="str">
            <v>INTRA CANARIAS</v>
          </cell>
          <cell r="E7779" t="str">
            <v>35</v>
          </cell>
          <cell r="F7779" t="str">
            <v>PAQ10a15</v>
          </cell>
          <cell r="G7779" t="str">
            <v>B</v>
          </cell>
          <cell r="H7779">
            <v>2.21</v>
          </cell>
        </row>
        <row r="7780">
          <cell r="A7780" t="str">
            <v>1;35;RC;B;PAQ15a20</v>
          </cell>
          <cell r="B7780">
            <v>730069</v>
          </cell>
          <cell r="C7780" t="str">
            <v>RC</v>
          </cell>
          <cell r="D7780" t="str">
            <v>INTRA CANARIAS</v>
          </cell>
          <cell r="E7780" t="str">
            <v>35</v>
          </cell>
          <cell r="F7780" t="str">
            <v>PAQ15a20</v>
          </cell>
          <cell r="G7780" t="str">
            <v>B</v>
          </cell>
          <cell r="H7780">
            <v>2.21</v>
          </cell>
        </row>
        <row r="7781">
          <cell r="A7781" t="str">
            <v>1;35;RC;B;PAQ20a25</v>
          </cell>
          <cell r="B7781">
            <v>730069</v>
          </cell>
          <cell r="C7781" t="str">
            <v>RC</v>
          </cell>
          <cell r="D7781" t="str">
            <v>INTRA CANARIAS</v>
          </cell>
          <cell r="E7781" t="str">
            <v>35</v>
          </cell>
          <cell r="F7781" t="str">
            <v>PAQ20a25</v>
          </cell>
          <cell r="G7781" t="str">
            <v>B</v>
          </cell>
          <cell r="H7781">
            <v>3.96</v>
          </cell>
        </row>
        <row r="7782">
          <cell r="A7782" t="str">
            <v>1;35;RC;B;PAQ25a30</v>
          </cell>
          <cell r="B7782">
            <v>730069</v>
          </cell>
          <cell r="C7782" t="str">
            <v>RC</v>
          </cell>
          <cell r="D7782" t="str">
            <v>INTRA CANARIAS</v>
          </cell>
          <cell r="E7782" t="str">
            <v>35</v>
          </cell>
          <cell r="F7782" t="str">
            <v>PAQ25a30</v>
          </cell>
          <cell r="G7782" t="str">
            <v>B</v>
          </cell>
          <cell r="H7782">
            <v>3.96</v>
          </cell>
        </row>
        <row r="7783">
          <cell r="A7783" t="str">
            <v>1;35;RC;B;PAQ30a35</v>
          </cell>
          <cell r="B7783">
            <v>730069</v>
          </cell>
          <cell r="C7783" t="str">
            <v>RC</v>
          </cell>
          <cell r="D7783" t="str">
            <v>INTRA CANARIAS</v>
          </cell>
          <cell r="E7783" t="str">
            <v>35</v>
          </cell>
          <cell r="F7783" t="str">
            <v>PAQ30a35</v>
          </cell>
          <cell r="G7783" t="str">
            <v>B</v>
          </cell>
          <cell r="H7783">
            <v>3.96</v>
          </cell>
        </row>
        <row r="7784">
          <cell r="A7784" t="str">
            <v>1;35;RC;B;PAQ35a40</v>
          </cell>
          <cell r="B7784">
            <v>730069</v>
          </cell>
          <cell r="C7784" t="str">
            <v>RC</v>
          </cell>
          <cell r="D7784" t="str">
            <v>INTRA CANARIAS</v>
          </cell>
          <cell r="E7784" t="str">
            <v>35</v>
          </cell>
          <cell r="F7784" t="str">
            <v>PAQ35a40</v>
          </cell>
          <cell r="G7784" t="str">
            <v>B</v>
          </cell>
          <cell r="H7784">
            <v>3.96</v>
          </cell>
        </row>
        <row r="7785">
          <cell r="A7785" t="str">
            <v>1;35;RC;F;</v>
          </cell>
          <cell r="B7785">
            <v>730069</v>
          </cell>
          <cell r="C7785" t="str">
            <v>RC</v>
          </cell>
          <cell r="D7785" t="str">
            <v>INTRA CANARIAS</v>
          </cell>
          <cell r="E7785" t="str">
            <v>35</v>
          </cell>
          <cell r="F7785" t="str">
            <v/>
          </cell>
          <cell r="G7785" t="str">
            <v>F</v>
          </cell>
          <cell r="H7785">
            <v>1.23</v>
          </cell>
        </row>
        <row r="7786">
          <cell r="A7786" t="str">
            <v>1;35;RC;E;</v>
          </cell>
          <cell r="B7786">
            <v>730069</v>
          </cell>
          <cell r="C7786" t="str">
            <v>RC</v>
          </cell>
          <cell r="D7786" t="str">
            <v>INTRA CANARIAS</v>
          </cell>
          <cell r="E7786" t="str">
            <v>35</v>
          </cell>
          <cell r="F7786" t="str">
            <v/>
          </cell>
          <cell r="G7786" t="str">
            <v>E</v>
          </cell>
          <cell r="H7786">
            <v>1.23</v>
          </cell>
        </row>
        <row r="7787">
          <cell r="A7787" t="str">
            <v>1;35;RC;P;</v>
          </cell>
          <cell r="B7787">
            <v>730069</v>
          </cell>
          <cell r="C7787" t="str">
            <v>RC</v>
          </cell>
          <cell r="D7787" t="str">
            <v>INTRA CANARIAS</v>
          </cell>
          <cell r="E7787" t="str">
            <v>35</v>
          </cell>
          <cell r="F7787" t="str">
            <v/>
          </cell>
          <cell r="G7787" t="str">
            <v>P</v>
          </cell>
          <cell r="H7787">
            <v>1.23</v>
          </cell>
        </row>
        <row r="7788">
          <cell r="A7788" t="str">
            <v>1;61;RC;B;BAG</v>
          </cell>
          <cell r="B7788">
            <v>730069</v>
          </cell>
          <cell r="C7788" t="str">
            <v>RC</v>
          </cell>
          <cell r="D7788" t="str">
            <v>INTRA CANARIAS</v>
          </cell>
          <cell r="E7788" t="str">
            <v>61</v>
          </cell>
          <cell r="F7788" t="str">
            <v>BAG</v>
          </cell>
          <cell r="G7788" t="str">
            <v>B</v>
          </cell>
          <cell r="H7788">
            <v>14.58</v>
          </cell>
        </row>
        <row r="7789">
          <cell r="A7789" t="str">
            <v>1;61;RC;B;PAQ00a05</v>
          </cell>
          <cell r="B7789">
            <v>730069</v>
          </cell>
          <cell r="C7789" t="str">
            <v>RC</v>
          </cell>
          <cell r="D7789" t="str">
            <v>INTRA CANARIAS</v>
          </cell>
          <cell r="E7789" t="str">
            <v>61</v>
          </cell>
          <cell r="F7789" t="str">
            <v>PAQ00a05</v>
          </cell>
          <cell r="G7789" t="str">
            <v>B</v>
          </cell>
          <cell r="H7789">
            <v>15.25</v>
          </cell>
        </row>
        <row r="7790">
          <cell r="A7790" t="str">
            <v>1;61;RC;B;PAQ05a10</v>
          </cell>
          <cell r="B7790">
            <v>730069</v>
          </cell>
          <cell r="C7790" t="str">
            <v>RC</v>
          </cell>
          <cell r="D7790" t="str">
            <v>INTRA CANARIAS</v>
          </cell>
          <cell r="E7790" t="str">
            <v>61</v>
          </cell>
          <cell r="F7790" t="str">
            <v>PAQ05a10</v>
          </cell>
          <cell r="G7790" t="str">
            <v>B</v>
          </cell>
          <cell r="H7790">
            <v>25</v>
          </cell>
        </row>
        <row r="7791">
          <cell r="A7791" t="str">
            <v>1;61;RC;B;PAQ10a15</v>
          </cell>
          <cell r="B7791">
            <v>730069</v>
          </cell>
          <cell r="C7791" t="str">
            <v>RC</v>
          </cell>
          <cell r="D7791" t="str">
            <v>INTRA CANARIAS</v>
          </cell>
          <cell r="E7791" t="str">
            <v>61</v>
          </cell>
          <cell r="F7791" t="str">
            <v>PAQ10a15</v>
          </cell>
          <cell r="G7791" t="str">
            <v>B</v>
          </cell>
          <cell r="H7791">
            <v>35.79</v>
          </cell>
        </row>
        <row r="7792">
          <cell r="A7792" t="str">
            <v>1;61;RC;B;PAQ15a20</v>
          </cell>
          <cell r="B7792">
            <v>730069</v>
          </cell>
          <cell r="C7792" t="str">
            <v>RC</v>
          </cell>
          <cell r="D7792" t="str">
            <v>INTRA CANARIAS</v>
          </cell>
          <cell r="E7792" t="str">
            <v>61</v>
          </cell>
          <cell r="F7792" t="str">
            <v>PAQ15a20</v>
          </cell>
          <cell r="G7792" t="str">
            <v>B</v>
          </cell>
          <cell r="H7792">
            <v>46.59</v>
          </cell>
        </row>
        <row r="7793">
          <cell r="A7793" t="str">
            <v>1;61;RC;B;PAQ20a25</v>
          </cell>
          <cell r="B7793">
            <v>730069</v>
          </cell>
          <cell r="C7793" t="str">
            <v>RC</v>
          </cell>
          <cell r="D7793" t="str">
            <v>INTRA CANARIAS</v>
          </cell>
          <cell r="E7793" t="str">
            <v>61</v>
          </cell>
          <cell r="F7793" t="str">
            <v>PAQ20a25</v>
          </cell>
          <cell r="G7793" t="str">
            <v>B</v>
          </cell>
          <cell r="H7793">
            <v>57.38</v>
          </cell>
        </row>
        <row r="7794">
          <cell r="A7794" t="str">
            <v>1;61;RC;B;PAQ25a30</v>
          </cell>
          <cell r="B7794">
            <v>730069</v>
          </cell>
          <cell r="C7794" t="str">
            <v>RC</v>
          </cell>
          <cell r="D7794" t="str">
            <v>INTRA CANARIAS</v>
          </cell>
          <cell r="E7794" t="str">
            <v>61</v>
          </cell>
          <cell r="F7794" t="str">
            <v>PAQ25a30</v>
          </cell>
          <cell r="G7794" t="str">
            <v>B</v>
          </cell>
          <cell r="H7794">
            <v>68.180000000000007</v>
          </cell>
        </row>
        <row r="7795">
          <cell r="A7795" t="str">
            <v>1;61;RC;B;PAQ30a35</v>
          </cell>
          <cell r="B7795">
            <v>730069</v>
          </cell>
          <cell r="C7795" t="str">
            <v>RC</v>
          </cell>
          <cell r="D7795" t="str">
            <v>INTRA CANARIAS</v>
          </cell>
          <cell r="E7795" t="str">
            <v>61</v>
          </cell>
          <cell r="F7795" t="str">
            <v>PAQ30a35</v>
          </cell>
          <cell r="G7795" t="str">
            <v>B</v>
          </cell>
          <cell r="H7795">
            <v>78.97</v>
          </cell>
        </row>
        <row r="7796">
          <cell r="A7796" t="str">
            <v>1;61;RC;F;</v>
          </cell>
          <cell r="B7796">
            <v>730069</v>
          </cell>
          <cell r="C7796" t="str">
            <v>RC</v>
          </cell>
          <cell r="D7796" t="str">
            <v>INTRA CANARIAS</v>
          </cell>
          <cell r="E7796" t="str">
            <v>61</v>
          </cell>
          <cell r="F7796" t="str">
            <v/>
          </cell>
          <cell r="G7796" t="str">
            <v>F</v>
          </cell>
          <cell r="H7796">
            <v>10.79</v>
          </cell>
        </row>
        <row r="7797">
          <cell r="A7797" t="str">
            <v>1;61;RC;B;PAQ35a40</v>
          </cell>
          <cell r="B7797">
            <v>730069</v>
          </cell>
          <cell r="C7797" t="str">
            <v>RC</v>
          </cell>
          <cell r="D7797" t="str">
            <v>INTRA CANARIAS</v>
          </cell>
          <cell r="E7797" t="str">
            <v>61</v>
          </cell>
          <cell r="F7797" t="str">
            <v>PAQ35a40</v>
          </cell>
          <cell r="G7797" t="str">
            <v>B</v>
          </cell>
          <cell r="H7797">
            <v>89.76</v>
          </cell>
        </row>
        <row r="7798">
          <cell r="A7798" t="str">
            <v>1;61;RC;E;</v>
          </cell>
          <cell r="B7798">
            <v>730069</v>
          </cell>
          <cell r="C7798" t="str">
            <v>RC</v>
          </cell>
          <cell r="D7798" t="str">
            <v>INTRA CANARIAS</v>
          </cell>
          <cell r="E7798" t="str">
            <v>61</v>
          </cell>
          <cell r="F7798" t="str">
            <v/>
          </cell>
          <cell r="G7798" t="str">
            <v>E</v>
          </cell>
          <cell r="H7798">
            <v>15.25</v>
          </cell>
        </row>
        <row r="7799">
          <cell r="A7799" t="str">
            <v>1;61;RC;P;</v>
          </cell>
          <cell r="B7799">
            <v>730069</v>
          </cell>
          <cell r="C7799" t="str">
            <v>RC</v>
          </cell>
          <cell r="D7799" t="str">
            <v>INTRA CANARIAS</v>
          </cell>
          <cell r="E7799" t="str">
            <v>61</v>
          </cell>
          <cell r="F7799" t="str">
            <v/>
          </cell>
          <cell r="G7799" t="str">
            <v>P</v>
          </cell>
          <cell r="H7799">
            <v>15.25</v>
          </cell>
        </row>
        <row r="7800">
          <cell r="A7800" t="str">
            <v>1;62;RC;B;BAG</v>
          </cell>
          <cell r="B7800">
            <v>730069</v>
          </cell>
          <cell r="C7800" t="str">
            <v>RC</v>
          </cell>
          <cell r="D7800" t="str">
            <v>INTRA CANARIAS</v>
          </cell>
          <cell r="E7800" t="str">
            <v>62</v>
          </cell>
          <cell r="F7800" t="str">
            <v>BAG</v>
          </cell>
          <cell r="G7800" t="str">
            <v>B</v>
          </cell>
          <cell r="H7800">
            <v>11.56</v>
          </cell>
        </row>
        <row r="7801">
          <cell r="A7801" t="str">
            <v>1;62;RC;B;PAQ00a05</v>
          </cell>
          <cell r="B7801">
            <v>730069</v>
          </cell>
          <cell r="C7801" t="str">
            <v>RC</v>
          </cell>
          <cell r="D7801" t="str">
            <v>INTRA CANARIAS</v>
          </cell>
          <cell r="E7801" t="str">
            <v>62</v>
          </cell>
          <cell r="F7801" t="str">
            <v>PAQ00a05</v>
          </cell>
          <cell r="G7801" t="str">
            <v>B</v>
          </cell>
          <cell r="H7801">
            <v>13.3</v>
          </cell>
        </row>
        <row r="7802">
          <cell r="A7802" t="str">
            <v>1;62;RC;B;PAQ05a10</v>
          </cell>
          <cell r="B7802">
            <v>730069</v>
          </cell>
          <cell r="C7802" t="str">
            <v>RC</v>
          </cell>
          <cell r="D7802" t="str">
            <v>INTRA CANARIAS</v>
          </cell>
          <cell r="E7802" t="str">
            <v>62</v>
          </cell>
          <cell r="F7802" t="str">
            <v>PAQ05a10</v>
          </cell>
          <cell r="G7802" t="str">
            <v>B</v>
          </cell>
          <cell r="H7802">
            <v>14.51</v>
          </cell>
        </row>
        <row r="7803">
          <cell r="A7803" t="str">
            <v>1;62;RC;B;PAQ10a15</v>
          </cell>
          <cell r="B7803">
            <v>730069</v>
          </cell>
          <cell r="C7803" t="str">
            <v>RC</v>
          </cell>
          <cell r="D7803" t="str">
            <v>INTRA CANARIAS</v>
          </cell>
          <cell r="E7803" t="str">
            <v>62</v>
          </cell>
          <cell r="F7803" t="str">
            <v>PAQ10a15</v>
          </cell>
          <cell r="G7803" t="str">
            <v>B</v>
          </cell>
          <cell r="H7803">
            <v>17.39</v>
          </cell>
        </row>
        <row r="7804">
          <cell r="A7804" t="str">
            <v>1;62;RC;B;PAQ15a20</v>
          </cell>
          <cell r="B7804">
            <v>730069</v>
          </cell>
          <cell r="C7804" t="str">
            <v>RC</v>
          </cell>
          <cell r="D7804" t="str">
            <v>INTRA CANARIAS</v>
          </cell>
          <cell r="E7804" t="str">
            <v>62</v>
          </cell>
          <cell r="F7804" t="str">
            <v>PAQ15a20</v>
          </cell>
          <cell r="G7804" t="str">
            <v>B</v>
          </cell>
          <cell r="H7804">
            <v>20.27</v>
          </cell>
        </row>
        <row r="7805">
          <cell r="A7805" t="str">
            <v>1;62;RC;B;PAQ20a25</v>
          </cell>
          <cell r="B7805">
            <v>730069</v>
          </cell>
          <cell r="C7805" t="str">
            <v>RC</v>
          </cell>
          <cell r="D7805" t="str">
            <v>INTRA CANARIAS</v>
          </cell>
          <cell r="E7805" t="str">
            <v>62</v>
          </cell>
          <cell r="F7805" t="str">
            <v>PAQ20a25</v>
          </cell>
          <cell r="G7805" t="str">
            <v>B</v>
          </cell>
          <cell r="H7805">
            <v>23.14</v>
          </cell>
        </row>
        <row r="7806">
          <cell r="A7806" t="str">
            <v>1;62;RC;B;PAQ25a30</v>
          </cell>
          <cell r="B7806">
            <v>730069</v>
          </cell>
          <cell r="C7806" t="str">
            <v>RC</v>
          </cell>
          <cell r="D7806" t="str">
            <v>INTRA CANARIAS</v>
          </cell>
          <cell r="E7806" t="str">
            <v>62</v>
          </cell>
          <cell r="F7806" t="str">
            <v>PAQ25a30</v>
          </cell>
          <cell r="G7806" t="str">
            <v>B</v>
          </cell>
          <cell r="H7806">
            <v>26.02</v>
          </cell>
        </row>
        <row r="7807">
          <cell r="A7807" t="str">
            <v>1;62;RC;B;PAQ30a35</v>
          </cell>
          <cell r="B7807">
            <v>730069</v>
          </cell>
          <cell r="C7807" t="str">
            <v>RC</v>
          </cell>
          <cell r="D7807" t="str">
            <v>INTRA CANARIAS</v>
          </cell>
          <cell r="E7807" t="str">
            <v>62</v>
          </cell>
          <cell r="F7807" t="str">
            <v>PAQ30a35</v>
          </cell>
          <cell r="G7807" t="str">
            <v>B</v>
          </cell>
          <cell r="H7807">
            <v>28.9</v>
          </cell>
        </row>
        <row r="7808">
          <cell r="A7808" t="str">
            <v>1;62;RC;F;</v>
          </cell>
          <cell r="B7808">
            <v>730069</v>
          </cell>
          <cell r="C7808" t="str">
            <v>RC</v>
          </cell>
          <cell r="D7808" t="str">
            <v>INTRA CANARIAS</v>
          </cell>
          <cell r="E7808" t="str">
            <v>62</v>
          </cell>
          <cell r="F7808" t="str">
            <v/>
          </cell>
          <cell r="G7808" t="str">
            <v>F</v>
          </cell>
          <cell r="H7808">
            <v>2.88</v>
          </cell>
        </row>
        <row r="7809">
          <cell r="A7809" t="str">
            <v>1;62;RC;B;PAQ35a40</v>
          </cell>
          <cell r="B7809">
            <v>730069</v>
          </cell>
          <cell r="C7809" t="str">
            <v>RC</v>
          </cell>
          <cell r="D7809" t="str">
            <v>INTRA CANARIAS</v>
          </cell>
          <cell r="E7809" t="str">
            <v>62</v>
          </cell>
          <cell r="F7809" t="str">
            <v>PAQ35a40</v>
          </cell>
          <cell r="G7809" t="str">
            <v>B</v>
          </cell>
          <cell r="H7809">
            <v>31.77</v>
          </cell>
        </row>
        <row r="7810">
          <cell r="A7810" t="str">
            <v>1;62;RC;E;</v>
          </cell>
          <cell r="B7810">
            <v>730069</v>
          </cell>
          <cell r="C7810" t="str">
            <v>RC</v>
          </cell>
          <cell r="D7810" t="str">
            <v>INTRA CANARIAS</v>
          </cell>
          <cell r="E7810" t="str">
            <v>62</v>
          </cell>
          <cell r="F7810" t="str">
            <v/>
          </cell>
          <cell r="G7810" t="str">
            <v>E</v>
          </cell>
          <cell r="H7810">
            <v>13.3</v>
          </cell>
        </row>
        <row r="7811">
          <cell r="A7811" t="str">
            <v>1;62;RC;P;</v>
          </cell>
          <cell r="B7811">
            <v>730069</v>
          </cell>
          <cell r="C7811" t="str">
            <v>RC</v>
          </cell>
          <cell r="D7811" t="str">
            <v>INTRA CANARIAS</v>
          </cell>
          <cell r="E7811" t="str">
            <v>62</v>
          </cell>
          <cell r="F7811" t="str">
            <v/>
          </cell>
          <cell r="G7811" t="str">
            <v>P</v>
          </cell>
          <cell r="H7811">
            <v>13.3</v>
          </cell>
        </row>
        <row r="7812">
          <cell r="A7812" t="str">
            <v>1;63;RC;B;BAG</v>
          </cell>
          <cell r="B7812">
            <v>730069</v>
          </cell>
          <cell r="C7812" t="str">
            <v>RC</v>
          </cell>
          <cell r="D7812" t="str">
            <v>INTRA CANARIAS</v>
          </cell>
          <cell r="E7812" t="str">
            <v>63</v>
          </cell>
          <cell r="F7812" t="str">
            <v>BAG</v>
          </cell>
          <cell r="G7812" t="str">
            <v>B</v>
          </cell>
          <cell r="H7812">
            <v>18.829999999999998</v>
          </cell>
        </row>
        <row r="7813">
          <cell r="A7813" t="str">
            <v>1;63;RC;B;PAQ00a05</v>
          </cell>
          <cell r="B7813">
            <v>730069</v>
          </cell>
          <cell r="C7813" t="str">
            <v>RC</v>
          </cell>
          <cell r="D7813" t="str">
            <v>INTRA CANARIAS</v>
          </cell>
          <cell r="E7813" t="str">
            <v>63</v>
          </cell>
          <cell r="F7813" t="str">
            <v>PAQ00a05</v>
          </cell>
          <cell r="G7813" t="str">
            <v>B</v>
          </cell>
          <cell r="H7813">
            <v>20.58</v>
          </cell>
        </row>
        <row r="7814">
          <cell r="A7814" t="str">
            <v>1;63;RC;B;PAQ05a10</v>
          </cell>
          <cell r="B7814">
            <v>730069</v>
          </cell>
          <cell r="C7814" t="str">
            <v>RC</v>
          </cell>
          <cell r="D7814" t="str">
            <v>INTRA CANARIAS</v>
          </cell>
          <cell r="E7814" t="str">
            <v>63</v>
          </cell>
          <cell r="F7814" t="str">
            <v>PAQ05a10</v>
          </cell>
          <cell r="G7814" t="str">
            <v>B</v>
          </cell>
          <cell r="H7814">
            <v>21.79</v>
          </cell>
        </row>
        <row r="7815">
          <cell r="A7815" t="str">
            <v>1;63;RC;B;PAQ10a15</v>
          </cell>
          <cell r="B7815">
            <v>730069</v>
          </cell>
          <cell r="C7815" t="str">
            <v>RC</v>
          </cell>
          <cell r="D7815" t="str">
            <v>INTRA CANARIAS</v>
          </cell>
          <cell r="E7815" t="str">
            <v>63</v>
          </cell>
          <cell r="F7815" t="str">
            <v>PAQ10a15</v>
          </cell>
          <cell r="G7815" t="str">
            <v>B</v>
          </cell>
          <cell r="H7815">
            <v>24.66</v>
          </cell>
        </row>
        <row r="7816">
          <cell r="A7816" t="str">
            <v>1;63;RC;B;PAQ15a20</v>
          </cell>
          <cell r="B7816">
            <v>730069</v>
          </cell>
          <cell r="C7816" t="str">
            <v>RC</v>
          </cell>
          <cell r="D7816" t="str">
            <v>INTRA CANARIAS</v>
          </cell>
          <cell r="E7816" t="str">
            <v>63</v>
          </cell>
          <cell r="F7816" t="str">
            <v>PAQ15a20</v>
          </cell>
          <cell r="G7816" t="str">
            <v>B</v>
          </cell>
          <cell r="H7816">
            <v>27.54</v>
          </cell>
        </row>
        <row r="7817">
          <cell r="A7817" t="str">
            <v>1;63;RC;B;PAQ20a25</v>
          </cell>
          <cell r="B7817">
            <v>730069</v>
          </cell>
          <cell r="C7817" t="str">
            <v>RC</v>
          </cell>
          <cell r="D7817" t="str">
            <v>INTRA CANARIAS</v>
          </cell>
          <cell r="E7817" t="str">
            <v>63</v>
          </cell>
          <cell r="F7817" t="str">
            <v>PAQ20a25</v>
          </cell>
          <cell r="G7817" t="str">
            <v>B</v>
          </cell>
          <cell r="H7817">
            <v>30.42</v>
          </cell>
        </row>
        <row r="7818">
          <cell r="A7818" t="str">
            <v>1;63;RC;B;PAQ25a30</v>
          </cell>
          <cell r="B7818">
            <v>730069</v>
          </cell>
          <cell r="C7818" t="str">
            <v>RC</v>
          </cell>
          <cell r="D7818" t="str">
            <v>INTRA CANARIAS</v>
          </cell>
          <cell r="E7818" t="str">
            <v>63</v>
          </cell>
          <cell r="F7818" t="str">
            <v>PAQ25a30</v>
          </cell>
          <cell r="G7818" t="str">
            <v>B</v>
          </cell>
          <cell r="H7818">
            <v>33.299999999999997</v>
          </cell>
        </row>
        <row r="7819">
          <cell r="A7819" t="str">
            <v>1;63;RC;B;PAQ30a35</v>
          </cell>
          <cell r="B7819">
            <v>730069</v>
          </cell>
          <cell r="C7819" t="str">
            <v>RC</v>
          </cell>
          <cell r="D7819" t="str">
            <v>INTRA CANARIAS</v>
          </cell>
          <cell r="E7819" t="str">
            <v>63</v>
          </cell>
          <cell r="F7819" t="str">
            <v>PAQ30a35</v>
          </cell>
          <cell r="G7819" t="str">
            <v>B</v>
          </cell>
          <cell r="H7819">
            <v>36.17</v>
          </cell>
        </row>
        <row r="7820">
          <cell r="A7820" t="str">
            <v>1;63;RC;F;</v>
          </cell>
          <cell r="B7820">
            <v>730069</v>
          </cell>
          <cell r="C7820" t="str">
            <v>RC</v>
          </cell>
          <cell r="D7820" t="str">
            <v>INTRA CANARIAS</v>
          </cell>
          <cell r="E7820" t="str">
            <v>63</v>
          </cell>
          <cell r="F7820" t="str">
            <v/>
          </cell>
          <cell r="G7820" t="str">
            <v>F</v>
          </cell>
          <cell r="H7820">
            <v>2.88</v>
          </cell>
        </row>
        <row r="7821">
          <cell r="A7821" t="str">
            <v>1;63;RC;B;PAQ35a40</v>
          </cell>
          <cell r="B7821">
            <v>730069</v>
          </cell>
          <cell r="C7821" t="str">
            <v>RC</v>
          </cell>
          <cell r="D7821" t="str">
            <v>INTRA CANARIAS</v>
          </cell>
          <cell r="E7821" t="str">
            <v>63</v>
          </cell>
          <cell r="F7821" t="str">
            <v>PAQ35a40</v>
          </cell>
          <cell r="G7821" t="str">
            <v>B</v>
          </cell>
          <cell r="H7821">
            <v>39.049999999999997</v>
          </cell>
        </row>
        <row r="7822">
          <cell r="A7822" t="str">
            <v>1;63;RC;P;</v>
          </cell>
          <cell r="B7822">
            <v>730069</v>
          </cell>
          <cell r="C7822" t="str">
            <v>RC</v>
          </cell>
          <cell r="D7822" t="str">
            <v>INTRA CANARIAS</v>
          </cell>
          <cell r="E7822" t="str">
            <v>63</v>
          </cell>
          <cell r="F7822" t="str">
            <v/>
          </cell>
          <cell r="G7822" t="str">
            <v>P</v>
          </cell>
          <cell r="H7822">
            <v>13.3</v>
          </cell>
        </row>
        <row r="7823">
          <cell r="A7823" t="str">
            <v>1;63;RC;E;</v>
          </cell>
          <cell r="B7823">
            <v>730069</v>
          </cell>
          <cell r="C7823" t="str">
            <v>RC</v>
          </cell>
          <cell r="D7823" t="str">
            <v>INTRA CANARIAS</v>
          </cell>
          <cell r="E7823" t="str">
            <v>63</v>
          </cell>
          <cell r="F7823" t="str">
            <v/>
          </cell>
          <cell r="G7823" t="str">
            <v>E</v>
          </cell>
          <cell r="H7823">
            <v>13.3</v>
          </cell>
        </row>
        <row r="7824">
          <cell r="A7824" t="str">
            <v>1;72;RC;B;48LAR</v>
          </cell>
          <cell r="B7824">
            <v>730069</v>
          </cell>
          <cell r="C7824" t="str">
            <v>RC</v>
          </cell>
          <cell r="D7824" t="str">
            <v>INTRA CANARIAS</v>
          </cell>
          <cell r="E7824" t="str">
            <v>72</v>
          </cell>
          <cell r="F7824" t="str">
            <v>48LAR</v>
          </cell>
          <cell r="G7824" t="str">
            <v>B</v>
          </cell>
          <cell r="H7824">
            <v>18.18</v>
          </cell>
        </row>
        <row r="7825">
          <cell r="A7825" t="str">
            <v>1;72;RC;B;48MED</v>
          </cell>
          <cell r="B7825">
            <v>730069</v>
          </cell>
          <cell r="C7825" t="str">
            <v>RC</v>
          </cell>
          <cell r="D7825" t="str">
            <v>INTRA CANARIAS</v>
          </cell>
          <cell r="E7825" t="str">
            <v>72</v>
          </cell>
          <cell r="F7825" t="str">
            <v>48MED</v>
          </cell>
          <cell r="G7825" t="str">
            <v>B</v>
          </cell>
          <cell r="H7825">
            <v>14.18</v>
          </cell>
        </row>
        <row r="7826">
          <cell r="A7826" t="str">
            <v>1;72;RC;B;48SMA</v>
          </cell>
          <cell r="B7826">
            <v>730069</v>
          </cell>
          <cell r="C7826" t="str">
            <v>RC</v>
          </cell>
          <cell r="D7826" t="str">
            <v>INTRA CANARIAS</v>
          </cell>
          <cell r="E7826" t="str">
            <v>72</v>
          </cell>
          <cell r="F7826" t="str">
            <v>48SMA</v>
          </cell>
          <cell r="G7826" t="str">
            <v>B</v>
          </cell>
          <cell r="H7826">
            <v>12.26</v>
          </cell>
        </row>
        <row r="7827">
          <cell r="A7827" t="str">
            <v>1;79;RC;B;48LAR</v>
          </cell>
          <cell r="B7827">
            <v>730069</v>
          </cell>
          <cell r="C7827" t="str">
            <v>RC</v>
          </cell>
          <cell r="D7827" t="str">
            <v>INTRA CANARIAS</v>
          </cell>
          <cell r="E7827" t="str">
            <v>79</v>
          </cell>
          <cell r="F7827" t="str">
            <v>48LAR</v>
          </cell>
          <cell r="G7827" t="str">
            <v>B</v>
          </cell>
          <cell r="H7827">
            <v>0</v>
          </cell>
        </row>
        <row r="7828">
          <cell r="A7828" t="str">
            <v>1;79;RC;B;48MED</v>
          </cell>
          <cell r="B7828">
            <v>730069</v>
          </cell>
          <cell r="C7828" t="str">
            <v>RC</v>
          </cell>
          <cell r="D7828" t="str">
            <v>INTRA CANARIAS</v>
          </cell>
          <cell r="E7828" t="str">
            <v>79</v>
          </cell>
          <cell r="F7828" t="str">
            <v>48MED</v>
          </cell>
          <cell r="G7828" t="str">
            <v>B</v>
          </cell>
          <cell r="H7828">
            <v>0</v>
          </cell>
        </row>
        <row r="7829">
          <cell r="A7829" t="str">
            <v>1;79;RC;B;48SMA</v>
          </cell>
          <cell r="B7829">
            <v>730069</v>
          </cell>
          <cell r="C7829" t="str">
            <v>RC</v>
          </cell>
          <cell r="D7829" t="str">
            <v>INTRA CANARIAS</v>
          </cell>
          <cell r="E7829" t="str">
            <v>79</v>
          </cell>
          <cell r="F7829" t="str">
            <v>48SMA</v>
          </cell>
          <cell r="G7829" t="str">
            <v>B</v>
          </cell>
          <cell r="H7829">
            <v>0</v>
          </cell>
        </row>
        <row r="7830">
          <cell r="A7830" t="str">
            <v>1;10;T1;B;BAG</v>
          </cell>
          <cell r="B7830">
            <v>730069</v>
          </cell>
          <cell r="C7830" t="str">
            <v>T1</v>
          </cell>
          <cell r="D7830" t="str">
            <v>TRANSITO TERR. 1</v>
          </cell>
          <cell r="E7830" t="str">
            <v>10</v>
          </cell>
          <cell r="F7830" t="str">
            <v>BAG</v>
          </cell>
          <cell r="G7830" t="str">
            <v>B</v>
          </cell>
          <cell r="H7830">
            <v>1.75</v>
          </cell>
        </row>
        <row r="7831">
          <cell r="A7831" t="str">
            <v>1;10;T2;B;BAG</v>
          </cell>
          <cell r="B7831">
            <v>730069</v>
          </cell>
          <cell r="C7831" t="str">
            <v>T2</v>
          </cell>
          <cell r="D7831" t="str">
            <v>TRANSITO TERR. 2</v>
          </cell>
          <cell r="E7831" t="str">
            <v>10</v>
          </cell>
          <cell r="F7831" t="str">
            <v>BAG</v>
          </cell>
          <cell r="G7831" t="str">
            <v>B</v>
          </cell>
          <cell r="H7831">
            <v>1.75</v>
          </cell>
        </row>
        <row r="7832">
          <cell r="A7832" t="str">
            <v>1;E;U;B;BAG</v>
          </cell>
          <cell r="B7832">
            <v>730069</v>
          </cell>
          <cell r="C7832" t="str">
            <v>U</v>
          </cell>
          <cell r="D7832" t="str">
            <v>URBANO</v>
          </cell>
          <cell r="E7832" t="str">
            <v>E</v>
          </cell>
          <cell r="F7832" t="str">
            <v>BAG</v>
          </cell>
          <cell r="G7832" t="str">
            <v>B</v>
          </cell>
          <cell r="H7832">
            <v>0</v>
          </cell>
        </row>
        <row r="7833">
          <cell r="A7833" t="str">
            <v>1;E;U;B;PAQ00a05</v>
          </cell>
          <cell r="B7833">
            <v>730069</v>
          </cell>
          <cell r="C7833" t="str">
            <v>U</v>
          </cell>
          <cell r="D7833" t="str">
            <v>URBANO</v>
          </cell>
          <cell r="E7833" t="str">
            <v>E</v>
          </cell>
          <cell r="F7833" t="str">
            <v>PAQ00a05</v>
          </cell>
          <cell r="G7833" t="str">
            <v>B</v>
          </cell>
          <cell r="H7833">
            <v>0</v>
          </cell>
        </row>
        <row r="7834">
          <cell r="A7834" t="str">
            <v>1;E;U;B;PAQ05a10</v>
          </cell>
          <cell r="B7834">
            <v>730069</v>
          </cell>
          <cell r="C7834" t="str">
            <v>U</v>
          </cell>
          <cell r="D7834" t="str">
            <v>URBANO</v>
          </cell>
          <cell r="E7834" t="str">
            <v>E</v>
          </cell>
          <cell r="F7834" t="str">
            <v>PAQ05a10</v>
          </cell>
          <cell r="G7834" t="str">
            <v>B</v>
          </cell>
          <cell r="H7834">
            <v>0</v>
          </cell>
        </row>
        <row r="7835">
          <cell r="A7835" t="str">
            <v>1;E;U;B;PAQ10a15</v>
          </cell>
          <cell r="B7835">
            <v>730069</v>
          </cell>
          <cell r="C7835" t="str">
            <v>U</v>
          </cell>
          <cell r="D7835" t="str">
            <v>URBANO</v>
          </cell>
          <cell r="E7835" t="str">
            <v>E</v>
          </cell>
          <cell r="F7835" t="str">
            <v>PAQ10a15</v>
          </cell>
          <cell r="G7835" t="str">
            <v>B</v>
          </cell>
          <cell r="H7835">
            <v>0</v>
          </cell>
        </row>
        <row r="7836">
          <cell r="A7836" t="str">
            <v>1;E;U;B;PAQ15a20</v>
          </cell>
          <cell r="B7836">
            <v>730069</v>
          </cell>
          <cell r="C7836" t="str">
            <v>U</v>
          </cell>
          <cell r="D7836" t="str">
            <v>URBANO</v>
          </cell>
          <cell r="E7836" t="str">
            <v>E</v>
          </cell>
          <cell r="F7836" t="str">
            <v>PAQ15a20</v>
          </cell>
          <cell r="G7836" t="str">
            <v>B</v>
          </cell>
          <cell r="H7836">
            <v>0</v>
          </cell>
        </row>
        <row r="7837">
          <cell r="A7837" t="str">
            <v>1;E;U;B;PAQ20a25</v>
          </cell>
          <cell r="B7837">
            <v>730069</v>
          </cell>
          <cell r="C7837" t="str">
            <v>U</v>
          </cell>
          <cell r="D7837" t="str">
            <v>URBANO</v>
          </cell>
          <cell r="E7837" t="str">
            <v>E</v>
          </cell>
          <cell r="F7837" t="str">
            <v>PAQ20a25</v>
          </cell>
          <cell r="G7837" t="str">
            <v>B</v>
          </cell>
          <cell r="H7837">
            <v>0</v>
          </cell>
        </row>
        <row r="7838">
          <cell r="A7838" t="str">
            <v>1;E;U;B;PAQ25a30</v>
          </cell>
          <cell r="B7838">
            <v>730069</v>
          </cell>
          <cell r="C7838" t="str">
            <v>U</v>
          </cell>
          <cell r="D7838" t="str">
            <v>URBANO</v>
          </cell>
          <cell r="E7838" t="str">
            <v>E</v>
          </cell>
          <cell r="F7838" t="str">
            <v>PAQ25a30</v>
          </cell>
          <cell r="G7838" t="str">
            <v>B</v>
          </cell>
          <cell r="H7838">
            <v>0</v>
          </cell>
        </row>
        <row r="7839">
          <cell r="A7839" t="str">
            <v>1;E;U;B;PAQ30a35</v>
          </cell>
          <cell r="B7839">
            <v>730069</v>
          </cell>
          <cell r="C7839" t="str">
            <v>U</v>
          </cell>
          <cell r="D7839" t="str">
            <v>URBANO</v>
          </cell>
          <cell r="E7839" t="str">
            <v>E</v>
          </cell>
          <cell r="F7839" t="str">
            <v>PAQ30a35</v>
          </cell>
          <cell r="G7839" t="str">
            <v>B</v>
          </cell>
          <cell r="H7839">
            <v>0</v>
          </cell>
        </row>
        <row r="7840">
          <cell r="A7840" t="str">
            <v>1;E;U;F;</v>
          </cell>
          <cell r="B7840">
            <v>730069</v>
          </cell>
          <cell r="C7840" t="str">
            <v>U</v>
          </cell>
          <cell r="D7840" t="str">
            <v>URBANO</v>
          </cell>
          <cell r="E7840" t="str">
            <v>E</v>
          </cell>
          <cell r="F7840" t="str">
            <v/>
          </cell>
          <cell r="G7840" t="str">
            <v>F</v>
          </cell>
          <cell r="H7840">
            <v>0</v>
          </cell>
        </row>
        <row r="7841">
          <cell r="A7841" t="str">
            <v>1;E;U;B;PAQ35a40</v>
          </cell>
          <cell r="B7841">
            <v>730069</v>
          </cell>
          <cell r="C7841" t="str">
            <v>U</v>
          </cell>
          <cell r="D7841" t="str">
            <v>URBANO</v>
          </cell>
          <cell r="E7841" t="str">
            <v>E</v>
          </cell>
          <cell r="F7841" t="str">
            <v>PAQ35a40</v>
          </cell>
          <cell r="G7841" t="str">
            <v>B</v>
          </cell>
          <cell r="H7841">
            <v>0</v>
          </cell>
        </row>
        <row r="7842">
          <cell r="A7842" t="str">
            <v>1;E;U;P;</v>
          </cell>
          <cell r="B7842">
            <v>730069</v>
          </cell>
          <cell r="C7842" t="str">
            <v>U</v>
          </cell>
          <cell r="D7842" t="str">
            <v>URBANO</v>
          </cell>
          <cell r="E7842" t="str">
            <v>E</v>
          </cell>
          <cell r="F7842" t="str">
            <v/>
          </cell>
          <cell r="G7842" t="str">
            <v>P</v>
          </cell>
          <cell r="H7842">
            <v>0</v>
          </cell>
        </row>
        <row r="7843">
          <cell r="A7843" t="str">
            <v>1;E;U;E;</v>
          </cell>
          <cell r="B7843">
            <v>730069</v>
          </cell>
          <cell r="C7843" t="str">
            <v>U</v>
          </cell>
          <cell r="D7843" t="str">
            <v>URBANO</v>
          </cell>
          <cell r="E7843" t="str">
            <v>E</v>
          </cell>
          <cell r="F7843" t="str">
            <v/>
          </cell>
          <cell r="G7843" t="str">
            <v>E</v>
          </cell>
          <cell r="H7843">
            <v>0</v>
          </cell>
        </row>
        <row r="7844">
          <cell r="A7844" t="str">
            <v>1;F;U;B;BAG</v>
          </cell>
          <cell r="B7844">
            <v>730069</v>
          </cell>
          <cell r="C7844" t="str">
            <v>U</v>
          </cell>
          <cell r="D7844" t="str">
            <v>URBANO</v>
          </cell>
          <cell r="E7844" t="str">
            <v>F</v>
          </cell>
          <cell r="F7844" t="str">
            <v>BAG</v>
          </cell>
          <cell r="G7844" t="str">
            <v>B</v>
          </cell>
          <cell r="H7844">
            <v>0</v>
          </cell>
        </row>
        <row r="7845">
          <cell r="A7845" t="str">
            <v>1;F;U;B;PAQ00a05</v>
          </cell>
          <cell r="B7845">
            <v>730069</v>
          </cell>
          <cell r="C7845" t="str">
            <v>U</v>
          </cell>
          <cell r="D7845" t="str">
            <v>URBANO</v>
          </cell>
          <cell r="E7845" t="str">
            <v>F</v>
          </cell>
          <cell r="F7845" t="str">
            <v>PAQ00a05</v>
          </cell>
          <cell r="G7845" t="str">
            <v>B</v>
          </cell>
          <cell r="H7845">
            <v>0</v>
          </cell>
        </row>
        <row r="7846">
          <cell r="A7846" t="str">
            <v>1;F;U;B;PAQ05a10</v>
          </cell>
          <cell r="B7846">
            <v>730069</v>
          </cell>
          <cell r="C7846" t="str">
            <v>U</v>
          </cell>
          <cell r="D7846" t="str">
            <v>URBANO</v>
          </cell>
          <cell r="E7846" t="str">
            <v>F</v>
          </cell>
          <cell r="F7846" t="str">
            <v>PAQ05a10</v>
          </cell>
          <cell r="G7846" t="str">
            <v>B</v>
          </cell>
          <cell r="H7846">
            <v>0</v>
          </cell>
        </row>
        <row r="7847">
          <cell r="A7847" t="str">
            <v>1;F;U;B;PAQ10a15</v>
          </cell>
          <cell r="B7847">
            <v>730069</v>
          </cell>
          <cell r="C7847" t="str">
            <v>U</v>
          </cell>
          <cell r="D7847" t="str">
            <v>URBANO</v>
          </cell>
          <cell r="E7847" t="str">
            <v>F</v>
          </cell>
          <cell r="F7847" t="str">
            <v>PAQ10a15</v>
          </cell>
          <cell r="G7847" t="str">
            <v>B</v>
          </cell>
          <cell r="H7847">
            <v>0</v>
          </cell>
        </row>
        <row r="7848">
          <cell r="A7848" t="str">
            <v>1;F;U;B;PAQ15a20</v>
          </cell>
          <cell r="B7848">
            <v>730069</v>
          </cell>
          <cell r="C7848" t="str">
            <v>U</v>
          </cell>
          <cell r="D7848" t="str">
            <v>URBANO</v>
          </cell>
          <cell r="E7848" t="str">
            <v>F</v>
          </cell>
          <cell r="F7848" t="str">
            <v>PAQ15a20</v>
          </cell>
          <cell r="G7848" t="str">
            <v>B</v>
          </cell>
          <cell r="H7848">
            <v>0</v>
          </cell>
        </row>
        <row r="7849">
          <cell r="A7849" t="str">
            <v>1;F;U;B;PAQ20a25</v>
          </cell>
          <cell r="B7849">
            <v>730069</v>
          </cell>
          <cell r="C7849" t="str">
            <v>U</v>
          </cell>
          <cell r="D7849" t="str">
            <v>URBANO</v>
          </cell>
          <cell r="E7849" t="str">
            <v>F</v>
          </cell>
          <cell r="F7849" t="str">
            <v>PAQ20a25</v>
          </cell>
          <cell r="G7849" t="str">
            <v>B</v>
          </cell>
          <cell r="H7849">
            <v>0</v>
          </cell>
        </row>
        <row r="7850">
          <cell r="A7850" t="str">
            <v>1;F;U;B;PAQ25a30</v>
          </cell>
          <cell r="B7850">
            <v>730069</v>
          </cell>
          <cell r="C7850" t="str">
            <v>U</v>
          </cell>
          <cell r="D7850" t="str">
            <v>URBANO</v>
          </cell>
          <cell r="E7850" t="str">
            <v>F</v>
          </cell>
          <cell r="F7850" t="str">
            <v>PAQ25a30</v>
          </cell>
          <cell r="G7850" t="str">
            <v>B</v>
          </cell>
          <cell r="H7850">
            <v>0</v>
          </cell>
        </row>
        <row r="7851">
          <cell r="A7851" t="str">
            <v>1;F;U;B;PAQ30a35</v>
          </cell>
          <cell r="B7851">
            <v>730069</v>
          </cell>
          <cell r="C7851" t="str">
            <v>U</v>
          </cell>
          <cell r="D7851" t="str">
            <v>URBANO</v>
          </cell>
          <cell r="E7851" t="str">
            <v>F</v>
          </cell>
          <cell r="F7851" t="str">
            <v>PAQ30a35</v>
          </cell>
          <cell r="G7851" t="str">
            <v>B</v>
          </cell>
          <cell r="H7851">
            <v>0</v>
          </cell>
        </row>
        <row r="7852">
          <cell r="A7852" t="str">
            <v>1;F;U;F;</v>
          </cell>
          <cell r="B7852">
            <v>730069</v>
          </cell>
          <cell r="C7852" t="str">
            <v>U</v>
          </cell>
          <cell r="D7852" t="str">
            <v>URBANO</v>
          </cell>
          <cell r="E7852" t="str">
            <v>F</v>
          </cell>
          <cell r="F7852" t="str">
            <v/>
          </cell>
          <cell r="G7852" t="str">
            <v>F</v>
          </cell>
          <cell r="H7852">
            <v>0</v>
          </cell>
        </row>
        <row r="7853">
          <cell r="A7853" t="str">
            <v>1;F;U;B;PAQ35a40</v>
          </cell>
          <cell r="B7853">
            <v>730069</v>
          </cell>
          <cell r="C7853" t="str">
            <v>U</v>
          </cell>
          <cell r="D7853" t="str">
            <v>URBANO</v>
          </cell>
          <cell r="E7853" t="str">
            <v>F</v>
          </cell>
          <cell r="F7853" t="str">
            <v>PAQ35a40</v>
          </cell>
          <cell r="G7853" t="str">
            <v>B</v>
          </cell>
          <cell r="H7853">
            <v>0</v>
          </cell>
        </row>
        <row r="7854">
          <cell r="A7854" t="str">
            <v>1;F;U;E;</v>
          </cell>
          <cell r="B7854">
            <v>730069</v>
          </cell>
          <cell r="C7854" t="str">
            <v>U</v>
          </cell>
          <cell r="D7854" t="str">
            <v>URBANO</v>
          </cell>
          <cell r="E7854" t="str">
            <v>F</v>
          </cell>
          <cell r="F7854" t="str">
            <v/>
          </cell>
          <cell r="G7854" t="str">
            <v>E</v>
          </cell>
          <cell r="H7854">
            <v>0</v>
          </cell>
        </row>
        <row r="7855">
          <cell r="A7855" t="str">
            <v>1;F;U;P;</v>
          </cell>
          <cell r="B7855">
            <v>730069</v>
          </cell>
          <cell r="C7855" t="str">
            <v>U</v>
          </cell>
          <cell r="D7855" t="str">
            <v>URBANO</v>
          </cell>
          <cell r="E7855" t="str">
            <v>F</v>
          </cell>
          <cell r="F7855" t="str">
            <v/>
          </cell>
          <cell r="G7855" t="str">
            <v>P</v>
          </cell>
          <cell r="H7855">
            <v>0</v>
          </cell>
        </row>
        <row r="7856">
          <cell r="A7856" t="str">
            <v>1;G;U;B;BAG</v>
          </cell>
          <cell r="B7856">
            <v>730069</v>
          </cell>
          <cell r="C7856" t="str">
            <v>U</v>
          </cell>
          <cell r="D7856" t="str">
            <v>URBANO</v>
          </cell>
          <cell r="E7856" t="str">
            <v>G</v>
          </cell>
          <cell r="F7856" t="str">
            <v>BAG</v>
          </cell>
          <cell r="G7856" t="str">
            <v>B</v>
          </cell>
          <cell r="H7856">
            <v>0</v>
          </cell>
        </row>
        <row r="7857">
          <cell r="A7857" t="str">
            <v>1;G;U;B;PAQ00a05</v>
          </cell>
          <cell r="B7857">
            <v>730069</v>
          </cell>
          <cell r="C7857" t="str">
            <v>U</v>
          </cell>
          <cell r="D7857" t="str">
            <v>URBANO</v>
          </cell>
          <cell r="E7857" t="str">
            <v>G</v>
          </cell>
          <cell r="F7857" t="str">
            <v>PAQ00a05</v>
          </cell>
          <cell r="G7857" t="str">
            <v>B</v>
          </cell>
          <cell r="H7857">
            <v>0</v>
          </cell>
        </row>
        <row r="7858">
          <cell r="A7858" t="str">
            <v>1;G;U;B;PAQ05a10</v>
          </cell>
          <cell r="B7858">
            <v>730069</v>
          </cell>
          <cell r="C7858" t="str">
            <v>U</v>
          </cell>
          <cell r="D7858" t="str">
            <v>URBANO</v>
          </cell>
          <cell r="E7858" t="str">
            <v>G</v>
          </cell>
          <cell r="F7858" t="str">
            <v>PAQ05a10</v>
          </cell>
          <cell r="G7858" t="str">
            <v>B</v>
          </cell>
          <cell r="H7858">
            <v>0</v>
          </cell>
        </row>
        <row r="7859">
          <cell r="A7859" t="str">
            <v>1;G;U;B;PAQ10a15</v>
          </cell>
          <cell r="B7859">
            <v>730069</v>
          </cell>
          <cell r="C7859" t="str">
            <v>U</v>
          </cell>
          <cell r="D7859" t="str">
            <v>URBANO</v>
          </cell>
          <cell r="E7859" t="str">
            <v>G</v>
          </cell>
          <cell r="F7859" t="str">
            <v>PAQ10a15</v>
          </cell>
          <cell r="G7859" t="str">
            <v>B</v>
          </cell>
          <cell r="H7859">
            <v>0</v>
          </cell>
        </row>
        <row r="7860">
          <cell r="A7860" t="str">
            <v>1;G;U;B;PAQ15a20</v>
          </cell>
          <cell r="B7860">
            <v>730069</v>
          </cell>
          <cell r="C7860" t="str">
            <v>U</v>
          </cell>
          <cell r="D7860" t="str">
            <v>URBANO</v>
          </cell>
          <cell r="E7860" t="str">
            <v>G</v>
          </cell>
          <cell r="F7860" t="str">
            <v>PAQ15a20</v>
          </cell>
          <cell r="G7860" t="str">
            <v>B</v>
          </cell>
          <cell r="H7860">
            <v>0</v>
          </cell>
        </row>
        <row r="7861">
          <cell r="A7861" t="str">
            <v>1;G;U;B;PAQ20a25</v>
          </cell>
          <cell r="B7861">
            <v>730069</v>
          </cell>
          <cell r="C7861" t="str">
            <v>U</v>
          </cell>
          <cell r="D7861" t="str">
            <v>URBANO</v>
          </cell>
          <cell r="E7861" t="str">
            <v>G</v>
          </cell>
          <cell r="F7861" t="str">
            <v>PAQ20a25</v>
          </cell>
          <cell r="G7861" t="str">
            <v>B</v>
          </cell>
          <cell r="H7861">
            <v>0</v>
          </cell>
        </row>
        <row r="7862">
          <cell r="A7862" t="str">
            <v>1;G;U;B;PAQ25a30</v>
          </cell>
          <cell r="B7862">
            <v>730069</v>
          </cell>
          <cell r="C7862" t="str">
            <v>U</v>
          </cell>
          <cell r="D7862" t="str">
            <v>URBANO</v>
          </cell>
          <cell r="E7862" t="str">
            <v>G</v>
          </cell>
          <cell r="F7862" t="str">
            <v>PAQ25a30</v>
          </cell>
          <cell r="G7862" t="str">
            <v>B</v>
          </cell>
          <cell r="H7862">
            <v>0</v>
          </cell>
        </row>
        <row r="7863">
          <cell r="A7863" t="str">
            <v>1;G;U;B;PAQ30a35</v>
          </cell>
          <cell r="B7863">
            <v>730069</v>
          </cell>
          <cell r="C7863" t="str">
            <v>U</v>
          </cell>
          <cell r="D7863" t="str">
            <v>URBANO</v>
          </cell>
          <cell r="E7863" t="str">
            <v>G</v>
          </cell>
          <cell r="F7863" t="str">
            <v>PAQ30a35</v>
          </cell>
          <cell r="G7863" t="str">
            <v>B</v>
          </cell>
          <cell r="H7863">
            <v>0</v>
          </cell>
        </row>
        <row r="7864">
          <cell r="A7864" t="str">
            <v>1;G;U;B;PAQ35a40</v>
          </cell>
          <cell r="B7864">
            <v>730069</v>
          </cell>
          <cell r="C7864" t="str">
            <v>U</v>
          </cell>
          <cell r="D7864" t="str">
            <v>URBANO</v>
          </cell>
          <cell r="E7864" t="str">
            <v>G</v>
          </cell>
          <cell r="F7864" t="str">
            <v>PAQ35a40</v>
          </cell>
          <cell r="G7864" t="str">
            <v>B</v>
          </cell>
          <cell r="H7864">
            <v>0</v>
          </cell>
        </row>
        <row r="7865">
          <cell r="A7865" t="str">
            <v>1;G;U;F;</v>
          </cell>
          <cell r="B7865">
            <v>730069</v>
          </cell>
          <cell r="C7865" t="str">
            <v>U</v>
          </cell>
          <cell r="D7865" t="str">
            <v>URBANO</v>
          </cell>
          <cell r="E7865" t="str">
            <v>G</v>
          </cell>
          <cell r="F7865" t="str">
            <v/>
          </cell>
          <cell r="G7865" t="str">
            <v>F</v>
          </cell>
          <cell r="H7865">
            <v>0</v>
          </cell>
        </row>
        <row r="7866">
          <cell r="A7866" t="str">
            <v>1;G;U;P;</v>
          </cell>
          <cell r="B7866">
            <v>730069</v>
          </cell>
          <cell r="C7866" t="str">
            <v>U</v>
          </cell>
          <cell r="D7866" t="str">
            <v>URBANO</v>
          </cell>
          <cell r="E7866" t="str">
            <v>G</v>
          </cell>
          <cell r="F7866" t="str">
            <v/>
          </cell>
          <cell r="G7866" t="str">
            <v>P</v>
          </cell>
          <cell r="H7866">
            <v>0</v>
          </cell>
        </row>
        <row r="7867">
          <cell r="A7867" t="str">
            <v>1;G;U;E;</v>
          </cell>
          <cell r="B7867">
            <v>730069</v>
          </cell>
          <cell r="C7867" t="str">
            <v>U</v>
          </cell>
          <cell r="D7867" t="str">
            <v>URBANO</v>
          </cell>
          <cell r="E7867" t="str">
            <v>G</v>
          </cell>
          <cell r="F7867" t="str">
            <v/>
          </cell>
          <cell r="G7867" t="str">
            <v>E</v>
          </cell>
          <cell r="H7867">
            <v>0</v>
          </cell>
        </row>
        <row r="7868">
          <cell r="A7868" t="str">
            <v>1;02;U;B;BAG</v>
          </cell>
          <cell r="B7868">
            <v>730069</v>
          </cell>
          <cell r="C7868" t="str">
            <v>U</v>
          </cell>
          <cell r="D7868" t="str">
            <v>URBANO</v>
          </cell>
          <cell r="E7868" t="str">
            <v>02</v>
          </cell>
          <cell r="F7868" t="str">
            <v>BAG</v>
          </cell>
          <cell r="G7868" t="str">
            <v>B</v>
          </cell>
          <cell r="H7868">
            <v>10.09</v>
          </cell>
        </row>
        <row r="7869">
          <cell r="A7869" t="str">
            <v>1;02;U;B;DOCS</v>
          </cell>
          <cell r="B7869">
            <v>730069</v>
          </cell>
          <cell r="C7869" t="str">
            <v>U</v>
          </cell>
          <cell r="D7869" t="str">
            <v>URBANO</v>
          </cell>
          <cell r="E7869" t="str">
            <v>02</v>
          </cell>
          <cell r="F7869" t="str">
            <v>DOCS</v>
          </cell>
          <cell r="G7869" t="str">
            <v>B</v>
          </cell>
          <cell r="H7869">
            <v>7.69</v>
          </cell>
        </row>
        <row r="7870">
          <cell r="A7870" t="str">
            <v>1;02;U;B;PAQ00a02</v>
          </cell>
          <cell r="B7870">
            <v>730069</v>
          </cell>
          <cell r="C7870" t="str">
            <v>U</v>
          </cell>
          <cell r="D7870" t="str">
            <v>URBANO</v>
          </cell>
          <cell r="E7870" t="str">
            <v>02</v>
          </cell>
          <cell r="F7870" t="str">
            <v>PAQ00a02</v>
          </cell>
          <cell r="G7870" t="str">
            <v>B</v>
          </cell>
          <cell r="H7870">
            <v>11.83</v>
          </cell>
        </row>
        <row r="7871">
          <cell r="A7871" t="str">
            <v>1;02;U;B;PAQ02a05</v>
          </cell>
          <cell r="B7871">
            <v>730069</v>
          </cell>
          <cell r="C7871" t="str">
            <v>U</v>
          </cell>
          <cell r="D7871" t="str">
            <v>URBANO</v>
          </cell>
          <cell r="E7871" t="str">
            <v>02</v>
          </cell>
          <cell r="F7871" t="str">
            <v>PAQ02a05</v>
          </cell>
          <cell r="G7871" t="str">
            <v>B</v>
          </cell>
          <cell r="H7871">
            <v>11.83</v>
          </cell>
        </row>
        <row r="7872">
          <cell r="A7872" t="str">
            <v>1;02;U;B;PAQ05a10</v>
          </cell>
          <cell r="B7872">
            <v>730069</v>
          </cell>
          <cell r="C7872" t="str">
            <v>U</v>
          </cell>
          <cell r="D7872" t="str">
            <v>URBANO</v>
          </cell>
          <cell r="E7872" t="str">
            <v>02</v>
          </cell>
          <cell r="F7872" t="str">
            <v>PAQ05a10</v>
          </cell>
          <cell r="G7872" t="str">
            <v>B</v>
          </cell>
          <cell r="H7872">
            <v>13.06</v>
          </cell>
        </row>
        <row r="7873">
          <cell r="A7873" t="str">
            <v>1;02;U;B;PAQ10a15</v>
          </cell>
          <cell r="B7873">
            <v>730069</v>
          </cell>
          <cell r="C7873" t="str">
            <v>U</v>
          </cell>
          <cell r="D7873" t="str">
            <v>URBANO</v>
          </cell>
          <cell r="E7873" t="str">
            <v>02</v>
          </cell>
          <cell r="F7873" t="str">
            <v>PAQ10a15</v>
          </cell>
          <cell r="G7873" t="str">
            <v>B</v>
          </cell>
          <cell r="H7873">
            <v>15.93</v>
          </cell>
        </row>
        <row r="7874">
          <cell r="A7874" t="str">
            <v>1;02;U;B;PAQ15a20</v>
          </cell>
          <cell r="B7874">
            <v>730069</v>
          </cell>
          <cell r="C7874" t="str">
            <v>U</v>
          </cell>
          <cell r="D7874" t="str">
            <v>URBANO</v>
          </cell>
          <cell r="E7874" t="str">
            <v>02</v>
          </cell>
          <cell r="F7874" t="str">
            <v>PAQ15a20</v>
          </cell>
          <cell r="G7874" t="str">
            <v>B</v>
          </cell>
          <cell r="H7874">
            <v>18.809999999999999</v>
          </cell>
        </row>
        <row r="7875">
          <cell r="A7875" t="str">
            <v>1;02;U;B;PAQ20a25</v>
          </cell>
          <cell r="B7875">
            <v>730069</v>
          </cell>
          <cell r="C7875" t="str">
            <v>U</v>
          </cell>
          <cell r="D7875" t="str">
            <v>URBANO</v>
          </cell>
          <cell r="E7875" t="str">
            <v>02</v>
          </cell>
          <cell r="F7875" t="str">
            <v>PAQ20a25</v>
          </cell>
          <cell r="G7875" t="str">
            <v>B</v>
          </cell>
          <cell r="H7875">
            <v>21.67</v>
          </cell>
        </row>
        <row r="7876">
          <cell r="A7876" t="str">
            <v>1;02;U;B;PAQ25a30</v>
          </cell>
          <cell r="B7876">
            <v>730069</v>
          </cell>
          <cell r="C7876" t="str">
            <v>U</v>
          </cell>
          <cell r="D7876" t="str">
            <v>URBANO</v>
          </cell>
          <cell r="E7876" t="str">
            <v>02</v>
          </cell>
          <cell r="F7876" t="str">
            <v>PAQ25a30</v>
          </cell>
          <cell r="G7876" t="str">
            <v>B</v>
          </cell>
          <cell r="H7876">
            <v>24.55</v>
          </cell>
        </row>
        <row r="7877">
          <cell r="A7877" t="str">
            <v>1;02;U;B;PAQ30a35</v>
          </cell>
          <cell r="B7877">
            <v>730069</v>
          </cell>
          <cell r="C7877" t="str">
            <v>U</v>
          </cell>
          <cell r="D7877" t="str">
            <v>URBANO</v>
          </cell>
          <cell r="E7877" t="str">
            <v>02</v>
          </cell>
          <cell r="F7877" t="str">
            <v>PAQ30a35</v>
          </cell>
          <cell r="G7877" t="str">
            <v>B</v>
          </cell>
          <cell r="H7877">
            <v>27.43</v>
          </cell>
        </row>
        <row r="7878">
          <cell r="A7878" t="str">
            <v>1;02;U;F;</v>
          </cell>
          <cell r="B7878">
            <v>730069</v>
          </cell>
          <cell r="C7878" t="str">
            <v>U</v>
          </cell>
          <cell r="D7878" t="str">
            <v>URBANO</v>
          </cell>
          <cell r="E7878" t="str">
            <v>02</v>
          </cell>
          <cell r="F7878" t="str">
            <v/>
          </cell>
          <cell r="G7878" t="str">
            <v>F</v>
          </cell>
          <cell r="H7878">
            <v>3.09</v>
          </cell>
        </row>
        <row r="7879">
          <cell r="A7879" t="str">
            <v>1;02;U;B;PAQ35a40</v>
          </cell>
          <cell r="B7879">
            <v>730069</v>
          </cell>
          <cell r="C7879" t="str">
            <v>U</v>
          </cell>
          <cell r="D7879" t="str">
            <v>URBANO</v>
          </cell>
          <cell r="E7879" t="str">
            <v>02</v>
          </cell>
          <cell r="F7879" t="str">
            <v>PAQ35a40</v>
          </cell>
          <cell r="G7879" t="str">
            <v>B</v>
          </cell>
          <cell r="H7879">
            <v>30.29</v>
          </cell>
        </row>
        <row r="7880">
          <cell r="A7880" t="str">
            <v>1;02;U;E;</v>
          </cell>
          <cell r="B7880">
            <v>730069</v>
          </cell>
          <cell r="C7880" t="str">
            <v>U</v>
          </cell>
          <cell r="D7880" t="str">
            <v>URBANO</v>
          </cell>
          <cell r="E7880" t="str">
            <v>02</v>
          </cell>
          <cell r="F7880" t="str">
            <v/>
          </cell>
          <cell r="G7880" t="str">
            <v>E</v>
          </cell>
          <cell r="H7880">
            <v>11.83</v>
          </cell>
        </row>
        <row r="7881">
          <cell r="A7881" t="str">
            <v>1;02;U;P;</v>
          </cell>
          <cell r="B7881">
            <v>730069</v>
          </cell>
          <cell r="C7881" t="str">
            <v>U</v>
          </cell>
          <cell r="D7881" t="str">
            <v>URBANO</v>
          </cell>
          <cell r="E7881" t="str">
            <v>02</v>
          </cell>
          <cell r="F7881" t="str">
            <v/>
          </cell>
          <cell r="G7881" t="str">
            <v>P</v>
          </cell>
          <cell r="H7881">
            <v>11.83</v>
          </cell>
        </row>
        <row r="7882">
          <cell r="A7882" t="str">
            <v>1;04;U;B;BAG</v>
          </cell>
          <cell r="B7882">
            <v>730069</v>
          </cell>
          <cell r="C7882" t="str">
            <v>U</v>
          </cell>
          <cell r="D7882" t="str">
            <v>URBANO</v>
          </cell>
          <cell r="E7882" t="str">
            <v>04</v>
          </cell>
          <cell r="F7882" t="str">
            <v>BAG</v>
          </cell>
          <cell r="G7882" t="str">
            <v>B</v>
          </cell>
          <cell r="H7882">
            <v>5.66</v>
          </cell>
        </row>
        <row r="7883">
          <cell r="A7883" t="str">
            <v>1;05;U;B;BAG</v>
          </cell>
          <cell r="B7883">
            <v>730069</v>
          </cell>
          <cell r="C7883" t="str">
            <v>U</v>
          </cell>
          <cell r="D7883" t="str">
            <v>URBANO</v>
          </cell>
          <cell r="E7883" t="str">
            <v>05</v>
          </cell>
          <cell r="F7883" t="str">
            <v>BAG</v>
          </cell>
          <cell r="G7883" t="str">
            <v>B</v>
          </cell>
          <cell r="H7883">
            <v>5.66</v>
          </cell>
        </row>
        <row r="7884">
          <cell r="A7884" t="str">
            <v>1;06;U;B;BAG</v>
          </cell>
          <cell r="B7884">
            <v>730069</v>
          </cell>
          <cell r="C7884" t="str">
            <v>U</v>
          </cell>
          <cell r="D7884" t="str">
            <v>URBANO</v>
          </cell>
          <cell r="E7884" t="str">
            <v>06</v>
          </cell>
          <cell r="F7884" t="str">
            <v>BAG</v>
          </cell>
          <cell r="G7884" t="str">
            <v>B</v>
          </cell>
          <cell r="H7884">
            <v>0</v>
          </cell>
        </row>
        <row r="7885">
          <cell r="A7885" t="str">
            <v>1;06;U;B;DOCS</v>
          </cell>
          <cell r="B7885">
            <v>730069</v>
          </cell>
          <cell r="C7885" t="str">
            <v>U</v>
          </cell>
          <cell r="D7885" t="str">
            <v>URBANO</v>
          </cell>
          <cell r="E7885" t="str">
            <v>06</v>
          </cell>
          <cell r="F7885" t="str">
            <v>DOCS</v>
          </cell>
          <cell r="G7885" t="str">
            <v>B</v>
          </cell>
          <cell r="H7885">
            <v>0</v>
          </cell>
        </row>
        <row r="7886">
          <cell r="A7886" t="str">
            <v>1;06;U;B;PAQ00a05</v>
          </cell>
          <cell r="B7886">
            <v>730069</v>
          </cell>
          <cell r="C7886" t="str">
            <v>U</v>
          </cell>
          <cell r="D7886" t="str">
            <v>URBANO</v>
          </cell>
          <cell r="E7886" t="str">
            <v>06</v>
          </cell>
          <cell r="F7886" t="str">
            <v>PAQ00a05</v>
          </cell>
          <cell r="G7886" t="str">
            <v>B</v>
          </cell>
          <cell r="H7886">
            <v>0</v>
          </cell>
        </row>
        <row r="7887">
          <cell r="A7887" t="str">
            <v>1;06;U;B;PAQ05a10</v>
          </cell>
          <cell r="B7887">
            <v>730069</v>
          </cell>
          <cell r="C7887" t="str">
            <v>U</v>
          </cell>
          <cell r="D7887" t="str">
            <v>URBANO</v>
          </cell>
          <cell r="E7887" t="str">
            <v>06</v>
          </cell>
          <cell r="F7887" t="str">
            <v>PAQ05a10</v>
          </cell>
          <cell r="G7887" t="str">
            <v>B</v>
          </cell>
          <cell r="H7887">
            <v>0</v>
          </cell>
        </row>
        <row r="7888">
          <cell r="A7888" t="str">
            <v>1;06;U;B;PAQ10a15</v>
          </cell>
          <cell r="B7888">
            <v>730069</v>
          </cell>
          <cell r="C7888" t="str">
            <v>U</v>
          </cell>
          <cell r="D7888" t="str">
            <v>URBANO</v>
          </cell>
          <cell r="E7888" t="str">
            <v>06</v>
          </cell>
          <cell r="F7888" t="str">
            <v>PAQ10a15</v>
          </cell>
          <cell r="G7888" t="str">
            <v>B</v>
          </cell>
          <cell r="H7888">
            <v>0</v>
          </cell>
        </row>
        <row r="7889">
          <cell r="A7889" t="str">
            <v>1;06;U;B;PAQ15a20</v>
          </cell>
          <cell r="B7889">
            <v>730069</v>
          </cell>
          <cell r="C7889" t="str">
            <v>U</v>
          </cell>
          <cell r="D7889" t="str">
            <v>URBANO</v>
          </cell>
          <cell r="E7889" t="str">
            <v>06</v>
          </cell>
          <cell r="F7889" t="str">
            <v>PAQ15a20</v>
          </cell>
          <cell r="G7889" t="str">
            <v>B</v>
          </cell>
          <cell r="H7889">
            <v>0</v>
          </cell>
        </row>
        <row r="7890">
          <cell r="A7890" t="str">
            <v>1;06;U;B;PAQ20a25</v>
          </cell>
          <cell r="B7890">
            <v>730069</v>
          </cell>
          <cell r="C7890" t="str">
            <v>U</v>
          </cell>
          <cell r="D7890" t="str">
            <v>URBANO</v>
          </cell>
          <cell r="E7890" t="str">
            <v>06</v>
          </cell>
          <cell r="F7890" t="str">
            <v>PAQ20a25</v>
          </cell>
          <cell r="G7890" t="str">
            <v>B</v>
          </cell>
          <cell r="H7890">
            <v>0</v>
          </cell>
        </row>
        <row r="7891">
          <cell r="A7891" t="str">
            <v>1;06;U;B;PAQ25a30</v>
          </cell>
          <cell r="B7891">
            <v>730069</v>
          </cell>
          <cell r="C7891" t="str">
            <v>U</v>
          </cell>
          <cell r="D7891" t="str">
            <v>URBANO</v>
          </cell>
          <cell r="E7891" t="str">
            <v>06</v>
          </cell>
          <cell r="F7891" t="str">
            <v>PAQ25a30</v>
          </cell>
          <cell r="G7891" t="str">
            <v>B</v>
          </cell>
          <cell r="H7891">
            <v>0</v>
          </cell>
        </row>
        <row r="7892">
          <cell r="A7892" t="str">
            <v>1;06;U;B;PAQ30a35</v>
          </cell>
          <cell r="B7892">
            <v>730069</v>
          </cell>
          <cell r="C7892" t="str">
            <v>U</v>
          </cell>
          <cell r="D7892" t="str">
            <v>URBANO</v>
          </cell>
          <cell r="E7892" t="str">
            <v>06</v>
          </cell>
          <cell r="F7892" t="str">
            <v>PAQ30a35</v>
          </cell>
          <cell r="G7892" t="str">
            <v>B</v>
          </cell>
          <cell r="H7892">
            <v>0</v>
          </cell>
        </row>
        <row r="7893">
          <cell r="A7893" t="str">
            <v>1;06;U;F;</v>
          </cell>
          <cell r="B7893">
            <v>730069</v>
          </cell>
          <cell r="C7893" t="str">
            <v>U</v>
          </cell>
          <cell r="D7893" t="str">
            <v>URBANO</v>
          </cell>
          <cell r="E7893" t="str">
            <v>06</v>
          </cell>
          <cell r="F7893" t="str">
            <v/>
          </cell>
          <cell r="G7893" t="str">
            <v>F</v>
          </cell>
          <cell r="H7893">
            <v>0</v>
          </cell>
        </row>
        <row r="7894">
          <cell r="A7894" t="str">
            <v>1;06;U;B;PAQ35a40</v>
          </cell>
          <cell r="B7894">
            <v>730069</v>
          </cell>
          <cell r="C7894" t="str">
            <v>U</v>
          </cell>
          <cell r="D7894" t="str">
            <v>URBANO</v>
          </cell>
          <cell r="E7894" t="str">
            <v>06</v>
          </cell>
          <cell r="F7894" t="str">
            <v>PAQ35a40</v>
          </cell>
          <cell r="G7894" t="str">
            <v>B</v>
          </cell>
          <cell r="H7894">
            <v>0</v>
          </cell>
        </row>
        <row r="7895">
          <cell r="A7895" t="str">
            <v>1;06;U;P;</v>
          </cell>
          <cell r="B7895">
            <v>730069</v>
          </cell>
          <cell r="C7895" t="str">
            <v>U</v>
          </cell>
          <cell r="D7895" t="str">
            <v>URBANO</v>
          </cell>
          <cell r="E7895" t="str">
            <v>06</v>
          </cell>
          <cell r="F7895" t="str">
            <v/>
          </cell>
          <cell r="G7895" t="str">
            <v>P</v>
          </cell>
          <cell r="H7895">
            <v>11.83</v>
          </cell>
        </row>
        <row r="7896">
          <cell r="A7896" t="str">
            <v>1;06;U;E;</v>
          </cell>
          <cell r="B7896">
            <v>730069</v>
          </cell>
          <cell r="C7896" t="str">
            <v>U</v>
          </cell>
          <cell r="D7896" t="str">
            <v>URBANO</v>
          </cell>
          <cell r="E7896" t="str">
            <v>06</v>
          </cell>
          <cell r="F7896" t="str">
            <v/>
          </cell>
          <cell r="G7896" t="str">
            <v>E</v>
          </cell>
          <cell r="H7896">
            <v>11.83</v>
          </cell>
        </row>
        <row r="7897">
          <cell r="A7897" t="str">
            <v>1;07;U;B;BAG</v>
          </cell>
          <cell r="B7897">
            <v>730069</v>
          </cell>
          <cell r="C7897" t="str">
            <v>U</v>
          </cell>
          <cell r="D7897" t="str">
            <v>URBANO</v>
          </cell>
          <cell r="E7897" t="str">
            <v>07</v>
          </cell>
          <cell r="F7897" t="str">
            <v>BAG</v>
          </cell>
          <cell r="G7897" t="str">
            <v>B</v>
          </cell>
          <cell r="H7897">
            <v>0</v>
          </cell>
        </row>
        <row r="7898">
          <cell r="A7898" t="str">
            <v>1;07;U;B;DOCS</v>
          </cell>
          <cell r="B7898">
            <v>730069</v>
          </cell>
          <cell r="C7898" t="str">
            <v>U</v>
          </cell>
          <cell r="D7898" t="str">
            <v>URBANO</v>
          </cell>
          <cell r="E7898" t="str">
            <v>07</v>
          </cell>
          <cell r="F7898" t="str">
            <v>DOCS</v>
          </cell>
          <cell r="G7898" t="str">
            <v>B</v>
          </cell>
          <cell r="H7898">
            <v>0</v>
          </cell>
        </row>
        <row r="7899">
          <cell r="A7899" t="str">
            <v>1;07;U;B;PAQ00a05</v>
          </cell>
          <cell r="B7899">
            <v>730069</v>
          </cell>
          <cell r="C7899" t="str">
            <v>U</v>
          </cell>
          <cell r="D7899" t="str">
            <v>URBANO</v>
          </cell>
          <cell r="E7899" t="str">
            <v>07</v>
          </cell>
          <cell r="F7899" t="str">
            <v>PAQ00a05</v>
          </cell>
          <cell r="G7899" t="str">
            <v>B</v>
          </cell>
          <cell r="H7899">
            <v>0</v>
          </cell>
        </row>
        <row r="7900">
          <cell r="A7900" t="str">
            <v>1;07;U;B;PAQ05a10</v>
          </cell>
          <cell r="B7900">
            <v>730069</v>
          </cell>
          <cell r="C7900" t="str">
            <v>U</v>
          </cell>
          <cell r="D7900" t="str">
            <v>URBANO</v>
          </cell>
          <cell r="E7900" t="str">
            <v>07</v>
          </cell>
          <cell r="F7900" t="str">
            <v>PAQ05a10</v>
          </cell>
          <cell r="G7900" t="str">
            <v>B</v>
          </cell>
          <cell r="H7900">
            <v>0</v>
          </cell>
        </row>
        <row r="7901">
          <cell r="A7901" t="str">
            <v>1;07;U;B;PAQ10a15</v>
          </cell>
          <cell r="B7901">
            <v>730069</v>
          </cell>
          <cell r="C7901" t="str">
            <v>U</v>
          </cell>
          <cell r="D7901" t="str">
            <v>URBANO</v>
          </cell>
          <cell r="E7901" t="str">
            <v>07</v>
          </cell>
          <cell r="F7901" t="str">
            <v>PAQ10a15</v>
          </cell>
          <cell r="G7901" t="str">
            <v>B</v>
          </cell>
          <cell r="H7901">
            <v>0</v>
          </cell>
        </row>
        <row r="7902">
          <cell r="A7902" t="str">
            <v>1;07;U;B;PAQ15a20</v>
          </cell>
          <cell r="B7902">
            <v>730069</v>
          </cell>
          <cell r="C7902" t="str">
            <v>U</v>
          </cell>
          <cell r="D7902" t="str">
            <v>URBANO</v>
          </cell>
          <cell r="E7902" t="str">
            <v>07</v>
          </cell>
          <cell r="F7902" t="str">
            <v>PAQ15a20</v>
          </cell>
          <cell r="G7902" t="str">
            <v>B</v>
          </cell>
          <cell r="H7902">
            <v>0</v>
          </cell>
        </row>
        <row r="7903">
          <cell r="A7903" t="str">
            <v>1;07;U;B;PAQ20a25</v>
          </cell>
          <cell r="B7903">
            <v>730069</v>
          </cell>
          <cell r="C7903" t="str">
            <v>U</v>
          </cell>
          <cell r="D7903" t="str">
            <v>URBANO</v>
          </cell>
          <cell r="E7903" t="str">
            <v>07</v>
          </cell>
          <cell r="F7903" t="str">
            <v>PAQ20a25</v>
          </cell>
          <cell r="G7903" t="str">
            <v>B</v>
          </cell>
          <cell r="H7903">
            <v>0</v>
          </cell>
        </row>
        <row r="7904">
          <cell r="A7904" t="str">
            <v>1;07;U;B;PAQ25a30</v>
          </cell>
          <cell r="B7904">
            <v>730069</v>
          </cell>
          <cell r="C7904" t="str">
            <v>U</v>
          </cell>
          <cell r="D7904" t="str">
            <v>URBANO</v>
          </cell>
          <cell r="E7904" t="str">
            <v>07</v>
          </cell>
          <cell r="F7904" t="str">
            <v>PAQ25a30</v>
          </cell>
          <cell r="G7904" t="str">
            <v>B</v>
          </cell>
          <cell r="H7904">
            <v>0</v>
          </cell>
        </row>
        <row r="7905">
          <cell r="A7905" t="str">
            <v>1;07;U;B;PAQ30a35</v>
          </cell>
          <cell r="B7905">
            <v>730069</v>
          </cell>
          <cell r="C7905" t="str">
            <v>U</v>
          </cell>
          <cell r="D7905" t="str">
            <v>URBANO</v>
          </cell>
          <cell r="E7905" t="str">
            <v>07</v>
          </cell>
          <cell r="F7905" t="str">
            <v>PAQ30a35</v>
          </cell>
          <cell r="G7905" t="str">
            <v>B</v>
          </cell>
          <cell r="H7905">
            <v>0</v>
          </cell>
        </row>
        <row r="7906">
          <cell r="A7906" t="str">
            <v>1;07;U;B;PAQ35a40</v>
          </cell>
          <cell r="B7906">
            <v>730069</v>
          </cell>
          <cell r="C7906" t="str">
            <v>U</v>
          </cell>
          <cell r="D7906" t="str">
            <v>URBANO</v>
          </cell>
          <cell r="E7906" t="str">
            <v>07</v>
          </cell>
          <cell r="F7906" t="str">
            <v>PAQ35a40</v>
          </cell>
          <cell r="G7906" t="str">
            <v>B</v>
          </cell>
          <cell r="H7906">
            <v>0</v>
          </cell>
        </row>
        <row r="7907">
          <cell r="A7907" t="str">
            <v>1;07;U;F;</v>
          </cell>
          <cell r="B7907">
            <v>730069</v>
          </cell>
          <cell r="C7907" t="str">
            <v>U</v>
          </cell>
          <cell r="D7907" t="str">
            <v>URBANO</v>
          </cell>
          <cell r="E7907" t="str">
            <v>07</v>
          </cell>
          <cell r="F7907" t="str">
            <v/>
          </cell>
          <cell r="G7907" t="str">
            <v>F</v>
          </cell>
          <cell r="H7907">
            <v>0</v>
          </cell>
        </row>
        <row r="7908">
          <cell r="A7908" t="str">
            <v>1;07;U;E;</v>
          </cell>
          <cell r="B7908">
            <v>730069</v>
          </cell>
          <cell r="C7908" t="str">
            <v>U</v>
          </cell>
          <cell r="D7908" t="str">
            <v>URBANO</v>
          </cell>
          <cell r="E7908" t="str">
            <v>07</v>
          </cell>
          <cell r="F7908" t="str">
            <v/>
          </cell>
          <cell r="G7908" t="str">
            <v>E</v>
          </cell>
          <cell r="H7908">
            <v>11.83</v>
          </cell>
        </row>
        <row r="7909">
          <cell r="A7909" t="str">
            <v>1;07;U;P;</v>
          </cell>
          <cell r="B7909">
            <v>730069</v>
          </cell>
          <cell r="C7909" t="str">
            <v>U</v>
          </cell>
          <cell r="D7909" t="str">
            <v>URBANO</v>
          </cell>
          <cell r="E7909" t="str">
            <v>07</v>
          </cell>
          <cell r="F7909" t="str">
            <v/>
          </cell>
          <cell r="G7909" t="str">
            <v>P</v>
          </cell>
          <cell r="H7909">
            <v>11.83</v>
          </cell>
        </row>
        <row r="7910">
          <cell r="A7910" t="str">
            <v>1;09;U;B;BAG</v>
          </cell>
          <cell r="B7910">
            <v>730069</v>
          </cell>
          <cell r="C7910" t="str">
            <v>U</v>
          </cell>
          <cell r="D7910" t="str">
            <v>URBANO</v>
          </cell>
          <cell r="E7910" t="str">
            <v>09</v>
          </cell>
          <cell r="F7910" t="str">
            <v>BAG</v>
          </cell>
          <cell r="G7910" t="str">
            <v>B</v>
          </cell>
          <cell r="H7910">
            <v>6.17</v>
          </cell>
        </row>
        <row r="7911">
          <cell r="A7911" t="str">
            <v>1;09;U;B;DOCS</v>
          </cell>
          <cell r="B7911">
            <v>730069</v>
          </cell>
          <cell r="C7911" t="str">
            <v>U</v>
          </cell>
          <cell r="D7911" t="str">
            <v>URBANO</v>
          </cell>
          <cell r="E7911" t="str">
            <v>09</v>
          </cell>
          <cell r="F7911" t="str">
            <v>DOCS</v>
          </cell>
          <cell r="G7911" t="str">
            <v>B</v>
          </cell>
          <cell r="H7911">
            <v>6.17</v>
          </cell>
        </row>
        <row r="7912">
          <cell r="A7912" t="str">
            <v>1;09;U;B;PAQ00a02</v>
          </cell>
          <cell r="B7912">
            <v>730069</v>
          </cell>
          <cell r="C7912" t="str">
            <v>U</v>
          </cell>
          <cell r="D7912" t="str">
            <v>URBANO</v>
          </cell>
          <cell r="E7912" t="str">
            <v>09</v>
          </cell>
          <cell r="F7912" t="str">
            <v>PAQ00a02</v>
          </cell>
          <cell r="G7912" t="str">
            <v>B</v>
          </cell>
          <cell r="H7912">
            <v>6.17</v>
          </cell>
        </row>
        <row r="7913">
          <cell r="A7913" t="str">
            <v>1;09;U;B;PAQ02a05</v>
          </cell>
          <cell r="B7913">
            <v>730069</v>
          </cell>
          <cell r="C7913" t="str">
            <v>U</v>
          </cell>
          <cell r="D7913" t="str">
            <v>URBANO</v>
          </cell>
          <cell r="E7913" t="str">
            <v>09</v>
          </cell>
          <cell r="F7913" t="str">
            <v>PAQ02a05</v>
          </cell>
          <cell r="G7913" t="str">
            <v>B</v>
          </cell>
          <cell r="H7913">
            <v>6.17</v>
          </cell>
        </row>
        <row r="7914">
          <cell r="A7914" t="str">
            <v>1;09;U;B;PAQ05a10</v>
          </cell>
          <cell r="B7914">
            <v>730069</v>
          </cell>
          <cell r="C7914" t="str">
            <v>U</v>
          </cell>
          <cell r="D7914" t="str">
            <v>URBANO</v>
          </cell>
          <cell r="E7914" t="str">
            <v>09</v>
          </cell>
          <cell r="F7914" t="str">
            <v>PAQ05a10</v>
          </cell>
          <cell r="G7914" t="str">
            <v>B</v>
          </cell>
          <cell r="H7914">
            <v>10.98</v>
          </cell>
        </row>
        <row r="7915">
          <cell r="A7915" t="str">
            <v>1;09;U;B;PAQ10a15</v>
          </cell>
          <cell r="B7915">
            <v>730069</v>
          </cell>
          <cell r="C7915" t="str">
            <v>U</v>
          </cell>
          <cell r="D7915" t="str">
            <v>URBANO</v>
          </cell>
          <cell r="E7915" t="str">
            <v>09</v>
          </cell>
          <cell r="F7915" t="str">
            <v>PAQ10a15</v>
          </cell>
          <cell r="G7915" t="str">
            <v>B</v>
          </cell>
          <cell r="H7915">
            <v>11.99</v>
          </cell>
        </row>
        <row r="7916">
          <cell r="A7916" t="str">
            <v>1;09;U;B;PAQ15a20</v>
          </cell>
          <cell r="B7916">
            <v>730069</v>
          </cell>
          <cell r="C7916" t="str">
            <v>U</v>
          </cell>
          <cell r="D7916" t="str">
            <v>URBANO</v>
          </cell>
          <cell r="E7916" t="str">
            <v>09</v>
          </cell>
          <cell r="F7916" t="str">
            <v>PAQ15a20</v>
          </cell>
          <cell r="G7916" t="str">
            <v>B</v>
          </cell>
          <cell r="H7916">
            <v>12.99</v>
          </cell>
        </row>
        <row r="7917">
          <cell r="A7917" t="str">
            <v>1;09;U;B;PAQ20a25</v>
          </cell>
          <cell r="B7917">
            <v>730069</v>
          </cell>
          <cell r="C7917" t="str">
            <v>U</v>
          </cell>
          <cell r="D7917" t="str">
            <v>URBANO</v>
          </cell>
          <cell r="E7917" t="str">
            <v>09</v>
          </cell>
          <cell r="F7917" t="str">
            <v>PAQ20a25</v>
          </cell>
          <cell r="G7917" t="str">
            <v>B</v>
          </cell>
          <cell r="H7917">
            <v>14</v>
          </cell>
        </row>
        <row r="7918">
          <cell r="A7918" t="str">
            <v>1;09;U;B;PAQ25a30</v>
          </cell>
          <cell r="B7918">
            <v>730069</v>
          </cell>
          <cell r="C7918" t="str">
            <v>U</v>
          </cell>
          <cell r="D7918" t="str">
            <v>URBANO</v>
          </cell>
          <cell r="E7918" t="str">
            <v>09</v>
          </cell>
          <cell r="F7918" t="str">
            <v>PAQ25a30</v>
          </cell>
          <cell r="G7918" t="str">
            <v>B</v>
          </cell>
          <cell r="H7918">
            <v>14.99</v>
          </cell>
        </row>
        <row r="7919">
          <cell r="A7919" t="str">
            <v>1;09;U;B;PAQ30a35</v>
          </cell>
          <cell r="B7919">
            <v>730069</v>
          </cell>
          <cell r="C7919" t="str">
            <v>U</v>
          </cell>
          <cell r="D7919" t="str">
            <v>URBANO</v>
          </cell>
          <cell r="E7919" t="str">
            <v>09</v>
          </cell>
          <cell r="F7919" t="str">
            <v>PAQ30a35</v>
          </cell>
          <cell r="G7919" t="str">
            <v>B</v>
          </cell>
          <cell r="H7919">
            <v>15.98</v>
          </cell>
        </row>
        <row r="7920">
          <cell r="A7920" t="str">
            <v>1;09;U;F;</v>
          </cell>
          <cell r="B7920">
            <v>730069</v>
          </cell>
          <cell r="C7920" t="str">
            <v>U</v>
          </cell>
          <cell r="D7920" t="str">
            <v>URBANO</v>
          </cell>
          <cell r="E7920" t="str">
            <v>09</v>
          </cell>
          <cell r="F7920" t="str">
            <v/>
          </cell>
          <cell r="G7920" t="str">
            <v>F</v>
          </cell>
          <cell r="H7920">
            <v>1.51</v>
          </cell>
        </row>
        <row r="7921">
          <cell r="A7921" t="str">
            <v>1;09;U;B;PAQ35a40</v>
          </cell>
          <cell r="B7921">
            <v>730069</v>
          </cell>
          <cell r="C7921" t="str">
            <v>U</v>
          </cell>
          <cell r="D7921" t="str">
            <v>URBANO</v>
          </cell>
          <cell r="E7921" t="str">
            <v>09</v>
          </cell>
          <cell r="F7921" t="str">
            <v>PAQ35a40</v>
          </cell>
          <cell r="G7921" t="str">
            <v>B</v>
          </cell>
          <cell r="H7921">
            <v>16.989999999999998</v>
          </cell>
        </row>
        <row r="7922">
          <cell r="A7922" t="str">
            <v>1;09;U;P;</v>
          </cell>
          <cell r="B7922">
            <v>730069</v>
          </cell>
          <cell r="C7922" t="str">
            <v>U</v>
          </cell>
          <cell r="D7922" t="str">
            <v>URBANO</v>
          </cell>
          <cell r="E7922" t="str">
            <v>09</v>
          </cell>
          <cell r="F7922" t="str">
            <v/>
          </cell>
          <cell r="G7922" t="str">
            <v>P</v>
          </cell>
          <cell r="H7922">
            <v>6.17</v>
          </cell>
        </row>
        <row r="7923">
          <cell r="A7923" t="str">
            <v>1;09;U;E;</v>
          </cell>
          <cell r="B7923">
            <v>730069</v>
          </cell>
          <cell r="C7923" t="str">
            <v>U</v>
          </cell>
          <cell r="D7923" t="str">
            <v>URBANO</v>
          </cell>
          <cell r="E7923" t="str">
            <v>09</v>
          </cell>
          <cell r="F7923" t="str">
            <v/>
          </cell>
          <cell r="G7923" t="str">
            <v>E</v>
          </cell>
          <cell r="H7923">
            <v>6.17</v>
          </cell>
        </row>
        <row r="7924">
          <cell r="A7924" t="str">
            <v>1;10;U;B;BAG</v>
          </cell>
          <cell r="B7924">
            <v>730069</v>
          </cell>
          <cell r="C7924" t="str">
            <v>U</v>
          </cell>
          <cell r="D7924" t="str">
            <v>URBANO</v>
          </cell>
          <cell r="E7924" t="str">
            <v>10</v>
          </cell>
          <cell r="F7924" t="str">
            <v>BAG</v>
          </cell>
          <cell r="G7924" t="str">
            <v>B</v>
          </cell>
          <cell r="H7924">
            <v>1.67</v>
          </cell>
        </row>
        <row r="7925">
          <cell r="A7925" t="str">
            <v>1;10;U;B;DOCS</v>
          </cell>
          <cell r="B7925">
            <v>730069</v>
          </cell>
          <cell r="C7925" t="str">
            <v>U</v>
          </cell>
          <cell r="D7925" t="str">
            <v>URBANO</v>
          </cell>
          <cell r="E7925" t="str">
            <v>10</v>
          </cell>
          <cell r="F7925" t="str">
            <v>DOCS</v>
          </cell>
          <cell r="G7925" t="str">
            <v>B</v>
          </cell>
          <cell r="H7925">
            <v>1.67</v>
          </cell>
        </row>
        <row r="7926">
          <cell r="A7926" t="str">
            <v>1;14;U;B;BAG</v>
          </cell>
          <cell r="B7926">
            <v>730069</v>
          </cell>
          <cell r="C7926" t="str">
            <v>U</v>
          </cell>
          <cell r="D7926" t="str">
            <v>URBANO</v>
          </cell>
          <cell r="E7926" t="str">
            <v>14</v>
          </cell>
          <cell r="F7926" t="str">
            <v>BAG</v>
          </cell>
          <cell r="G7926" t="str">
            <v>B</v>
          </cell>
          <cell r="H7926">
            <v>1.75</v>
          </cell>
        </row>
        <row r="7927">
          <cell r="A7927" t="str">
            <v>1;15;U;B;BAG</v>
          </cell>
          <cell r="B7927">
            <v>730069</v>
          </cell>
          <cell r="C7927" t="str">
            <v>U</v>
          </cell>
          <cell r="D7927" t="str">
            <v>URBANO</v>
          </cell>
          <cell r="E7927" t="str">
            <v>15</v>
          </cell>
          <cell r="F7927" t="str">
            <v>BAG</v>
          </cell>
          <cell r="G7927" t="str">
            <v>B</v>
          </cell>
          <cell r="H7927">
            <v>1.75</v>
          </cell>
        </row>
        <row r="7928">
          <cell r="A7928" t="str">
            <v>1;04;UP;B;BAG</v>
          </cell>
          <cell r="B7928">
            <v>730069</v>
          </cell>
          <cell r="C7928" t="str">
            <v>UP</v>
          </cell>
          <cell r="D7928" t="str">
            <v>URBANO PORTUGAL</v>
          </cell>
          <cell r="E7928" t="str">
            <v>04</v>
          </cell>
          <cell r="F7928" t="str">
            <v>BAG</v>
          </cell>
          <cell r="G7928" t="str">
            <v>B</v>
          </cell>
          <cell r="H7928">
            <v>5.39</v>
          </cell>
        </row>
        <row r="7929">
          <cell r="A7929" t="str">
            <v>1;05;UP;B;BAG</v>
          </cell>
          <cell r="B7929">
            <v>730069</v>
          </cell>
          <cell r="C7929" t="str">
            <v>UP</v>
          </cell>
          <cell r="D7929" t="str">
            <v>URBANO PORTUGAL</v>
          </cell>
          <cell r="E7929" t="str">
            <v>05</v>
          </cell>
          <cell r="F7929" t="str">
            <v>BAG</v>
          </cell>
          <cell r="G7929" t="str">
            <v>B</v>
          </cell>
          <cell r="H7929">
            <v>5.39</v>
          </cell>
        </row>
        <row r="7930">
          <cell r="A7930" t="str">
            <v>1;06;UP;B;BAG</v>
          </cell>
          <cell r="B7930">
            <v>730069</v>
          </cell>
          <cell r="C7930" t="str">
            <v>UP</v>
          </cell>
          <cell r="D7930" t="str">
            <v>URBANO PORTUGAL</v>
          </cell>
          <cell r="E7930" t="str">
            <v>06</v>
          </cell>
          <cell r="F7930" t="str">
            <v>BAG</v>
          </cell>
          <cell r="G7930" t="str">
            <v>B</v>
          </cell>
          <cell r="H7930">
            <v>0</v>
          </cell>
        </row>
        <row r="7931">
          <cell r="A7931" t="str">
            <v>1;06;UP;B;DOCS</v>
          </cell>
          <cell r="B7931">
            <v>730069</v>
          </cell>
          <cell r="C7931" t="str">
            <v>UP</v>
          </cell>
          <cell r="D7931" t="str">
            <v>URBANO PORTUGAL</v>
          </cell>
          <cell r="E7931" t="str">
            <v>06</v>
          </cell>
          <cell r="F7931" t="str">
            <v>DOCS</v>
          </cell>
          <cell r="G7931" t="str">
            <v>B</v>
          </cell>
          <cell r="H7931">
            <v>0</v>
          </cell>
        </row>
        <row r="7932">
          <cell r="A7932" t="str">
            <v>1;06;UP;B;PAQ00a05</v>
          </cell>
          <cell r="B7932">
            <v>730069</v>
          </cell>
          <cell r="C7932" t="str">
            <v>UP</v>
          </cell>
          <cell r="D7932" t="str">
            <v>URBANO PORTUGAL</v>
          </cell>
          <cell r="E7932" t="str">
            <v>06</v>
          </cell>
          <cell r="F7932" t="str">
            <v>PAQ00a05</v>
          </cell>
          <cell r="G7932" t="str">
            <v>B</v>
          </cell>
          <cell r="H7932">
            <v>0</v>
          </cell>
        </row>
        <row r="7933">
          <cell r="A7933" t="str">
            <v>1;06;UP;B;PAQ05a10</v>
          </cell>
          <cell r="B7933">
            <v>730069</v>
          </cell>
          <cell r="C7933" t="str">
            <v>UP</v>
          </cell>
          <cell r="D7933" t="str">
            <v>URBANO PORTUGAL</v>
          </cell>
          <cell r="E7933" t="str">
            <v>06</v>
          </cell>
          <cell r="F7933" t="str">
            <v>PAQ05a10</v>
          </cell>
          <cell r="G7933" t="str">
            <v>B</v>
          </cell>
          <cell r="H7933">
            <v>0</v>
          </cell>
        </row>
        <row r="7934">
          <cell r="A7934" t="str">
            <v>1;06;UP;B;PAQ10a15</v>
          </cell>
          <cell r="B7934">
            <v>730069</v>
          </cell>
          <cell r="C7934" t="str">
            <v>UP</v>
          </cell>
          <cell r="D7934" t="str">
            <v>URBANO PORTUGAL</v>
          </cell>
          <cell r="E7934" t="str">
            <v>06</v>
          </cell>
          <cell r="F7934" t="str">
            <v>PAQ10a15</v>
          </cell>
          <cell r="G7934" t="str">
            <v>B</v>
          </cell>
          <cell r="H7934">
            <v>0</v>
          </cell>
        </row>
        <row r="7935">
          <cell r="A7935" t="str">
            <v>1;06;UP;B;PAQ15a20</v>
          </cell>
          <cell r="B7935">
            <v>730069</v>
          </cell>
          <cell r="C7935" t="str">
            <v>UP</v>
          </cell>
          <cell r="D7935" t="str">
            <v>URBANO PORTUGAL</v>
          </cell>
          <cell r="E7935" t="str">
            <v>06</v>
          </cell>
          <cell r="F7935" t="str">
            <v>PAQ15a20</v>
          </cell>
          <cell r="G7935" t="str">
            <v>B</v>
          </cell>
          <cell r="H7935">
            <v>0</v>
          </cell>
        </row>
        <row r="7936">
          <cell r="A7936" t="str">
            <v>1;06;UP;B;PAQ20a25</v>
          </cell>
          <cell r="B7936">
            <v>730069</v>
          </cell>
          <cell r="C7936" t="str">
            <v>UP</v>
          </cell>
          <cell r="D7936" t="str">
            <v>URBANO PORTUGAL</v>
          </cell>
          <cell r="E7936" t="str">
            <v>06</v>
          </cell>
          <cell r="F7936" t="str">
            <v>PAQ20a25</v>
          </cell>
          <cell r="G7936" t="str">
            <v>B</v>
          </cell>
          <cell r="H7936">
            <v>0</v>
          </cell>
        </row>
        <row r="7937">
          <cell r="A7937" t="str">
            <v>1;06;UP;B;PAQ25a30</v>
          </cell>
          <cell r="B7937">
            <v>730069</v>
          </cell>
          <cell r="C7937" t="str">
            <v>UP</v>
          </cell>
          <cell r="D7937" t="str">
            <v>URBANO PORTUGAL</v>
          </cell>
          <cell r="E7937" t="str">
            <v>06</v>
          </cell>
          <cell r="F7937" t="str">
            <v>PAQ25a30</v>
          </cell>
          <cell r="G7937" t="str">
            <v>B</v>
          </cell>
          <cell r="H7937">
            <v>0</v>
          </cell>
        </row>
        <row r="7938">
          <cell r="A7938" t="str">
            <v>1;06;UP;B;PAQ30a35</v>
          </cell>
          <cell r="B7938">
            <v>730069</v>
          </cell>
          <cell r="C7938" t="str">
            <v>UP</v>
          </cell>
          <cell r="D7938" t="str">
            <v>URBANO PORTUGAL</v>
          </cell>
          <cell r="E7938" t="str">
            <v>06</v>
          </cell>
          <cell r="F7938" t="str">
            <v>PAQ30a35</v>
          </cell>
          <cell r="G7938" t="str">
            <v>B</v>
          </cell>
          <cell r="H7938">
            <v>0</v>
          </cell>
        </row>
        <row r="7939">
          <cell r="A7939" t="str">
            <v>1;06;UP;F;</v>
          </cell>
          <cell r="B7939">
            <v>730069</v>
          </cell>
          <cell r="C7939" t="str">
            <v>UP</v>
          </cell>
          <cell r="D7939" t="str">
            <v>URBANO PORTUGAL</v>
          </cell>
          <cell r="E7939" t="str">
            <v>06</v>
          </cell>
          <cell r="F7939" t="str">
            <v/>
          </cell>
          <cell r="G7939" t="str">
            <v>F</v>
          </cell>
          <cell r="H7939">
            <v>0</v>
          </cell>
        </row>
        <row r="7940">
          <cell r="A7940" t="str">
            <v>1;06;UP;B;PAQ35a40</v>
          </cell>
          <cell r="B7940">
            <v>730069</v>
          </cell>
          <cell r="C7940" t="str">
            <v>UP</v>
          </cell>
          <cell r="D7940" t="str">
            <v>URBANO PORTUGAL</v>
          </cell>
          <cell r="E7940" t="str">
            <v>06</v>
          </cell>
          <cell r="F7940" t="str">
            <v>PAQ35a40</v>
          </cell>
          <cell r="G7940" t="str">
            <v>B</v>
          </cell>
          <cell r="H7940">
            <v>0</v>
          </cell>
        </row>
        <row r="7941">
          <cell r="A7941" t="str">
            <v>1;06;UP;E;</v>
          </cell>
          <cell r="B7941">
            <v>730069</v>
          </cell>
          <cell r="C7941" t="str">
            <v>UP</v>
          </cell>
          <cell r="D7941" t="str">
            <v>URBANO PORTUGAL</v>
          </cell>
          <cell r="E7941" t="str">
            <v>06</v>
          </cell>
          <cell r="F7941" t="str">
            <v/>
          </cell>
          <cell r="G7941" t="str">
            <v>E</v>
          </cell>
          <cell r="H7941">
            <v>0</v>
          </cell>
        </row>
        <row r="7942">
          <cell r="A7942" t="str">
            <v>1;06;UP;P;</v>
          </cell>
          <cell r="B7942">
            <v>730069</v>
          </cell>
          <cell r="C7942" t="str">
            <v>UP</v>
          </cell>
          <cell r="D7942" t="str">
            <v>URBANO PORTUGAL</v>
          </cell>
          <cell r="E7942" t="str">
            <v>06</v>
          </cell>
          <cell r="F7942" t="str">
            <v/>
          </cell>
          <cell r="G7942" t="str">
            <v>P</v>
          </cell>
          <cell r="H7942">
            <v>0</v>
          </cell>
        </row>
        <row r="7943">
          <cell r="A7943" t="str">
            <v>1;07;UP;B;BAG</v>
          </cell>
          <cell r="B7943">
            <v>730069</v>
          </cell>
          <cell r="C7943" t="str">
            <v>UP</v>
          </cell>
          <cell r="D7943" t="str">
            <v>URBANO PORTUGAL</v>
          </cell>
          <cell r="E7943" t="str">
            <v>07</v>
          </cell>
          <cell r="F7943" t="str">
            <v>BAG</v>
          </cell>
          <cell r="G7943" t="str">
            <v>B</v>
          </cell>
          <cell r="H7943">
            <v>0</v>
          </cell>
        </row>
        <row r="7944">
          <cell r="A7944" t="str">
            <v>1;07;UP;B;DOCS</v>
          </cell>
          <cell r="B7944">
            <v>730069</v>
          </cell>
          <cell r="C7944" t="str">
            <v>UP</v>
          </cell>
          <cell r="D7944" t="str">
            <v>URBANO PORTUGAL</v>
          </cell>
          <cell r="E7944" t="str">
            <v>07</v>
          </cell>
          <cell r="F7944" t="str">
            <v>DOCS</v>
          </cell>
          <cell r="G7944" t="str">
            <v>B</v>
          </cell>
          <cell r="H7944">
            <v>0</v>
          </cell>
        </row>
        <row r="7945">
          <cell r="A7945" t="str">
            <v>1;07;UP;B;PAQ00a05</v>
          </cell>
          <cell r="B7945">
            <v>730069</v>
          </cell>
          <cell r="C7945" t="str">
            <v>UP</v>
          </cell>
          <cell r="D7945" t="str">
            <v>URBANO PORTUGAL</v>
          </cell>
          <cell r="E7945" t="str">
            <v>07</v>
          </cell>
          <cell r="F7945" t="str">
            <v>PAQ00a05</v>
          </cell>
          <cell r="G7945" t="str">
            <v>B</v>
          </cell>
          <cell r="H7945">
            <v>0</v>
          </cell>
        </row>
        <row r="7946">
          <cell r="A7946" t="str">
            <v>1;07;UP;B;PAQ05a10</v>
          </cell>
          <cell r="B7946">
            <v>730069</v>
          </cell>
          <cell r="C7946" t="str">
            <v>UP</v>
          </cell>
          <cell r="D7946" t="str">
            <v>URBANO PORTUGAL</v>
          </cell>
          <cell r="E7946" t="str">
            <v>07</v>
          </cell>
          <cell r="F7946" t="str">
            <v>PAQ05a10</v>
          </cell>
          <cell r="G7946" t="str">
            <v>B</v>
          </cell>
          <cell r="H7946">
            <v>0</v>
          </cell>
        </row>
        <row r="7947">
          <cell r="A7947" t="str">
            <v>1;07;UP;B;PAQ10a15</v>
          </cell>
          <cell r="B7947">
            <v>730069</v>
          </cell>
          <cell r="C7947" t="str">
            <v>UP</v>
          </cell>
          <cell r="D7947" t="str">
            <v>URBANO PORTUGAL</v>
          </cell>
          <cell r="E7947" t="str">
            <v>07</v>
          </cell>
          <cell r="F7947" t="str">
            <v>PAQ10a15</v>
          </cell>
          <cell r="G7947" t="str">
            <v>B</v>
          </cell>
          <cell r="H7947">
            <v>0</v>
          </cell>
        </row>
        <row r="7948">
          <cell r="A7948" t="str">
            <v>1;07;UP;B;PAQ15a20</v>
          </cell>
          <cell r="B7948">
            <v>730069</v>
          </cell>
          <cell r="C7948" t="str">
            <v>UP</v>
          </cell>
          <cell r="D7948" t="str">
            <v>URBANO PORTUGAL</v>
          </cell>
          <cell r="E7948" t="str">
            <v>07</v>
          </cell>
          <cell r="F7948" t="str">
            <v>PAQ15a20</v>
          </cell>
          <cell r="G7948" t="str">
            <v>B</v>
          </cell>
          <cell r="H7948">
            <v>0</v>
          </cell>
        </row>
        <row r="7949">
          <cell r="A7949" t="str">
            <v>1;07;UP;B;PAQ20a25</v>
          </cell>
          <cell r="B7949">
            <v>730069</v>
          </cell>
          <cell r="C7949" t="str">
            <v>UP</v>
          </cell>
          <cell r="D7949" t="str">
            <v>URBANO PORTUGAL</v>
          </cell>
          <cell r="E7949" t="str">
            <v>07</v>
          </cell>
          <cell r="F7949" t="str">
            <v>PAQ20a25</v>
          </cell>
          <cell r="G7949" t="str">
            <v>B</v>
          </cell>
          <cell r="H7949">
            <v>0</v>
          </cell>
        </row>
        <row r="7950">
          <cell r="A7950" t="str">
            <v>1;07;UP;B;PAQ25a30</v>
          </cell>
          <cell r="B7950">
            <v>730069</v>
          </cell>
          <cell r="C7950" t="str">
            <v>UP</v>
          </cell>
          <cell r="D7950" t="str">
            <v>URBANO PORTUGAL</v>
          </cell>
          <cell r="E7950" t="str">
            <v>07</v>
          </cell>
          <cell r="F7950" t="str">
            <v>PAQ25a30</v>
          </cell>
          <cell r="G7950" t="str">
            <v>B</v>
          </cell>
          <cell r="H7950">
            <v>0</v>
          </cell>
        </row>
        <row r="7951">
          <cell r="A7951" t="str">
            <v>1;07;UP;B;PAQ30a35</v>
          </cell>
          <cell r="B7951">
            <v>730069</v>
          </cell>
          <cell r="C7951" t="str">
            <v>UP</v>
          </cell>
          <cell r="D7951" t="str">
            <v>URBANO PORTUGAL</v>
          </cell>
          <cell r="E7951" t="str">
            <v>07</v>
          </cell>
          <cell r="F7951" t="str">
            <v>PAQ30a35</v>
          </cell>
          <cell r="G7951" t="str">
            <v>B</v>
          </cell>
          <cell r="H7951">
            <v>0</v>
          </cell>
        </row>
        <row r="7952">
          <cell r="A7952" t="str">
            <v>1;07;UP;F;</v>
          </cell>
          <cell r="B7952">
            <v>730069</v>
          </cell>
          <cell r="C7952" t="str">
            <v>UP</v>
          </cell>
          <cell r="D7952" t="str">
            <v>URBANO PORTUGAL</v>
          </cell>
          <cell r="E7952" t="str">
            <v>07</v>
          </cell>
          <cell r="F7952" t="str">
            <v/>
          </cell>
          <cell r="G7952" t="str">
            <v>F</v>
          </cell>
          <cell r="H7952">
            <v>0</v>
          </cell>
        </row>
        <row r="7953">
          <cell r="A7953" t="str">
            <v>1;07;UP;B;PAQ35a40</v>
          </cell>
          <cell r="B7953">
            <v>730069</v>
          </cell>
          <cell r="C7953" t="str">
            <v>UP</v>
          </cell>
          <cell r="D7953" t="str">
            <v>URBANO PORTUGAL</v>
          </cell>
          <cell r="E7953" t="str">
            <v>07</v>
          </cell>
          <cell r="F7953" t="str">
            <v>PAQ35a40</v>
          </cell>
          <cell r="G7953" t="str">
            <v>B</v>
          </cell>
          <cell r="H7953">
            <v>0</v>
          </cell>
        </row>
        <row r="7954">
          <cell r="A7954" t="str">
            <v>1;07;UP;P;</v>
          </cell>
          <cell r="B7954">
            <v>730069</v>
          </cell>
          <cell r="C7954" t="str">
            <v>UP</v>
          </cell>
          <cell r="D7954" t="str">
            <v>URBANO PORTUGAL</v>
          </cell>
          <cell r="E7954" t="str">
            <v>07</v>
          </cell>
          <cell r="F7954" t="str">
            <v/>
          </cell>
          <cell r="G7954" t="str">
            <v>P</v>
          </cell>
          <cell r="H7954">
            <v>0</v>
          </cell>
        </row>
        <row r="7955">
          <cell r="A7955" t="str">
            <v>1;07;UP;E;</v>
          </cell>
          <cell r="B7955">
            <v>730069</v>
          </cell>
          <cell r="C7955" t="str">
            <v>UP</v>
          </cell>
          <cell r="D7955" t="str">
            <v>URBANO PORTUGAL</v>
          </cell>
          <cell r="E7955" t="str">
            <v>07</v>
          </cell>
          <cell r="F7955" t="str">
            <v/>
          </cell>
          <cell r="G7955" t="str">
            <v>E</v>
          </cell>
          <cell r="H7955">
            <v>0</v>
          </cell>
        </row>
        <row r="7956">
          <cell r="A7956" t="str">
            <v>1;09;UP;B;BAG</v>
          </cell>
          <cell r="B7956">
            <v>730069</v>
          </cell>
          <cell r="C7956" t="str">
            <v>UP</v>
          </cell>
          <cell r="D7956" t="str">
            <v>URBANO PORTUGAL</v>
          </cell>
          <cell r="E7956" t="str">
            <v>09</v>
          </cell>
          <cell r="F7956" t="str">
            <v>BAG</v>
          </cell>
          <cell r="G7956" t="str">
            <v>B</v>
          </cell>
          <cell r="H7956">
            <v>3.69</v>
          </cell>
        </row>
        <row r="7957">
          <cell r="A7957" t="str">
            <v>1;09;UP;B;DOCS</v>
          </cell>
          <cell r="B7957">
            <v>730069</v>
          </cell>
          <cell r="C7957" t="str">
            <v>UP</v>
          </cell>
          <cell r="D7957" t="str">
            <v>URBANO PORTUGAL</v>
          </cell>
          <cell r="E7957" t="str">
            <v>09</v>
          </cell>
          <cell r="F7957" t="str">
            <v>DOCS</v>
          </cell>
          <cell r="G7957" t="str">
            <v>B</v>
          </cell>
          <cell r="H7957">
            <v>3.69</v>
          </cell>
        </row>
        <row r="7958">
          <cell r="A7958" t="str">
            <v>1;09;UP;B;PAQ00a02</v>
          </cell>
          <cell r="B7958">
            <v>730069</v>
          </cell>
          <cell r="C7958" t="str">
            <v>UP</v>
          </cell>
          <cell r="D7958" t="str">
            <v>URBANO PORTUGAL</v>
          </cell>
          <cell r="E7958" t="str">
            <v>09</v>
          </cell>
          <cell r="F7958" t="str">
            <v>PAQ00a02</v>
          </cell>
          <cell r="G7958" t="str">
            <v>B</v>
          </cell>
          <cell r="H7958">
            <v>3.69</v>
          </cell>
        </row>
        <row r="7959">
          <cell r="A7959" t="str">
            <v>1;09;UP;B;PAQ02a05</v>
          </cell>
          <cell r="B7959">
            <v>730069</v>
          </cell>
          <cell r="C7959" t="str">
            <v>UP</v>
          </cell>
          <cell r="D7959" t="str">
            <v>URBANO PORTUGAL</v>
          </cell>
          <cell r="E7959" t="str">
            <v>09</v>
          </cell>
          <cell r="F7959" t="str">
            <v>PAQ02a05</v>
          </cell>
          <cell r="G7959" t="str">
            <v>B</v>
          </cell>
          <cell r="H7959">
            <v>4.32</v>
          </cell>
        </row>
        <row r="7960">
          <cell r="A7960" t="str">
            <v>1;09;UP;B;PAQ05a10</v>
          </cell>
          <cell r="B7960">
            <v>730069</v>
          </cell>
          <cell r="C7960" t="str">
            <v>UP</v>
          </cell>
          <cell r="D7960" t="str">
            <v>URBANO PORTUGAL</v>
          </cell>
          <cell r="E7960" t="str">
            <v>09</v>
          </cell>
          <cell r="F7960" t="str">
            <v>PAQ05a10</v>
          </cell>
          <cell r="G7960" t="str">
            <v>B</v>
          </cell>
          <cell r="H7960">
            <v>5.82</v>
          </cell>
        </row>
        <row r="7961">
          <cell r="A7961" t="str">
            <v>1;09;UP;B;PAQ10a15</v>
          </cell>
          <cell r="B7961">
            <v>730069</v>
          </cell>
          <cell r="C7961" t="str">
            <v>UP</v>
          </cell>
          <cell r="D7961" t="str">
            <v>URBANO PORTUGAL</v>
          </cell>
          <cell r="E7961" t="str">
            <v>09</v>
          </cell>
          <cell r="F7961" t="str">
            <v>PAQ10a15</v>
          </cell>
          <cell r="G7961" t="str">
            <v>B</v>
          </cell>
          <cell r="H7961">
            <v>6.68</v>
          </cell>
        </row>
        <row r="7962">
          <cell r="A7962" t="str">
            <v>1;09;UP;B;PAQ15a20</v>
          </cell>
          <cell r="B7962">
            <v>730069</v>
          </cell>
          <cell r="C7962" t="str">
            <v>UP</v>
          </cell>
          <cell r="D7962" t="str">
            <v>URBANO PORTUGAL</v>
          </cell>
          <cell r="E7962" t="str">
            <v>09</v>
          </cell>
          <cell r="F7962" t="str">
            <v>PAQ15a20</v>
          </cell>
          <cell r="G7962" t="str">
            <v>B</v>
          </cell>
          <cell r="H7962">
            <v>7.55</v>
          </cell>
        </row>
        <row r="7963">
          <cell r="A7963" t="str">
            <v>1;09;UP;B;PAQ20a25</v>
          </cell>
          <cell r="B7963">
            <v>730069</v>
          </cell>
          <cell r="C7963" t="str">
            <v>UP</v>
          </cell>
          <cell r="D7963" t="str">
            <v>URBANO PORTUGAL</v>
          </cell>
          <cell r="E7963" t="str">
            <v>09</v>
          </cell>
          <cell r="F7963" t="str">
            <v>PAQ20a25</v>
          </cell>
          <cell r="G7963" t="str">
            <v>B</v>
          </cell>
          <cell r="H7963">
            <v>8.42</v>
          </cell>
        </row>
        <row r="7964">
          <cell r="A7964" t="str">
            <v>1;09;UP;B;PAQ25a30</v>
          </cell>
          <cell r="B7964">
            <v>730069</v>
          </cell>
          <cell r="C7964" t="str">
            <v>UP</v>
          </cell>
          <cell r="D7964" t="str">
            <v>URBANO PORTUGAL</v>
          </cell>
          <cell r="E7964" t="str">
            <v>09</v>
          </cell>
          <cell r="F7964" t="str">
            <v>PAQ25a30</v>
          </cell>
          <cell r="G7964" t="str">
            <v>B</v>
          </cell>
          <cell r="H7964">
            <v>9.2799999999999994</v>
          </cell>
        </row>
        <row r="7965">
          <cell r="A7965" t="str">
            <v>1;09;UP;B;PAQ30a35</v>
          </cell>
          <cell r="B7965">
            <v>730069</v>
          </cell>
          <cell r="C7965" t="str">
            <v>UP</v>
          </cell>
          <cell r="D7965" t="str">
            <v>URBANO PORTUGAL</v>
          </cell>
          <cell r="E7965" t="str">
            <v>09</v>
          </cell>
          <cell r="F7965" t="str">
            <v>PAQ30a35</v>
          </cell>
          <cell r="G7965" t="str">
            <v>B</v>
          </cell>
          <cell r="H7965">
            <v>10.15</v>
          </cell>
        </row>
        <row r="7966">
          <cell r="A7966" t="str">
            <v>1;09;UP;F;</v>
          </cell>
          <cell r="B7966">
            <v>730069</v>
          </cell>
          <cell r="C7966" t="str">
            <v>UP</v>
          </cell>
          <cell r="D7966" t="str">
            <v>URBANO PORTUGAL</v>
          </cell>
          <cell r="E7966" t="str">
            <v>09</v>
          </cell>
          <cell r="F7966" t="str">
            <v/>
          </cell>
          <cell r="G7966" t="str">
            <v>F</v>
          </cell>
          <cell r="H7966">
            <v>0.87</v>
          </cell>
        </row>
        <row r="7967">
          <cell r="A7967" t="str">
            <v>1;09;UP;B;PAQ35a40</v>
          </cell>
          <cell r="B7967">
            <v>730069</v>
          </cell>
          <cell r="C7967" t="str">
            <v>UP</v>
          </cell>
          <cell r="D7967" t="str">
            <v>URBANO PORTUGAL</v>
          </cell>
          <cell r="E7967" t="str">
            <v>09</v>
          </cell>
          <cell r="F7967" t="str">
            <v>PAQ35a40</v>
          </cell>
          <cell r="G7967" t="str">
            <v>B</v>
          </cell>
          <cell r="H7967">
            <v>11.01</v>
          </cell>
        </row>
        <row r="7968">
          <cell r="A7968" t="str">
            <v>1;09;UP;E;</v>
          </cell>
          <cell r="B7968">
            <v>730069</v>
          </cell>
          <cell r="C7968" t="str">
            <v>UP</v>
          </cell>
          <cell r="D7968" t="str">
            <v>URBANO PORTUGAL</v>
          </cell>
          <cell r="E7968" t="str">
            <v>09</v>
          </cell>
          <cell r="F7968" t="str">
            <v/>
          </cell>
          <cell r="G7968" t="str">
            <v>E</v>
          </cell>
          <cell r="H7968">
            <v>4.32</v>
          </cell>
        </row>
        <row r="7969">
          <cell r="A7969" t="str">
            <v>1;09;UP;P;</v>
          </cell>
          <cell r="B7969">
            <v>730069</v>
          </cell>
          <cell r="C7969" t="str">
            <v>UP</v>
          </cell>
          <cell r="D7969" t="str">
            <v>URBANO PORTUGAL</v>
          </cell>
          <cell r="E7969" t="str">
            <v>09</v>
          </cell>
          <cell r="F7969" t="str">
            <v/>
          </cell>
          <cell r="G7969" t="str">
            <v>P</v>
          </cell>
          <cell r="H7969">
            <v>4.32</v>
          </cell>
        </row>
        <row r="7970">
          <cell r="A7970" t="str">
            <v>1;10;UP;B;BAG</v>
          </cell>
          <cell r="B7970">
            <v>730069</v>
          </cell>
          <cell r="C7970" t="str">
            <v>UP</v>
          </cell>
          <cell r="D7970" t="str">
            <v>URBANO PORTUGAL</v>
          </cell>
          <cell r="E7970" t="str">
            <v>10</v>
          </cell>
          <cell r="F7970" t="str">
            <v>BAG</v>
          </cell>
          <cell r="G7970" t="str">
            <v>B</v>
          </cell>
          <cell r="H7970">
            <v>1.59</v>
          </cell>
        </row>
        <row r="7971">
          <cell r="A7971" t="str">
            <v>1;10;UP;B;DOCS</v>
          </cell>
          <cell r="B7971">
            <v>730069</v>
          </cell>
          <cell r="C7971" t="str">
            <v>UP</v>
          </cell>
          <cell r="D7971" t="str">
            <v>URBANO PORTUGAL</v>
          </cell>
          <cell r="E7971" t="str">
            <v>10</v>
          </cell>
          <cell r="F7971" t="str">
            <v>DOCS</v>
          </cell>
          <cell r="G7971" t="str">
            <v>B</v>
          </cell>
          <cell r="H7971">
            <v>1.59</v>
          </cell>
        </row>
        <row r="7972">
          <cell r="A7972" t="str">
            <v>1;14;UP;B;BAG</v>
          </cell>
          <cell r="B7972">
            <v>730069</v>
          </cell>
          <cell r="C7972" t="str">
            <v>UP</v>
          </cell>
          <cell r="D7972" t="str">
            <v>URBANO PORTUGAL</v>
          </cell>
          <cell r="E7972" t="str">
            <v>14</v>
          </cell>
          <cell r="F7972" t="str">
            <v>BAG</v>
          </cell>
          <cell r="G7972" t="str">
            <v>B</v>
          </cell>
          <cell r="H7972">
            <v>1.67</v>
          </cell>
        </row>
        <row r="7973">
          <cell r="A7973" t="str">
            <v>1;15;UP;B;BAG</v>
          </cell>
          <cell r="B7973">
            <v>730069</v>
          </cell>
          <cell r="C7973" t="str">
            <v>UP</v>
          </cell>
          <cell r="D7973" t="str">
            <v>URBANO PORTUGAL</v>
          </cell>
          <cell r="E7973" t="str">
            <v>15</v>
          </cell>
          <cell r="F7973" t="str">
            <v>BAG</v>
          </cell>
          <cell r="G7973" t="str">
            <v>B</v>
          </cell>
          <cell r="H7973">
            <v>1.67</v>
          </cell>
        </row>
        <row r="7974">
          <cell r="A7974" t="str">
            <v>1;10;V1;B;BAG</v>
          </cell>
          <cell r="B7974">
            <v>730069</v>
          </cell>
          <cell r="C7974" t="str">
            <v>V1</v>
          </cell>
          <cell r="D7974" t="str">
            <v>TRANSITO AEREO 1</v>
          </cell>
          <cell r="E7974" t="str">
            <v>10</v>
          </cell>
          <cell r="F7974" t="str">
            <v>BAG</v>
          </cell>
          <cell r="G7974" t="str">
            <v>B</v>
          </cell>
          <cell r="H7974">
            <v>1.75</v>
          </cell>
        </row>
        <row r="7975">
          <cell r="A7975" t="str">
            <v>1;10;V2;B;BAG</v>
          </cell>
          <cell r="B7975">
            <v>730069</v>
          </cell>
          <cell r="C7975" t="str">
            <v>V2</v>
          </cell>
          <cell r="D7975" t="str">
            <v>TRANSITO AEREO 2</v>
          </cell>
          <cell r="E7975" t="str">
            <v>10</v>
          </cell>
          <cell r="F7975" t="str">
            <v>BAG</v>
          </cell>
          <cell r="G7975" t="str">
            <v>B</v>
          </cell>
          <cell r="H7975">
            <v>1.75</v>
          </cell>
        </row>
        <row r="7976">
          <cell r="A7976" t="str">
            <v>1;A;Z1;B;DOC00a01</v>
          </cell>
          <cell r="B7976">
            <v>730069</v>
          </cell>
          <cell r="C7976" t="str">
            <v>Z1</v>
          </cell>
          <cell r="D7976" t="str">
            <v>ZONA 1 EUROPA</v>
          </cell>
          <cell r="E7976" t="str">
            <v>A</v>
          </cell>
          <cell r="F7976" t="str">
            <v>DOC00a01</v>
          </cell>
          <cell r="G7976" t="str">
            <v>B</v>
          </cell>
          <cell r="H7976">
            <v>17.260000000000002</v>
          </cell>
        </row>
        <row r="7977">
          <cell r="A7977" t="str">
            <v>1;A;Z1;B;DOC01a02</v>
          </cell>
          <cell r="B7977">
            <v>730069</v>
          </cell>
          <cell r="C7977" t="str">
            <v>Z1</v>
          </cell>
          <cell r="D7977" t="str">
            <v>ZONA 1 EUROPA</v>
          </cell>
          <cell r="E7977" t="str">
            <v>A</v>
          </cell>
          <cell r="F7977" t="str">
            <v>DOC01a02</v>
          </cell>
          <cell r="G7977" t="str">
            <v>B</v>
          </cell>
          <cell r="H7977">
            <v>19.260000000000002</v>
          </cell>
        </row>
        <row r="7978">
          <cell r="A7978" t="str">
            <v>1;A;Z1;B;DOC02a05</v>
          </cell>
          <cell r="B7978">
            <v>730069</v>
          </cell>
          <cell r="C7978" t="str">
            <v>Z1</v>
          </cell>
          <cell r="D7978" t="str">
            <v>ZONA 1 EUROPA</v>
          </cell>
          <cell r="E7978" t="str">
            <v>A</v>
          </cell>
          <cell r="F7978" t="str">
            <v>DOC02a05</v>
          </cell>
          <cell r="G7978" t="str">
            <v>B</v>
          </cell>
          <cell r="H7978">
            <v>25.08</v>
          </cell>
        </row>
        <row r="7979">
          <cell r="A7979" t="str">
            <v>1;A;Z1;B;DOC05a10</v>
          </cell>
          <cell r="B7979">
            <v>730069</v>
          </cell>
          <cell r="C7979" t="str">
            <v>Z1</v>
          </cell>
          <cell r="D7979" t="str">
            <v>ZONA 1 EUROPA</v>
          </cell>
          <cell r="E7979" t="str">
            <v>A</v>
          </cell>
          <cell r="F7979" t="str">
            <v>DOC05a10</v>
          </cell>
          <cell r="G7979" t="str">
            <v>B</v>
          </cell>
          <cell r="H7979">
            <v>34.1</v>
          </cell>
        </row>
        <row r="7980">
          <cell r="A7980" t="str">
            <v>1;A;Z1;B;DOC10a15</v>
          </cell>
          <cell r="B7980">
            <v>730069</v>
          </cell>
          <cell r="C7980" t="str">
            <v>Z1</v>
          </cell>
          <cell r="D7980" t="str">
            <v>ZONA 1 EUROPA</v>
          </cell>
          <cell r="E7980" t="str">
            <v>A</v>
          </cell>
          <cell r="F7980" t="str">
            <v>DOC10a15</v>
          </cell>
          <cell r="G7980" t="str">
            <v>B</v>
          </cell>
          <cell r="H7980">
            <v>45.18</v>
          </cell>
        </row>
        <row r="7981">
          <cell r="A7981" t="str">
            <v>1;A;Z1;B;DOC15a20</v>
          </cell>
          <cell r="B7981">
            <v>730069</v>
          </cell>
          <cell r="C7981" t="str">
            <v>Z1</v>
          </cell>
          <cell r="D7981" t="str">
            <v>ZONA 1 EUROPA</v>
          </cell>
          <cell r="E7981" t="str">
            <v>A</v>
          </cell>
          <cell r="F7981" t="str">
            <v>DOC15a20</v>
          </cell>
          <cell r="G7981" t="str">
            <v>B</v>
          </cell>
          <cell r="H7981">
            <v>51.91</v>
          </cell>
        </row>
        <row r="7982">
          <cell r="A7982" t="str">
            <v>1;A;Z1;B;DOC20a25</v>
          </cell>
          <cell r="B7982">
            <v>730069</v>
          </cell>
          <cell r="C7982" t="str">
            <v>Z1</v>
          </cell>
          <cell r="D7982" t="str">
            <v>ZONA 1 EUROPA</v>
          </cell>
          <cell r="E7982" t="str">
            <v>A</v>
          </cell>
          <cell r="F7982" t="str">
            <v>DOC20a25</v>
          </cell>
          <cell r="G7982" t="str">
            <v>B</v>
          </cell>
          <cell r="H7982">
            <v>61.01</v>
          </cell>
        </row>
        <row r="7983">
          <cell r="A7983" t="str">
            <v>1;A;Z1;B;DOC25a30</v>
          </cell>
          <cell r="B7983">
            <v>730069</v>
          </cell>
          <cell r="C7983" t="str">
            <v>Z1</v>
          </cell>
          <cell r="D7983" t="str">
            <v>ZONA 1 EUROPA</v>
          </cell>
          <cell r="E7983" t="str">
            <v>A</v>
          </cell>
          <cell r="F7983" t="str">
            <v>DOC25a30</v>
          </cell>
          <cell r="G7983" t="str">
            <v>B</v>
          </cell>
          <cell r="H7983">
            <v>70.099999999999994</v>
          </cell>
        </row>
        <row r="7984">
          <cell r="A7984" t="str">
            <v>1;A;Z1;B;DOC30a35</v>
          </cell>
          <cell r="B7984">
            <v>730069</v>
          </cell>
          <cell r="C7984" t="str">
            <v>Z1</v>
          </cell>
          <cell r="D7984" t="str">
            <v>ZONA 1 EUROPA</v>
          </cell>
          <cell r="E7984" t="str">
            <v>A</v>
          </cell>
          <cell r="F7984" t="str">
            <v>DOC30a35</v>
          </cell>
          <cell r="G7984" t="str">
            <v>B</v>
          </cell>
          <cell r="H7984">
            <v>77.06</v>
          </cell>
        </row>
        <row r="7985">
          <cell r="A7985" t="str">
            <v>1;A;Z1;B;DOC35a40</v>
          </cell>
          <cell r="B7985">
            <v>730069</v>
          </cell>
          <cell r="C7985" t="str">
            <v>Z1</v>
          </cell>
          <cell r="D7985" t="str">
            <v>ZONA 1 EUROPA</v>
          </cell>
          <cell r="E7985" t="str">
            <v>A</v>
          </cell>
          <cell r="F7985" t="str">
            <v>DOC35a40</v>
          </cell>
          <cell r="G7985" t="str">
            <v>B</v>
          </cell>
          <cell r="H7985">
            <v>84.02</v>
          </cell>
        </row>
        <row r="7986">
          <cell r="A7986" t="str">
            <v>1;A;Z1;F;</v>
          </cell>
          <cell r="B7986">
            <v>730069</v>
          </cell>
          <cell r="C7986" t="str">
            <v>Z1</v>
          </cell>
          <cell r="D7986" t="str">
            <v>ZONA 1 EUROPA</v>
          </cell>
          <cell r="E7986" t="str">
            <v>A</v>
          </cell>
          <cell r="F7986" t="str">
            <v/>
          </cell>
          <cell r="G7986" t="str">
            <v>F</v>
          </cell>
          <cell r="H7986">
            <v>6.97</v>
          </cell>
        </row>
        <row r="7987">
          <cell r="A7987" t="str">
            <v>1;A;Z1;B;MUE00a01</v>
          </cell>
          <cell r="B7987">
            <v>730069</v>
          </cell>
          <cell r="C7987" t="str">
            <v>Z1</v>
          </cell>
          <cell r="D7987" t="str">
            <v>ZONA 1 EUROPA</v>
          </cell>
          <cell r="E7987" t="str">
            <v>A</v>
          </cell>
          <cell r="F7987" t="str">
            <v>MUE00a01</v>
          </cell>
          <cell r="G7987" t="str">
            <v>B</v>
          </cell>
          <cell r="H7987">
            <v>17.260000000000002</v>
          </cell>
        </row>
        <row r="7988">
          <cell r="A7988" t="str">
            <v>1;A;Z1;B;MUE01a02</v>
          </cell>
          <cell r="B7988">
            <v>730069</v>
          </cell>
          <cell r="C7988" t="str">
            <v>Z1</v>
          </cell>
          <cell r="D7988" t="str">
            <v>ZONA 1 EUROPA</v>
          </cell>
          <cell r="E7988" t="str">
            <v>A</v>
          </cell>
          <cell r="F7988" t="str">
            <v>MUE01a02</v>
          </cell>
          <cell r="G7988" t="str">
            <v>B</v>
          </cell>
          <cell r="H7988">
            <v>19.260000000000002</v>
          </cell>
        </row>
        <row r="7989">
          <cell r="A7989" t="str">
            <v>1;A;Z1;B;MUE02a05</v>
          </cell>
          <cell r="B7989">
            <v>730069</v>
          </cell>
          <cell r="C7989" t="str">
            <v>Z1</v>
          </cell>
          <cell r="D7989" t="str">
            <v>ZONA 1 EUROPA</v>
          </cell>
          <cell r="E7989" t="str">
            <v>A</v>
          </cell>
          <cell r="F7989" t="str">
            <v>MUE02a05</v>
          </cell>
          <cell r="G7989" t="str">
            <v>B</v>
          </cell>
          <cell r="H7989">
            <v>25.08</v>
          </cell>
        </row>
        <row r="7990">
          <cell r="A7990" t="str">
            <v>1;A;Z1;B;MUE05a10</v>
          </cell>
          <cell r="B7990">
            <v>730069</v>
          </cell>
          <cell r="C7990" t="str">
            <v>Z1</v>
          </cell>
          <cell r="D7990" t="str">
            <v>ZONA 1 EUROPA</v>
          </cell>
          <cell r="E7990" t="str">
            <v>A</v>
          </cell>
          <cell r="F7990" t="str">
            <v>MUE05a10</v>
          </cell>
          <cell r="G7990" t="str">
            <v>B</v>
          </cell>
          <cell r="H7990">
            <v>34.1</v>
          </cell>
        </row>
        <row r="7991">
          <cell r="A7991" t="str">
            <v>1;A;Z1;B;MUE10a15</v>
          </cell>
          <cell r="B7991">
            <v>730069</v>
          </cell>
          <cell r="C7991" t="str">
            <v>Z1</v>
          </cell>
          <cell r="D7991" t="str">
            <v>ZONA 1 EUROPA</v>
          </cell>
          <cell r="E7991" t="str">
            <v>A</v>
          </cell>
          <cell r="F7991" t="str">
            <v>MUE10a15</v>
          </cell>
          <cell r="G7991" t="str">
            <v>B</v>
          </cell>
          <cell r="H7991">
            <v>45.18</v>
          </cell>
        </row>
        <row r="7992">
          <cell r="A7992" t="str">
            <v>1;A;Z1;B;MUE15a20</v>
          </cell>
          <cell r="B7992">
            <v>730069</v>
          </cell>
          <cell r="C7992" t="str">
            <v>Z1</v>
          </cell>
          <cell r="D7992" t="str">
            <v>ZONA 1 EUROPA</v>
          </cell>
          <cell r="E7992" t="str">
            <v>A</v>
          </cell>
          <cell r="F7992" t="str">
            <v>MUE15a20</v>
          </cell>
          <cell r="G7992" t="str">
            <v>B</v>
          </cell>
          <cell r="H7992">
            <v>51.91</v>
          </cell>
        </row>
        <row r="7993">
          <cell r="A7993" t="str">
            <v>1;A;Z1;B;MUE20a25</v>
          </cell>
          <cell r="B7993">
            <v>730069</v>
          </cell>
          <cell r="C7993" t="str">
            <v>Z1</v>
          </cell>
          <cell r="D7993" t="str">
            <v>ZONA 1 EUROPA</v>
          </cell>
          <cell r="E7993" t="str">
            <v>A</v>
          </cell>
          <cell r="F7993" t="str">
            <v>MUE20a25</v>
          </cell>
          <cell r="G7993" t="str">
            <v>B</v>
          </cell>
          <cell r="H7993">
            <v>61.01</v>
          </cell>
        </row>
        <row r="7994">
          <cell r="A7994" t="str">
            <v>1;A;Z1;B;MUE25a30</v>
          </cell>
          <cell r="B7994">
            <v>730069</v>
          </cell>
          <cell r="C7994" t="str">
            <v>Z1</v>
          </cell>
          <cell r="D7994" t="str">
            <v>ZONA 1 EUROPA</v>
          </cell>
          <cell r="E7994" t="str">
            <v>A</v>
          </cell>
          <cell r="F7994" t="str">
            <v>MUE25a30</v>
          </cell>
          <cell r="G7994" t="str">
            <v>B</v>
          </cell>
          <cell r="H7994">
            <v>70.099999999999994</v>
          </cell>
        </row>
        <row r="7995">
          <cell r="A7995" t="str">
            <v>1;A;Z1;B;MUE30a35</v>
          </cell>
          <cell r="B7995">
            <v>730069</v>
          </cell>
          <cell r="C7995" t="str">
            <v>Z1</v>
          </cell>
          <cell r="D7995" t="str">
            <v>ZONA 1 EUROPA</v>
          </cell>
          <cell r="E7995" t="str">
            <v>A</v>
          </cell>
          <cell r="F7995" t="str">
            <v>MUE30a35</v>
          </cell>
          <cell r="G7995" t="str">
            <v>B</v>
          </cell>
          <cell r="H7995">
            <v>77.06</v>
          </cell>
        </row>
        <row r="7996">
          <cell r="A7996" t="str">
            <v>1;A;Z1;B;MUE35a40</v>
          </cell>
          <cell r="B7996">
            <v>730069</v>
          </cell>
          <cell r="C7996" t="str">
            <v>Z1</v>
          </cell>
          <cell r="D7996" t="str">
            <v>ZONA 1 EUROPA</v>
          </cell>
          <cell r="E7996" t="str">
            <v>A</v>
          </cell>
          <cell r="F7996" t="str">
            <v>MUE35a40</v>
          </cell>
          <cell r="G7996" t="str">
            <v>B</v>
          </cell>
          <cell r="H7996">
            <v>84.02</v>
          </cell>
        </row>
        <row r="7997">
          <cell r="A7997" t="str">
            <v>1;A;Z1;F;</v>
          </cell>
          <cell r="B7997">
            <v>730069</v>
          </cell>
          <cell r="C7997" t="str">
            <v>Z1</v>
          </cell>
          <cell r="D7997" t="str">
            <v>ZONA 1 EUROPA</v>
          </cell>
          <cell r="E7997" t="str">
            <v>A</v>
          </cell>
          <cell r="F7997" t="str">
            <v/>
          </cell>
          <cell r="G7997" t="str">
            <v>F</v>
          </cell>
          <cell r="H7997">
            <v>6.97</v>
          </cell>
        </row>
        <row r="7998">
          <cell r="A7998" t="str">
            <v>1;B;Z1;B;DOC00a01</v>
          </cell>
          <cell r="B7998">
            <v>730069</v>
          </cell>
          <cell r="C7998" t="str">
            <v>Z1</v>
          </cell>
          <cell r="D7998" t="str">
            <v>ZONA 1 EUROPA</v>
          </cell>
          <cell r="E7998" t="str">
            <v>B</v>
          </cell>
          <cell r="F7998" t="str">
            <v>DOC00a01</v>
          </cell>
          <cell r="G7998" t="str">
            <v>B</v>
          </cell>
          <cell r="H7998">
            <v>15.61</v>
          </cell>
        </row>
        <row r="7999">
          <cell r="A7999" t="str">
            <v>1;B;Z1;B;DOC01a02</v>
          </cell>
          <cell r="B7999">
            <v>730069</v>
          </cell>
          <cell r="C7999" t="str">
            <v>Z1</v>
          </cell>
          <cell r="D7999" t="str">
            <v>ZONA 1 EUROPA</v>
          </cell>
          <cell r="E7999" t="str">
            <v>B</v>
          </cell>
          <cell r="F7999" t="str">
            <v>DOC01a02</v>
          </cell>
          <cell r="G7999" t="str">
            <v>B</v>
          </cell>
          <cell r="H7999">
            <v>17.079999999999998</v>
          </cell>
        </row>
        <row r="8000">
          <cell r="A8000" t="str">
            <v>1;B;Z1;B;DOC02a05</v>
          </cell>
          <cell r="B8000">
            <v>730069</v>
          </cell>
          <cell r="C8000" t="str">
            <v>Z1</v>
          </cell>
          <cell r="D8000" t="str">
            <v>ZONA 1 EUROPA</v>
          </cell>
          <cell r="E8000" t="str">
            <v>B</v>
          </cell>
          <cell r="F8000" t="str">
            <v>DOC02a05</v>
          </cell>
          <cell r="G8000" t="str">
            <v>B</v>
          </cell>
          <cell r="H8000">
            <v>21.5</v>
          </cell>
        </row>
        <row r="8001">
          <cell r="A8001" t="str">
            <v>1;B;Z1;B;DOC05a10</v>
          </cell>
          <cell r="B8001">
            <v>730069</v>
          </cell>
          <cell r="C8001" t="str">
            <v>Z1</v>
          </cell>
          <cell r="D8001" t="str">
            <v>ZONA 1 EUROPA</v>
          </cell>
          <cell r="E8001" t="str">
            <v>B</v>
          </cell>
          <cell r="F8001" t="str">
            <v>DOC05a10</v>
          </cell>
          <cell r="G8001" t="str">
            <v>B</v>
          </cell>
          <cell r="H8001">
            <v>28.32</v>
          </cell>
        </row>
        <row r="8002">
          <cell r="A8002" t="str">
            <v>1;B;Z1;B;DOC10a15</v>
          </cell>
          <cell r="B8002">
            <v>730069</v>
          </cell>
          <cell r="C8002" t="str">
            <v>Z1</v>
          </cell>
          <cell r="D8002" t="str">
            <v>ZONA 1 EUROPA</v>
          </cell>
          <cell r="E8002" t="str">
            <v>B</v>
          </cell>
          <cell r="F8002" t="str">
            <v>DOC10a15</v>
          </cell>
          <cell r="G8002" t="str">
            <v>B</v>
          </cell>
          <cell r="H8002">
            <v>38.76</v>
          </cell>
        </row>
        <row r="8003">
          <cell r="A8003" t="str">
            <v>1;B;Z1;B;DOC15a20</v>
          </cell>
          <cell r="B8003">
            <v>730069</v>
          </cell>
          <cell r="C8003" t="str">
            <v>Z1</v>
          </cell>
          <cell r="D8003" t="str">
            <v>ZONA 1 EUROPA</v>
          </cell>
          <cell r="E8003" t="str">
            <v>B</v>
          </cell>
          <cell r="F8003" t="str">
            <v>DOC15a20</v>
          </cell>
          <cell r="G8003" t="str">
            <v>B</v>
          </cell>
          <cell r="H8003">
            <v>47.36</v>
          </cell>
        </row>
        <row r="8004">
          <cell r="A8004" t="str">
            <v>1;B;Z1;B;DOC20a25</v>
          </cell>
          <cell r="B8004">
            <v>730069</v>
          </cell>
          <cell r="C8004" t="str">
            <v>Z1</v>
          </cell>
          <cell r="D8004" t="str">
            <v>ZONA 1 EUROPA</v>
          </cell>
          <cell r="E8004" t="str">
            <v>B</v>
          </cell>
          <cell r="F8004" t="str">
            <v>DOC20a25</v>
          </cell>
          <cell r="G8004" t="str">
            <v>B</v>
          </cell>
          <cell r="H8004">
            <v>55.96</v>
          </cell>
        </row>
        <row r="8005">
          <cell r="A8005" t="str">
            <v>1;B;Z1;B;DOC25a30</v>
          </cell>
          <cell r="B8005">
            <v>730069</v>
          </cell>
          <cell r="C8005" t="str">
            <v>Z1</v>
          </cell>
          <cell r="D8005" t="str">
            <v>ZONA 1 EUROPA</v>
          </cell>
          <cell r="E8005" t="str">
            <v>B</v>
          </cell>
          <cell r="F8005" t="str">
            <v>DOC25a30</v>
          </cell>
          <cell r="G8005" t="str">
            <v>B</v>
          </cell>
          <cell r="H8005">
            <v>64.56</v>
          </cell>
        </row>
        <row r="8006">
          <cell r="A8006" t="str">
            <v>1;B;Z1;B;DOC30a35</v>
          </cell>
          <cell r="B8006">
            <v>730069</v>
          </cell>
          <cell r="C8006" t="str">
            <v>Z1</v>
          </cell>
          <cell r="D8006" t="str">
            <v>ZONA 1 EUROPA</v>
          </cell>
          <cell r="E8006" t="str">
            <v>B</v>
          </cell>
          <cell r="F8006" t="str">
            <v>DOC30a35</v>
          </cell>
          <cell r="G8006" t="str">
            <v>B</v>
          </cell>
          <cell r="H8006">
            <v>73.16</v>
          </cell>
        </row>
        <row r="8007">
          <cell r="A8007" t="str">
            <v>1;B;Z1;B;DOC35a40</v>
          </cell>
          <cell r="B8007">
            <v>730069</v>
          </cell>
          <cell r="C8007" t="str">
            <v>Z1</v>
          </cell>
          <cell r="D8007" t="str">
            <v>ZONA 1 EUROPA</v>
          </cell>
          <cell r="E8007" t="str">
            <v>B</v>
          </cell>
          <cell r="F8007" t="str">
            <v>DOC35a40</v>
          </cell>
          <cell r="G8007" t="str">
            <v>B</v>
          </cell>
          <cell r="H8007">
            <v>81.760000000000005</v>
          </cell>
        </row>
        <row r="8008">
          <cell r="A8008" t="str">
            <v>1;B;Z1;B;MUE00a01</v>
          </cell>
          <cell r="B8008">
            <v>730069</v>
          </cell>
          <cell r="C8008" t="str">
            <v>Z1</v>
          </cell>
          <cell r="D8008" t="str">
            <v>ZONA 1 EUROPA</v>
          </cell>
          <cell r="E8008" t="str">
            <v>B</v>
          </cell>
          <cell r="F8008" t="str">
            <v>MUE00a01</v>
          </cell>
          <cell r="G8008" t="str">
            <v>B</v>
          </cell>
          <cell r="H8008">
            <v>15.61</v>
          </cell>
        </row>
        <row r="8009">
          <cell r="A8009" t="str">
            <v>1;B;Z1;B;MUE01a02</v>
          </cell>
          <cell r="B8009">
            <v>730069</v>
          </cell>
          <cell r="C8009" t="str">
            <v>Z1</v>
          </cell>
          <cell r="D8009" t="str">
            <v>ZONA 1 EUROPA</v>
          </cell>
          <cell r="E8009" t="str">
            <v>B</v>
          </cell>
          <cell r="F8009" t="str">
            <v>MUE01a02</v>
          </cell>
          <cell r="G8009" t="str">
            <v>B</v>
          </cell>
          <cell r="H8009">
            <v>17.079999999999998</v>
          </cell>
        </row>
        <row r="8010">
          <cell r="A8010" t="str">
            <v>1;B;Z1;B;MUE02a05</v>
          </cell>
          <cell r="B8010">
            <v>730069</v>
          </cell>
          <cell r="C8010" t="str">
            <v>Z1</v>
          </cell>
          <cell r="D8010" t="str">
            <v>ZONA 1 EUROPA</v>
          </cell>
          <cell r="E8010" t="str">
            <v>B</v>
          </cell>
          <cell r="F8010" t="str">
            <v>MUE02a05</v>
          </cell>
          <cell r="G8010" t="str">
            <v>B</v>
          </cell>
          <cell r="H8010">
            <v>21.5</v>
          </cell>
        </row>
        <row r="8011">
          <cell r="A8011" t="str">
            <v>1;B;Z1;B;MUE05a10</v>
          </cell>
          <cell r="B8011">
            <v>730069</v>
          </cell>
          <cell r="C8011" t="str">
            <v>Z1</v>
          </cell>
          <cell r="D8011" t="str">
            <v>ZONA 1 EUROPA</v>
          </cell>
          <cell r="E8011" t="str">
            <v>B</v>
          </cell>
          <cell r="F8011" t="str">
            <v>MUE05a10</v>
          </cell>
          <cell r="G8011" t="str">
            <v>B</v>
          </cell>
          <cell r="H8011">
            <v>28.32</v>
          </cell>
        </row>
        <row r="8012">
          <cell r="A8012" t="str">
            <v>1;B;Z1;B;MUE10a15</v>
          </cell>
          <cell r="B8012">
            <v>730069</v>
          </cell>
          <cell r="C8012" t="str">
            <v>Z1</v>
          </cell>
          <cell r="D8012" t="str">
            <v>ZONA 1 EUROPA</v>
          </cell>
          <cell r="E8012" t="str">
            <v>B</v>
          </cell>
          <cell r="F8012" t="str">
            <v>MUE10a15</v>
          </cell>
          <cell r="G8012" t="str">
            <v>B</v>
          </cell>
          <cell r="H8012">
            <v>38.76</v>
          </cell>
        </row>
        <row r="8013">
          <cell r="A8013" t="str">
            <v>1;B;Z1;B;MUE15a20</v>
          </cell>
          <cell r="B8013">
            <v>730069</v>
          </cell>
          <cell r="C8013" t="str">
            <v>Z1</v>
          </cell>
          <cell r="D8013" t="str">
            <v>ZONA 1 EUROPA</v>
          </cell>
          <cell r="E8013" t="str">
            <v>B</v>
          </cell>
          <cell r="F8013" t="str">
            <v>MUE15a20</v>
          </cell>
          <cell r="G8013" t="str">
            <v>B</v>
          </cell>
          <cell r="H8013">
            <v>47.36</v>
          </cell>
        </row>
        <row r="8014">
          <cell r="A8014" t="str">
            <v>1;B;Z1;B;MUE20a25</v>
          </cell>
          <cell r="B8014">
            <v>730069</v>
          </cell>
          <cell r="C8014" t="str">
            <v>Z1</v>
          </cell>
          <cell r="D8014" t="str">
            <v>ZONA 1 EUROPA</v>
          </cell>
          <cell r="E8014" t="str">
            <v>B</v>
          </cell>
          <cell r="F8014" t="str">
            <v>MUE20a25</v>
          </cell>
          <cell r="G8014" t="str">
            <v>B</v>
          </cell>
          <cell r="H8014">
            <v>55.96</v>
          </cell>
        </row>
        <row r="8015">
          <cell r="A8015" t="str">
            <v>1;B;Z1;B;MUE25a30</v>
          </cell>
          <cell r="B8015">
            <v>730069</v>
          </cell>
          <cell r="C8015" t="str">
            <v>Z1</v>
          </cell>
          <cell r="D8015" t="str">
            <v>ZONA 1 EUROPA</v>
          </cell>
          <cell r="E8015" t="str">
            <v>B</v>
          </cell>
          <cell r="F8015" t="str">
            <v>MUE25a30</v>
          </cell>
          <cell r="G8015" t="str">
            <v>B</v>
          </cell>
          <cell r="H8015">
            <v>64.56</v>
          </cell>
        </row>
        <row r="8016">
          <cell r="A8016" t="str">
            <v>1;B;Z1;B;MUE30a35</v>
          </cell>
          <cell r="B8016">
            <v>730069</v>
          </cell>
          <cell r="C8016" t="str">
            <v>Z1</v>
          </cell>
          <cell r="D8016" t="str">
            <v>ZONA 1 EUROPA</v>
          </cell>
          <cell r="E8016" t="str">
            <v>B</v>
          </cell>
          <cell r="F8016" t="str">
            <v>MUE30a35</v>
          </cell>
          <cell r="G8016" t="str">
            <v>B</v>
          </cell>
          <cell r="H8016">
            <v>73.16</v>
          </cell>
        </row>
        <row r="8017">
          <cell r="A8017" t="str">
            <v>1;B;Z1;B;MUE35a40</v>
          </cell>
          <cell r="B8017">
            <v>730069</v>
          </cell>
          <cell r="C8017" t="str">
            <v>Z1</v>
          </cell>
          <cell r="D8017" t="str">
            <v>ZONA 1 EUROPA</v>
          </cell>
          <cell r="E8017" t="str">
            <v>B</v>
          </cell>
          <cell r="F8017" t="str">
            <v>MUE35a40</v>
          </cell>
          <cell r="G8017" t="str">
            <v>B</v>
          </cell>
          <cell r="H8017">
            <v>81.760000000000005</v>
          </cell>
        </row>
        <row r="8018">
          <cell r="A8018" t="str">
            <v>1;A;Z2;B;DOC00a01</v>
          </cell>
          <cell r="B8018">
            <v>730069</v>
          </cell>
          <cell r="C8018" t="str">
            <v>Z2</v>
          </cell>
          <cell r="D8018" t="str">
            <v>ZONA 2 EUROPA</v>
          </cell>
          <cell r="E8018" t="str">
            <v>A</v>
          </cell>
          <cell r="F8018" t="str">
            <v>DOC00a01</v>
          </cell>
          <cell r="G8018" t="str">
            <v>B</v>
          </cell>
          <cell r="H8018">
            <v>19.850000000000001</v>
          </cell>
        </row>
        <row r="8019">
          <cell r="A8019" t="str">
            <v>1;A;Z2;B;DOC01a02</v>
          </cell>
          <cell r="B8019">
            <v>730069</v>
          </cell>
          <cell r="C8019" t="str">
            <v>Z2</v>
          </cell>
          <cell r="D8019" t="str">
            <v>ZONA 2 EUROPA</v>
          </cell>
          <cell r="E8019" t="str">
            <v>A</v>
          </cell>
          <cell r="F8019" t="str">
            <v>DOC01a02</v>
          </cell>
          <cell r="G8019" t="str">
            <v>B</v>
          </cell>
          <cell r="H8019">
            <v>22.15</v>
          </cell>
        </row>
        <row r="8020">
          <cell r="A8020" t="str">
            <v>1;A;Z2;B;DOC02a05</v>
          </cell>
          <cell r="B8020">
            <v>730069</v>
          </cell>
          <cell r="C8020" t="str">
            <v>Z2</v>
          </cell>
          <cell r="D8020" t="str">
            <v>ZONA 2 EUROPA</v>
          </cell>
          <cell r="E8020" t="str">
            <v>A</v>
          </cell>
          <cell r="F8020" t="str">
            <v>DOC02a05</v>
          </cell>
          <cell r="G8020" t="str">
            <v>B</v>
          </cell>
          <cell r="H8020">
            <v>28.85</v>
          </cell>
        </row>
        <row r="8021">
          <cell r="A8021" t="str">
            <v>1;A;Z2;B;DOC05a10</v>
          </cell>
          <cell r="B8021">
            <v>730069</v>
          </cell>
          <cell r="C8021" t="str">
            <v>Z2</v>
          </cell>
          <cell r="D8021" t="str">
            <v>ZONA 2 EUROPA</v>
          </cell>
          <cell r="E8021" t="str">
            <v>A</v>
          </cell>
          <cell r="F8021" t="str">
            <v>DOC05a10</v>
          </cell>
          <cell r="G8021" t="str">
            <v>B</v>
          </cell>
          <cell r="H8021">
            <v>39.22</v>
          </cell>
        </row>
        <row r="8022">
          <cell r="A8022" t="str">
            <v>1;A;Z2;B;DOC10a15</v>
          </cell>
          <cell r="B8022">
            <v>730069</v>
          </cell>
          <cell r="C8022" t="str">
            <v>Z2</v>
          </cell>
          <cell r="D8022" t="str">
            <v>ZONA 2 EUROPA</v>
          </cell>
          <cell r="E8022" t="str">
            <v>A</v>
          </cell>
          <cell r="F8022" t="str">
            <v>DOC10a15</v>
          </cell>
          <cell r="G8022" t="str">
            <v>B</v>
          </cell>
          <cell r="H8022">
            <v>51.96</v>
          </cell>
        </row>
        <row r="8023">
          <cell r="A8023" t="str">
            <v>1;A;Z2;B;DOC15a20</v>
          </cell>
          <cell r="B8023">
            <v>730069</v>
          </cell>
          <cell r="C8023" t="str">
            <v>Z2</v>
          </cell>
          <cell r="D8023" t="str">
            <v>ZONA 2 EUROPA</v>
          </cell>
          <cell r="E8023" t="str">
            <v>A</v>
          </cell>
          <cell r="F8023" t="str">
            <v>DOC15a20</v>
          </cell>
          <cell r="G8023" t="str">
            <v>B</v>
          </cell>
          <cell r="H8023">
            <v>59.7</v>
          </cell>
        </row>
        <row r="8024">
          <cell r="A8024" t="str">
            <v>1;A;Z2;B;DOC20a25</v>
          </cell>
          <cell r="B8024">
            <v>730069</v>
          </cell>
          <cell r="C8024" t="str">
            <v>Z2</v>
          </cell>
          <cell r="D8024" t="str">
            <v>ZONA 2 EUROPA</v>
          </cell>
          <cell r="E8024" t="str">
            <v>A</v>
          </cell>
          <cell r="F8024" t="str">
            <v>DOC20a25</v>
          </cell>
          <cell r="G8024" t="str">
            <v>B</v>
          </cell>
          <cell r="H8024">
            <v>67.75</v>
          </cell>
        </row>
        <row r="8025">
          <cell r="A8025" t="str">
            <v>1;A;Z2;B;DOC25a30</v>
          </cell>
          <cell r="B8025">
            <v>730069</v>
          </cell>
          <cell r="C8025" t="str">
            <v>Z2</v>
          </cell>
          <cell r="D8025" t="str">
            <v>ZONA 2 EUROPA</v>
          </cell>
          <cell r="E8025" t="str">
            <v>A</v>
          </cell>
          <cell r="F8025" t="str">
            <v>DOC25a30</v>
          </cell>
          <cell r="G8025" t="str">
            <v>B</v>
          </cell>
          <cell r="H8025">
            <v>75.8</v>
          </cell>
        </row>
        <row r="8026">
          <cell r="A8026" t="str">
            <v>1;A;Z2;B;DOC30a35</v>
          </cell>
          <cell r="B8026">
            <v>730069</v>
          </cell>
          <cell r="C8026" t="str">
            <v>Z2</v>
          </cell>
          <cell r="D8026" t="str">
            <v>ZONA 2 EUROPA</v>
          </cell>
          <cell r="E8026" t="str">
            <v>A</v>
          </cell>
          <cell r="F8026" t="str">
            <v>DOC30a35</v>
          </cell>
          <cell r="G8026" t="str">
            <v>B</v>
          </cell>
          <cell r="H8026">
            <v>82.76</v>
          </cell>
        </row>
        <row r="8027">
          <cell r="A8027" t="str">
            <v>1;A;Z2;F;</v>
          </cell>
          <cell r="B8027">
            <v>730069</v>
          </cell>
          <cell r="C8027" t="str">
            <v>Z2</v>
          </cell>
          <cell r="D8027" t="str">
            <v>ZONA 2 EUROPA</v>
          </cell>
          <cell r="E8027" t="str">
            <v>A</v>
          </cell>
          <cell r="F8027" t="str">
            <v/>
          </cell>
          <cell r="G8027" t="str">
            <v>F</v>
          </cell>
          <cell r="H8027">
            <v>7.69</v>
          </cell>
        </row>
        <row r="8028">
          <cell r="A8028" t="str">
            <v>1;A;Z2;B;DOC35a40</v>
          </cell>
          <cell r="B8028">
            <v>730069</v>
          </cell>
          <cell r="C8028" t="str">
            <v>Z2</v>
          </cell>
          <cell r="D8028" t="str">
            <v>ZONA 2 EUROPA</v>
          </cell>
          <cell r="E8028" t="str">
            <v>A</v>
          </cell>
          <cell r="F8028" t="str">
            <v>DOC35a40</v>
          </cell>
          <cell r="G8028" t="str">
            <v>B</v>
          </cell>
          <cell r="H8028">
            <v>89.72</v>
          </cell>
        </row>
        <row r="8029">
          <cell r="A8029" t="str">
            <v>1;A;Z2;B;MUE00a01</v>
          </cell>
          <cell r="B8029">
            <v>730069</v>
          </cell>
          <cell r="C8029" t="str">
            <v>Z2</v>
          </cell>
          <cell r="D8029" t="str">
            <v>ZONA 2 EUROPA</v>
          </cell>
          <cell r="E8029" t="str">
            <v>A</v>
          </cell>
          <cell r="F8029" t="str">
            <v>MUE00a01</v>
          </cell>
          <cell r="G8029" t="str">
            <v>B</v>
          </cell>
          <cell r="H8029">
            <v>19.850000000000001</v>
          </cell>
        </row>
        <row r="8030">
          <cell r="A8030" t="str">
            <v>1;A;Z2;B;MUE01a02</v>
          </cell>
          <cell r="B8030">
            <v>730069</v>
          </cell>
          <cell r="C8030" t="str">
            <v>Z2</v>
          </cell>
          <cell r="D8030" t="str">
            <v>ZONA 2 EUROPA</v>
          </cell>
          <cell r="E8030" t="str">
            <v>A</v>
          </cell>
          <cell r="F8030" t="str">
            <v>MUE01a02</v>
          </cell>
          <cell r="G8030" t="str">
            <v>B</v>
          </cell>
          <cell r="H8030">
            <v>22.15</v>
          </cell>
        </row>
        <row r="8031">
          <cell r="A8031" t="str">
            <v>1;A;Z2;B;MUE02a05</v>
          </cell>
          <cell r="B8031">
            <v>730069</v>
          </cell>
          <cell r="C8031" t="str">
            <v>Z2</v>
          </cell>
          <cell r="D8031" t="str">
            <v>ZONA 2 EUROPA</v>
          </cell>
          <cell r="E8031" t="str">
            <v>A</v>
          </cell>
          <cell r="F8031" t="str">
            <v>MUE02a05</v>
          </cell>
          <cell r="G8031" t="str">
            <v>B</v>
          </cell>
          <cell r="H8031">
            <v>28.85</v>
          </cell>
        </row>
        <row r="8032">
          <cell r="A8032" t="str">
            <v>1;A;Z2;B;MUE05a10</v>
          </cell>
          <cell r="B8032">
            <v>730069</v>
          </cell>
          <cell r="C8032" t="str">
            <v>Z2</v>
          </cell>
          <cell r="D8032" t="str">
            <v>ZONA 2 EUROPA</v>
          </cell>
          <cell r="E8032" t="str">
            <v>A</v>
          </cell>
          <cell r="F8032" t="str">
            <v>MUE05a10</v>
          </cell>
          <cell r="G8032" t="str">
            <v>B</v>
          </cell>
          <cell r="H8032">
            <v>39.22</v>
          </cell>
        </row>
        <row r="8033">
          <cell r="A8033" t="str">
            <v>1;A;Z2;B;MUE10a15</v>
          </cell>
          <cell r="B8033">
            <v>730069</v>
          </cell>
          <cell r="C8033" t="str">
            <v>Z2</v>
          </cell>
          <cell r="D8033" t="str">
            <v>ZONA 2 EUROPA</v>
          </cell>
          <cell r="E8033" t="str">
            <v>A</v>
          </cell>
          <cell r="F8033" t="str">
            <v>MUE10a15</v>
          </cell>
          <cell r="G8033" t="str">
            <v>B</v>
          </cell>
          <cell r="H8033">
            <v>51.96</v>
          </cell>
        </row>
        <row r="8034">
          <cell r="A8034" t="str">
            <v>1;A;Z2;B;MUE15a20</v>
          </cell>
          <cell r="B8034">
            <v>730069</v>
          </cell>
          <cell r="C8034" t="str">
            <v>Z2</v>
          </cell>
          <cell r="D8034" t="str">
            <v>ZONA 2 EUROPA</v>
          </cell>
          <cell r="E8034" t="str">
            <v>A</v>
          </cell>
          <cell r="F8034" t="str">
            <v>MUE15a20</v>
          </cell>
          <cell r="G8034" t="str">
            <v>B</v>
          </cell>
          <cell r="H8034">
            <v>59.7</v>
          </cell>
        </row>
        <row r="8035">
          <cell r="A8035" t="str">
            <v>1;A;Z2;B;MUE20a25</v>
          </cell>
          <cell r="B8035">
            <v>730069</v>
          </cell>
          <cell r="C8035" t="str">
            <v>Z2</v>
          </cell>
          <cell r="D8035" t="str">
            <v>ZONA 2 EUROPA</v>
          </cell>
          <cell r="E8035" t="str">
            <v>A</v>
          </cell>
          <cell r="F8035" t="str">
            <v>MUE20a25</v>
          </cell>
          <cell r="G8035" t="str">
            <v>B</v>
          </cell>
          <cell r="H8035">
            <v>67.75</v>
          </cell>
        </row>
        <row r="8036">
          <cell r="A8036" t="str">
            <v>1;A;Z2;B;MUE25a30</v>
          </cell>
          <cell r="B8036">
            <v>730069</v>
          </cell>
          <cell r="C8036" t="str">
            <v>Z2</v>
          </cell>
          <cell r="D8036" t="str">
            <v>ZONA 2 EUROPA</v>
          </cell>
          <cell r="E8036" t="str">
            <v>A</v>
          </cell>
          <cell r="F8036" t="str">
            <v>MUE25a30</v>
          </cell>
          <cell r="G8036" t="str">
            <v>B</v>
          </cell>
          <cell r="H8036">
            <v>75.8</v>
          </cell>
        </row>
        <row r="8037">
          <cell r="A8037" t="str">
            <v>1;A;Z2;B;MUE30a35</v>
          </cell>
          <cell r="B8037">
            <v>730069</v>
          </cell>
          <cell r="C8037" t="str">
            <v>Z2</v>
          </cell>
          <cell r="D8037" t="str">
            <v>ZONA 2 EUROPA</v>
          </cell>
          <cell r="E8037" t="str">
            <v>A</v>
          </cell>
          <cell r="F8037" t="str">
            <v>MUE30a35</v>
          </cell>
          <cell r="G8037" t="str">
            <v>B</v>
          </cell>
          <cell r="H8037">
            <v>82.76</v>
          </cell>
        </row>
        <row r="8038">
          <cell r="A8038" t="str">
            <v>1;A;Z2;B;MUE35a40</v>
          </cell>
          <cell r="B8038">
            <v>730069</v>
          </cell>
          <cell r="C8038" t="str">
            <v>Z2</v>
          </cell>
          <cell r="D8038" t="str">
            <v>ZONA 2 EUROPA</v>
          </cell>
          <cell r="E8038" t="str">
            <v>A</v>
          </cell>
          <cell r="F8038" t="str">
            <v>MUE35a40</v>
          </cell>
          <cell r="G8038" t="str">
            <v>B</v>
          </cell>
          <cell r="H8038">
            <v>89.72</v>
          </cell>
        </row>
        <row r="8039">
          <cell r="A8039" t="str">
            <v>1;A;Z2;F;</v>
          </cell>
          <cell r="B8039">
            <v>730069</v>
          </cell>
          <cell r="C8039" t="str">
            <v>Z2</v>
          </cell>
          <cell r="D8039" t="str">
            <v>ZONA 2 EUROPA</v>
          </cell>
          <cell r="E8039" t="str">
            <v>A</v>
          </cell>
          <cell r="F8039" t="str">
            <v/>
          </cell>
          <cell r="G8039" t="str">
            <v>F</v>
          </cell>
          <cell r="H8039">
            <v>7.69</v>
          </cell>
        </row>
        <row r="8040">
          <cell r="A8040" t="str">
            <v>1;B;Z2;B;DOC00a01</v>
          </cell>
          <cell r="B8040">
            <v>730069</v>
          </cell>
          <cell r="C8040" t="str">
            <v>Z2</v>
          </cell>
          <cell r="D8040" t="str">
            <v>ZONA 2 EUROPA</v>
          </cell>
          <cell r="E8040" t="str">
            <v>B</v>
          </cell>
          <cell r="F8040" t="str">
            <v>DOC00a01</v>
          </cell>
          <cell r="G8040" t="str">
            <v>B</v>
          </cell>
          <cell r="H8040">
            <v>19.309999999999999</v>
          </cell>
        </row>
        <row r="8041">
          <cell r="A8041" t="str">
            <v>1;B;Z2;B;DOC01a02</v>
          </cell>
          <cell r="B8041">
            <v>730069</v>
          </cell>
          <cell r="C8041" t="str">
            <v>Z2</v>
          </cell>
          <cell r="D8041" t="str">
            <v>ZONA 2 EUROPA</v>
          </cell>
          <cell r="E8041" t="str">
            <v>B</v>
          </cell>
          <cell r="F8041" t="str">
            <v>DOC01a02</v>
          </cell>
          <cell r="G8041" t="str">
            <v>B</v>
          </cell>
          <cell r="H8041">
            <v>21.44</v>
          </cell>
        </row>
        <row r="8042">
          <cell r="A8042" t="str">
            <v>1;B;Z2;B;DOC02a05</v>
          </cell>
          <cell r="B8042">
            <v>730069</v>
          </cell>
          <cell r="C8042" t="str">
            <v>Z2</v>
          </cell>
          <cell r="D8042" t="str">
            <v>ZONA 2 EUROPA</v>
          </cell>
          <cell r="E8042" t="str">
            <v>B</v>
          </cell>
          <cell r="F8042" t="str">
            <v>DOC02a05</v>
          </cell>
          <cell r="G8042" t="str">
            <v>B</v>
          </cell>
          <cell r="H8042">
            <v>26.72</v>
          </cell>
        </row>
        <row r="8043">
          <cell r="A8043" t="str">
            <v>1;B;Z2;B;DOC05a10</v>
          </cell>
          <cell r="B8043">
            <v>730069</v>
          </cell>
          <cell r="C8043" t="str">
            <v>Z2</v>
          </cell>
          <cell r="D8043" t="str">
            <v>ZONA 2 EUROPA</v>
          </cell>
          <cell r="E8043" t="str">
            <v>B</v>
          </cell>
          <cell r="F8043" t="str">
            <v>DOC05a10</v>
          </cell>
          <cell r="G8043" t="str">
            <v>B</v>
          </cell>
          <cell r="H8043">
            <v>34.270000000000003</v>
          </cell>
        </row>
        <row r="8044">
          <cell r="A8044" t="str">
            <v>1;B;Z2;B;DOC10a15</v>
          </cell>
          <cell r="B8044">
            <v>730069</v>
          </cell>
          <cell r="C8044" t="str">
            <v>Z2</v>
          </cell>
          <cell r="D8044" t="str">
            <v>ZONA 2 EUROPA</v>
          </cell>
          <cell r="E8044" t="str">
            <v>B</v>
          </cell>
          <cell r="F8044" t="str">
            <v>DOC10a15</v>
          </cell>
          <cell r="G8044" t="str">
            <v>B</v>
          </cell>
          <cell r="H8044">
            <v>45.99</v>
          </cell>
        </row>
        <row r="8045">
          <cell r="A8045" t="str">
            <v>1;B;Z2;B;DOC15a20</v>
          </cell>
          <cell r="B8045">
            <v>730069</v>
          </cell>
          <cell r="C8045" t="str">
            <v>Z2</v>
          </cell>
          <cell r="D8045" t="str">
            <v>ZONA 2 EUROPA</v>
          </cell>
          <cell r="E8045" t="str">
            <v>B</v>
          </cell>
          <cell r="F8045" t="str">
            <v>DOC15a20</v>
          </cell>
          <cell r="G8045" t="str">
            <v>B</v>
          </cell>
          <cell r="H8045">
            <v>56.27</v>
          </cell>
        </row>
        <row r="8046">
          <cell r="A8046" t="str">
            <v>1;B;Z2;B;DOC20a25</v>
          </cell>
          <cell r="B8046">
            <v>730069</v>
          </cell>
          <cell r="C8046" t="str">
            <v>Z2</v>
          </cell>
          <cell r="D8046" t="str">
            <v>ZONA 2 EUROPA</v>
          </cell>
          <cell r="E8046" t="str">
            <v>B</v>
          </cell>
          <cell r="F8046" t="str">
            <v>DOC20a25</v>
          </cell>
          <cell r="G8046" t="str">
            <v>B</v>
          </cell>
          <cell r="H8046">
            <v>64.88</v>
          </cell>
        </row>
        <row r="8047">
          <cell r="A8047" t="str">
            <v>1;B;Z2;B;DOC25a30</v>
          </cell>
          <cell r="B8047">
            <v>730069</v>
          </cell>
          <cell r="C8047" t="str">
            <v>Z2</v>
          </cell>
          <cell r="D8047" t="str">
            <v>ZONA 2 EUROPA</v>
          </cell>
          <cell r="E8047" t="str">
            <v>B</v>
          </cell>
          <cell r="F8047" t="str">
            <v>DOC25a30</v>
          </cell>
          <cell r="G8047" t="str">
            <v>B</v>
          </cell>
          <cell r="H8047">
            <v>75.17</v>
          </cell>
        </row>
        <row r="8048">
          <cell r="A8048" t="str">
            <v>1;B;Z2;B;DOC30a35</v>
          </cell>
          <cell r="B8048">
            <v>730069</v>
          </cell>
          <cell r="C8048" t="str">
            <v>Z2</v>
          </cell>
          <cell r="D8048" t="str">
            <v>ZONA 2 EUROPA</v>
          </cell>
          <cell r="E8048" t="str">
            <v>B</v>
          </cell>
          <cell r="F8048" t="str">
            <v>DOC30a35</v>
          </cell>
          <cell r="G8048" t="str">
            <v>B</v>
          </cell>
          <cell r="H8048">
            <v>85.46</v>
          </cell>
        </row>
        <row r="8049">
          <cell r="A8049" t="str">
            <v>1;B;Z2;B;DOC35a40</v>
          </cell>
          <cell r="B8049">
            <v>730069</v>
          </cell>
          <cell r="C8049" t="str">
            <v>Z2</v>
          </cell>
          <cell r="D8049" t="str">
            <v>ZONA 2 EUROPA</v>
          </cell>
          <cell r="E8049" t="str">
            <v>B</v>
          </cell>
          <cell r="F8049" t="str">
            <v>DOC35a40</v>
          </cell>
          <cell r="G8049" t="str">
            <v>B</v>
          </cell>
          <cell r="H8049">
            <v>95.75</v>
          </cell>
        </row>
        <row r="8050">
          <cell r="A8050" t="str">
            <v>1;B;Z2;B;MUE00a01</v>
          </cell>
          <cell r="B8050">
            <v>730069</v>
          </cell>
          <cell r="C8050" t="str">
            <v>Z2</v>
          </cell>
          <cell r="D8050" t="str">
            <v>ZONA 2 EUROPA</v>
          </cell>
          <cell r="E8050" t="str">
            <v>B</v>
          </cell>
          <cell r="F8050" t="str">
            <v>MUE00a01</v>
          </cell>
          <cell r="G8050" t="str">
            <v>B</v>
          </cell>
          <cell r="H8050">
            <v>19.309999999999999</v>
          </cell>
        </row>
        <row r="8051">
          <cell r="A8051" t="str">
            <v>1;B;Z2;B;MUE01a02</v>
          </cell>
          <cell r="B8051">
            <v>730069</v>
          </cell>
          <cell r="C8051" t="str">
            <v>Z2</v>
          </cell>
          <cell r="D8051" t="str">
            <v>ZONA 2 EUROPA</v>
          </cell>
          <cell r="E8051" t="str">
            <v>B</v>
          </cell>
          <cell r="F8051" t="str">
            <v>MUE01a02</v>
          </cell>
          <cell r="G8051" t="str">
            <v>B</v>
          </cell>
          <cell r="H8051">
            <v>21.44</v>
          </cell>
        </row>
        <row r="8052">
          <cell r="A8052" t="str">
            <v>1;B;Z2;B;MUE02a05</v>
          </cell>
          <cell r="B8052">
            <v>730069</v>
          </cell>
          <cell r="C8052" t="str">
            <v>Z2</v>
          </cell>
          <cell r="D8052" t="str">
            <v>ZONA 2 EUROPA</v>
          </cell>
          <cell r="E8052" t="str">
            <v>B</v>
          </cell>
          <cell r="F8052" t="str">
            <v>MUE02a05</v>
          </cell>
          <cell r="G8052" t="str">
            <v>B</v>
          </cell>
          <cell r="H8052">
            <v>26.72</v>
          </cell>
        </row>
        <row r="8053">
          <cell r="A8053" t="str">
            <v>1;B;Z2;B;MUE05a10</v>
          </cell>
          <cell r="B8053">
            <v>730069</v>
          </cell>
          <cell r="C8053" t="str">
            <v>Z2</v>
          </cell>
          <cell r="D8053" t="str">
            <v>ZONA 2 EUROPA</v>
          </cell>
          <cell r="E8053" t="str">
            <v>B</v>
          </cell>
          <cell r="F8053" t="str">
            <v>MUE05a10</v>
          </cell>
          <cell r="G8053" t="str">
            <v>B</v>
          </cell>
          <cell r="H8053">
            <v>34.270000000000003</v>
          </cell>
        </row>
        <row r="8054">
          <cell r="A8054" t="str">
            <v>1;B;Z2;B;MUE10a15</v>
          </cell>
          <cell r="B8054">
            <v>730069</v>
          </cell>
          <cell r="C8054" t="str">
            <v>Z2</v>
          </cell>
          <cell r="D8054" t="str">
            <v>ZONA 2 EUROPA</v>
          </cell>
          <cell r="E8054" t="str">
            <v>B</v>
          </cell>
          <cell r="F8054" t="str">
            <v>MUE10a15</v>
          </cell>
          <cell r="G8054" t="str">
            <v>B</v>
          </cell>
          <cell r="H8054">
            <v>45.99</v>
          </cell>
        </row>
        <row r="8055">
          <cell r="A8055" t="str">
            <v>1;B;Z2;B;MUE15a20</v>
          </cell>
          <cell r="B8055">
            <v>730069</v>
          </cell>
          <cell r="C8055" t="str">
            <v>Z2</v>
          </cell>
          <cell r="D8055" t="str">
            <v>ZONA 2 EUROPA</v>
          </cell>
          <cell r="E8055" t="str">
            <v>B</v>
          </cell>
          <cell r="F8055" t="str">
            <v>MUE15a20</v>
          </cell>
          <cell r="G8055" t="str">
            <v>B</v>
          </cell>
          <cell r="H8055">
            <v>56.27</v>
          </cell>
        </row>
        <row r="8056">
          <cell r="A8056" t="str">
            <v>1;B;Z2;B;MUE20a25</v>
          </cell>
          <cell r="B8056">
            <v>730069</v>
          </cell>
          <cell r="C8056" t="str">
            <v>Z2</v>
          </cell>
          <cell r="D8056" t="str">
            <v>ZONA 2 EUROPA</v>
          </cell>
          <cell r="E8056" t="str">
            <v>B</v>
          </cell>
          <cell r="F8056" t="str">
            <v>MUE20a25</v>
          </cell>
          <cell r="G8056" t="str">
            <v>B</v>
          </cell>
          <cell r="H8056">
            <v>64.88</v>
          </cell>
        </row>
        <row r="8057">
          <cell r="A8057" t="str">
            <v>1;B;Z2;B;MUE25a30</v>
          </cell>
          <cell r="B8057">
            <v>730069</v>
          </cell>
          <cell r="C8057" t="str">
            <v>Z2</v>
          </cell>
          <cell r="D8057" t="str">
            <v>ZONA 2 EUROPA</v>
          </cell>
          <cell r="E8057" t="str">
            <v>B</v>
          </cell>
          <cell r="F8057" t="str">
            <v>MUE25a30</v>
          </cell>
          <cell r="G8057" t="str">
            <v>B</v>
          </cell>
          <cell r="H8057">
            <v>75.17</v>
          </cell>
        </row>
        <row r="8058">
          <cell r="A8058" t="str">
            <v>1;B;Z2;B;MUE30a35</v>
          </cell>
          <cell r="B8058">
            <v>730069</v>
          </cell>
          <cell r="C8058" t="str">
            <v>Z2</v>
          </cell>
          <cell r="D8058" t="str">
            <v>ZONA 2 EUROPA</v>
          </cell>
          <cell r="E8058" t="str">
            <v>B</v>
          </cell>
          <cell r="F8058" t="str">
            <v>MUE30a35</v>
          </cell>
          <cell r="G8058" t="str">
            <v>B</v>
          </cell>
          <cell r="H8058">
            <v>85.46</v>
          </cell>
        </row>
        <row r="8059">
          <cell r="A8059" t="str">
            <v>1;B;Z2;B;MUE35a40</v>
          </cell>
          <cell r="B8059">
            <v>730069</v>
          </cell>
          <cell r="C8059" t="str">
            <v>Z2</v>
          </cell>
          <cell r="D8059" t="str">
            <v>ZONA 2 EUROPA</v>
          </cell>
          <cell r="E8059" t="str">
            <v>B</v>
          </cell>
          <cell r="F8059" t="str">
            <v>MUE35a40</v>
          </cell>
          <cell r="G8059" t="str">
            <v>B</v>
          </cell>
          <cell r="H8059">
            <v>95.75</v>
          </cell>
        </row>
        <row r="8060">
          <cell r="A8060" t="str">
            <v>1;A;Z3;B;DOC00a01</v>
          </cell>
          <cell r="B8060">
            <v>730069</v>
          </cell>
          <cell r="C8060" t="str">
            <v>Z3</v>
          </cell>
          <cell r="D8060" t="str">
            <v>ZONA 3 EUROPA</v>
          </cell>
          <cell r="E8060" t="str">
            <v>A</v>
          </cell>
          <cell r="F8060" t="str">
            <v>DOC00a01</v>
          </cell>
          <cell r="G8060" t="str">
            <v>B</v>
          </cell>
          <cell r="H8060">
            <v>29.95</v>
          </cell>
        </row>
        <row r="8061">
          <cell r="A8061" t="str">
            <v>1;A;Z3;B;DOC01a02</v>
          </cell>
          <cell r="B8061">
            <v>730069</v>
          </cell>
          <cell r="C8061" t="str">
            <v>Z3</v>
          </cell>
          <cell r="D8061" t="str">
            <v>ZONA 3 EUROPA</v>
          </cell>
          <cell r="E8061" t="str">
            <v>A</v>
          </cell>
          <cell r="F8061" t="str">
            <v>DOC01a02</v>
          </cell>
          <cell r="G8061" t="str">
            <v>B</v>
          </cell>
          <cell r="H8061">
            <v>31.16</v>
          </cell>
        </row>
        <row r="8062">
          <cell r="A8062" t="str">
            <v>1;A;Z3;B;DOC02a05</v>
          </cell>
          <cell r="B8062">
            <v>730069</v>
          </cell>
          <cell r="C8062" t="str">
            <v>Z3</v>
          </cell>
          <cell r="D8062" t="str">
            <v>ZONA 3 EUROPA</v>
          </cell>
          <cell r="E8062" t="str">
            <v>A</v>
          </cell>
          <cell r="F8062" t="str">
            <v>DOC02a05</v>
          </cell>
          <cell r="G8062" t="str">
            <v>B</v>
          </cell>
          <cell r="H8062">
            <v>39.83</v>
          </cell>
        </row>
        <row r="8063">
          <cell r="A8063" t="str">
            <v>1;A;Z3;B;DOC05a10</v>
          </cell>
          <cell r="B8063">
            <v>730069</v>
          </cell>
          <cell r="C8063" t="str">
            <v>Z3</v>
          </cell>
          <cell r="D8063" t="str">
            <v>ZONA 3 EUROPA</v>
          </cell>
          <cell r="E8063" t="str">
            <v>A</v>
          </cell>
          <cell r="F8063" t="str">
            <v>DOC05a10</v>
          </cell>
          <cell r="G8063" t="str">
            <v>B</v>
          </cell>
          <cell r="H8063">
            <v>50.73</v>
          </cell>
        </row>
        <row r="8064">
          <cell r="A8064" t="str">
            <v>1;A;Z3;B;DOC10a15</v>
          </cell>
          <cell r="B8064">
            <v>730069</v>
          </cell>
          <cell r="C8064" t="str">
            <v>Z3</v>
          </cell>
          <cell r="D8064" t="str">
            <v>ZONA 3 EUROPA</v>
          </cell>
          <cell r="E8064" t="str">
            <v>A</v>
          </cell>
          <cell r="F8064" t="str">
            <v>DOC10a15</v>
          </cell>
          <cell r="G8064" t="str">
            <v>B</v>
          </cell>
          <cell r="H8064">
            <v>55.01</v>
          </cell>
        </row>
        <row r="8065">
          <cell r="A8065" t="str">
            <v>1;A;Z3;B;DOC15a20</v>
          </cell>
          <cell r="B8065">
            <v>730069</v>
          </cell>
          <cell r="C8065" t="str">
            <v>Z3</v>
          </cell>
          <cell r="D8065" t="str">
            <v>ZONA 3 EUROPA</v>
          </cell>
          <cell r="E8065" t="str">
            <v>A</v>
          </cell>
          <cell r="F8065" t="str">
            <v>DOC15a20</v>
          </cell>
          <cell r="G8065" t="str">
            <v>B</v>
          </cell>
          <cell r="H8065">
            <v>64.02</v>
          </cell>
        </row>
        <row r="8066">
          <cell r="A8066" t="str">
            <v>1;A;Z3;B;DOC20a25</v>
          </cell>
          <cell r="B8066">
            <v>730069</v>
          </cell>
          <cell r="C8066" t="str">
            <v>Z3</v>
          </cell>
          <cell r="D8066" t="str">
            <v>ZONA 3 EUROPA</v>
          </cell>
          <cell r="E8066" t="str">
            <v>A</v>
          </cell>
          <cell r="F8066" t="str">
            <v>DOC20a25</v>
          </cell>
          <cell r="G8066" t="str">
            <v>B</v>
          </cell>
          <cell r="H8066">
            <v>70.47</v>
          </cell>
        </row>
        <row r="8067">
          <cell r="A8067" t="str">
            <v>1;A;Z3;B;DOC25a30</v>
          </cell>
          <cell r="B8067">
            <v>730069</v>
          </cell>
          <cell r="C8067" t="str">
            <v>Z3</v>
          </cell>
          <cell r="D8067" t="str">
            <v>ZONA 3 EUROPA</v>
          </cell>
          <cell r="E8067" t="str">
            <v>A</v>
          </cell>
          <cell r="F8067" t="str">
            <v>DOC25a30</v>
          </cell>
          <cell r="G8067" t="str">
            <v>B</v>
          </cell>
          <cell r="H8067">
            <v>76.94</v>
          </cell>
        </row>
        <row r="8068">
          <cell r="A8068" t="str">
            <v>1;A;Z3;B;DOC30a35</v>
          </cell>
          <cell r="B8068">
            <v>730069</v>
          </cell>
          <cell r="C8068" t="str">
            <v>Z3</v>
          </cell>
          <cell r="D8068" t="str">
            <v>ZONA 3 EUROPA</v>
          </cell>
          <cell r="E8068" t="str">
            <v>A</v>
          </cell>
          <cell r="F8068" t="str">
            <v>DOC30a35</v>
          </cell>
          <cell r="G8068" t="str">
            <v>B</v>
          </cell>
          <cell r="H8068">
            <v>89.09</v>
          </cell>
        </row>
        <row r="8069">
          <cell r="A8069" t="str">
            <v>1;A;Z3;B;DOC35a40</v>
          </cell>
          <cell r="B8069">
            <v>730069</v>
          </cell>
          <cell r="C8069" t="str">
            <v>Z3</v>
          </cell>
          <cell r="D8069" t="str">
            <v>ZONA 3 EUROPA</v>
          </cell>
          <cell r="E8069" t="str">
            <v>A</v>
          </cell>
          <cell r="F8069" t="str">
            <v>DOC35a40</v>
          </cell>
          <cell r="G8069" t="str">
            <v>B</v>
          </cell>
          <cell r="H8069">
            <v>101.8</v>
          </cell>
        </row>
        <row r="8070">
          <cell r="A8070" t="str">
            <v>1;A;Z3;F;</v>
          </cell>
          <cell r="B8070">
            <v>730069</v>
          </cell>
          <cell r="C8070" t="str">
            <v>Z3</v>
          </cell>
          <cell r="D8070" t="str">
            <v>ZONA 3 EUROPA</v>
          </cell>
          <cell r="E8070" t="str">
            <v>A</v>
          </cell>
          <cell r="F8070" t="str">
            <v/>
          </cell>
          <cell r="G8070" t="str">
            <v>F</v>
          </cell>
          <cell r="H8070">
            <v>12.28</v>
          </cell>
        </row>
        <row r="8071">
          <cell r="A8071" t="str">
            <v>1;A;Z3;B;MUE00a01</v>
          </cell>
          <cell r="B8071">
            <v>730069</v>
          </cell>
          <cell r="C8071" t="str">
            <v>Z3</v>
          </cell>
          <cell r="D8071" t="str">
            <v>ZONA 3 EUROPA</v>
          </cell>
          <cell r="E8071" t="str">
            <v>A</v>
          </cell>
          <cell r="F8071" t="str">
            <v>MUE00a01</v>
          </cell>
          <cell r="G8071" t="str">
            <v>B</v>
          </cell>
          <cell r="H8071">
            <v>29.95</v>
          </cell>
        </row>
        <row r="8072">
          <cell r="A8072" t="str">
            <v>1;A;Z3;B;MUE01a02</v>
          </cell>
          <cell r="B8072">
            <v>730069</v>
          </cell>
          <cell r="C8072" t="str">
            <v>Z3</v>
          </cell>
          <cell r="D8072" t="str">
            <v>ZONA 3 EUROPA</v>
          </cell>
          <cell r="E8072" t="str">
            <v>A</v>
          </cell>
          <cell r="F8072" t="str">
            <v>MUE01a02</v>
          </cell>
          <cell r="G8072" t="str">
            <v>B</v>
          </cell>
          <cell r="H8072">
            <v>31.16</v>
          </cell>
        </row>
        <row r="8073">
          <cell r="A8073" t="str">
            <v>1;A;Z3;B;MUE02a05</v>
          </cell>
          <cell r="B8073">
            <v>730069</v>
          </cell>
          <cell r="C8073" t="str">
            <v>Z3</v>
          </cell>
          <cell r="D8073" t="str">
            <v>ZONA 3 EUROPA</v>
          </cell>
          <cell r="E8073" t="str">
            <v>A</v>
          </cell>
          <cell r="F8073" t="str">
            <v>MUE02a05</v>
          </cell>
          <cell r="G8073" t="str">
            <v>B</v>
          </cell>
          <cell r="H8073">
            <v>39.83</v>
          </cell>
        </row>
        <row r="8074">
          <cell r="A8074" t="str">
            <v>1;A;Z3;B;MUE05a10</v>
          </cell>
          <cell r="B8074">
            <v>730069</v>
          </cell>
          <cell r="C8074" t="str">
            <v>Z3</v>
          </cell>
          <cell r="D8074" t="str">
            <v>ZONA 3 EUROPA</v>
          </cell>
          <cell r="E8074" t="str">
            <v>A</v>
          </cell>
          <cell r="F8074" t="str">
            <v>MUE05a10</v>
          </cell>
          <cell r="G8074" t="str">
            <v>B</v>
          </cell>
          <cell r="H8074">
            <v>50.73</v>
          </cell>
        </row>
        <row r="8075">
          <cell r="A8075" t="str">
            <v>1;A;Z3;B;MUE10a15</v>
          </cell>
          <cell r="B8075">
            <v>730069</v>
          </cell>
          <cell r="C8075" t="str">
            <v>Z3</v>
          </cell>
          <cell r="D8075" t="str">
            <v>ZONA 3 EUROPA</v>
          </cell>
          <cell r="E8075" t="str">
            <v>A</v>
          </cell>
          <cell r="F8075" t="str">
            <v>MUE10a15</v>
          </cell>
          <cell r="G8075" t="str">
            <v>B</v>
          </cell>
          <cell r="H8075">
            <v>55.01</v>
          </cell>
        </row>
        <row r="8076">
          <cell r="A8076" t="str">
            <v>1;A;Z3;B;MUE15a20</v>
          </cell>
          <cell r="B8076">
            <v>730069</v>
          </cell>
          <cell r="C8076" t="str">
            <v>Z3</v>
          </cell>
          <cell r="D8076" t="str">
            <v>ZONA 3 EUROPA</v>
          </cell>
          <cell r="E8076" t="str">
            <v>A</v>
          </cell>
          <cell r="F8076" t="str">
            <v>MUE15a20</v>
          </cell>
          <cell r="G8076" t="str">
            <v>B</v>
          </cell>
          <cell r="H8076">
            <v>64.02</v>
          </cell>
        </row>
        <row r="8077">
          <cell r="A8077" t="str">
            <v>1;A;Z3;B;MUE20a25</v>
          </cell>
          <cell r="B8077">
            <v>730069</v>
          </cell>
          <cell r="C8077" t="str">
            <v>Z3</v>
          </cell>
          <cell r="D8077" t="str">
            <v>ZONA 3 EUROPA</v>
          </cell>
          <cell r="E8077" t="str">
            <v>A</v>
          </cell>
          <cell r="F8077" t="str">
            <v>MUE20a25</v>
          </cell>
          <cell r="G8077" t="str">
            <v>B</v>
          </cell>
          <cell r="H8077">
            <v>70.47</v>
          </cell>
        </row>
        <row r="8078">
          <cell r="A8078" t="str">
            <v>1;A;Z3;B;MUE25a30</v>
          </cell>
          <cell r="B8078">
            <v>730069</v>
          </cell>
          <cell r="C8078" t="str">
            <v>Z3</v>
          </cell>
          <cell r="D8078" t="str">
            <v>ZONA 3 EUROPA</v>
          </cell>
          <cell r="E8078" t="str">
            <v>A</v>
          </cell>
          <cell r="F8078" t="str">
            <v>MUE25a30</v>
          </cell>
          <cell r="G8078" t="str">
            <v>B</v>
          </cell>
          <cell r="H8078">
            <v>76.94</v>
          </cell>
        </row>
        <row r="8079">
          <cell r="A8079" t="str">
            <v>1;A;Z3;B;MUE30a35</v>
          </cell>
          <cell r="B8079">
            <v>730069</v>
          </cell>
          <cell r="C8079" t="str">
            <v>Z3</v>
          </cell>
          <cell r="D8079" t="str">
            <v>ZONA 3 EUROPA</v>
          </cell>
          <cell r="E8079" t="str">
            <v>A</v>
          </cell>
          <cell r="F8079" t="str">
            <v>MUE30a35</v>
          </cell>
          <cell r="G8079" t="str">
            <v>B</v>
          </cell>
          <cell r="H8079">
            <v>89.09</v>
          </cell>
        </row>
        <row r="8080">
          <cell r="A8080" t="str">
            <v>1;A;Z3;B;MUE35a40</v>
          </cell>
          <cell r="B8080">
            <v>730069</v>
          </cell>
          <cell r="C8080" t="str">
            <v>Z3</v>
          </cell>
          <cell r="D8080" t="str">
            <v>ZONA 3 EUROPA</v>
          </cell>
          <cell r="E8080" t="str">
            <v>A</v>
          </cell>
          <cell r="F8080" t="str">
            <v>MUE35a40</v>
          </cell>
          <cell r="G8080" t="str">
            <v>B</v>
          </cell>
          <cell r="H8080">
            <v>101.8</v>
          </cell>
        </row>
        <row r="8081">
          <cell r="A8081" t="str">
            <v>1;A;Z3;F;</v>
          </cell>
          <cell r="B8081">
            <v>730069</v>
          </cell>
          <cell r="C8081" t="str">
            <v>Z3</v>
          </cell>
          <cell r="D8081" t="str">
            <v>ZONA 3 EUROPA</v>
          </cell>
          <cell r="E8081" t="str">
            <v>A</v>
          </cell>
          <cell r="F8081" t="str">
            <v/>
          </cell>
          <cell r="G8081" t="str">
            <v>F</v>
          </cell>
          <cell r="H8081">
            <v>12.28</v>
          </cell>
        </row>
        <row r="8082">
          <cell r="A8082" t="str">
            <v>1;B;Z3;B;DOC00a01</v>
          </cell>
          <cell r="B8082">
            <v>730069</v>
          </cell>
          <cell r="C8082" t="str">
            <v>Z3</v>
          </cell>
          <cell r="D8082" t="str">
            <v>ZONA 3 EUROPA</v>
          </cell>
          <cell r="E8082" t="str">
            <v>B</v>
          </cell>
          <cell r="F8082" t="str">
            <v>DOC00a01</v>
          </cell>
          <cell r="G8082" t="str">
            <v>B</v>
          </cell>
          <cell r="H8082">
            <v>24.94</v>
          </cell>
        </row>
        <row r="8083">
          <cell r="A8083" t="str">
            <v>1;B;Z3;B;DOC01a02</v>
          </cell>
          <cell r="B8083">
            <v>730069</v>
          </cell>
          <cell r="C8083" t="str">
            <v>Z3</v>
          </cell>
          <cell r="D8083" t="str">
            <v>ZONA 3 EUROPA</v>
          </cell>
          <cell r="E8083" t="str">
            <v>B</v>
          </cell>
          <cell r="F8083" t="str">
            <v>DOC01a02</v>
          </cell>
          <cell r="G8083" t="str">
            <v>B</v>
          </cell>
          <cell r="H8083">
            <v>25.82</v>
          </cell>
        </row>
        <row r="8084">
          <cell r="A8084" t="str">
            <v>1;B;Z3;B;DOC02a05</v>
          </cell>
          <cell r="B8084">
            <v>730069</v>
          </cell>
          <cell r="C8084" t="str">
            <v>Z3</v>
          </cell>
          <cell r="D8084" t="str">
            <v>ZONA 3 EUROPA</v>
          </cell>
          <cell r="E8084" t="str">
            <v>B</v>
          </cell>
          <cell r="F8084" t="str">
            <v>DOC02a05</v>
          </cell>
          <cell r="G8084" t="str">
            <v>B</v>
          </cell>
          <cell r="H8084">
            <v>32.35</v>
          </cell>
        </row>
        <row r="8085">
          <cell r="A8085" t="str">
            <v>1;B;Z3;B;DOC05a10</v>
          </cell>
          <cell r="B8085">
            <v>730069</v>
          </cell>
          <cell r="C8085" t="str">
            <v>Z3</v>
          </cell>
          <cell r="D8085" t="str">
            <v>ZONA 3 EUROPA</v>
          </cell>
          <cell r="E8085" t="str">
            <v>B</v>
          </cell>
          <cell r="F8085" t="str">
            <v>DOC05a10</v>
          </cell>
          <cell r="G8085" t="str">
            <v>B</v>
          </cell>
          <cell r="H8085">
            <v>40.54</v>
          </cell>
        </row>
        <row r="8086">
          <cell r="A8086" t="str">
            <v>1;B;Z3;B;DOC10a15</v>
          </cell>
          <cell r="B8086">
            <v>730069</v>
          </cell>
          <cell r="C8086" t="str">
            <v>Z3</v>
          </cell>
          <cell r="D8086" t="str">
            <v>ZONA 3 EUROPA</v>
          </cell>
          <cell r="E8086" t="str">
            <v>B</v>
          </cell>
          <cell r="F8086" t="str">
            <v>DOC10a15</v>
          </cell>
          <cell r="G8086" t="str">
            <v>B</v>
          </cell>
          <cell r="H8086">
            <v>52.24</v>
          </cell>
        </row>
        <row r="8087">
          <cell r="A8087" t="str">
            <v>1;B;Z3;B;DOC15a20</v>
          </cell>
          <cell r="B8087">
            <v>730069</v>
          </cell>
          <cell r="C8087" t="str">
            <v>Z3</v>
          </cell>
          <cell r="D8087" t="str">
            <v>ZONA 3 EUROPA</v>
          </cell>
          <cell r="E8087" t="str">
            <v>B</v>
          </cell>
          <cell r="F8087" t="str">
            <v>DOC15a20</v>
          </cell>
          <cell r="G8087" t="str">
            <v>B</v>
          </cell>
          <cell r="H8087">
            <v>62.52</v>
          </cell>
        </row>
        <row r="8088">
          <cell r="A8088" t="str">
            <v>1;B;Z3;B;DOC20a25</v>
          </cell>
          <cell r="B8088">
            <v>730069</v>
          </cell>
          <cell r="C8088" t="str">
            <v>Z3</v>
          </cell>
          <cell r="D8088" t="str">
            <v>ZONA 3 EUROPA</v>
          </cell>
          <cell r="E8088" t="str">
            <v>B</v>
          </cell>
          <cell r="F8088" t="str">
            <v>DOC20a25</v>
          </cell>
          <cell r="G8088" t="str">
            <v>B</v>
          </cell>
          <cell r="H8088">
            <v>72.81</v>
          </cell>
        </row>
        <row r="8089">
          <cell r="A8089" t="str">
            <v>1;B;Z3;B;DOC25a30</v>
          </cell>
          <cell r="B8089">
            <v>730069</v>
          </cell>
          <cell r="C8089" t="str">
            <v>Z3</v>
          </cell>
          <cell r="D8089" t="str">
            <v>ZONA 3 EUROPA</v>
          </cell>
          <cell r="E8089" t="str">
            <v>B</v>
          </cell>
          <cell r="F8089" t="str">
            <v>DOC25a30</v>
          </cell>
          <cell r="G8089" t="str">
            <v>B</v>
          </cell>
          <cell r="H8089">
            <v>83.1</v>
          </cell>
        </row>
        <row r="8090">
          <cell r="A8090" t="str">
            <v>1;B;Z3;B;DOC30a35</v>
          </cell>
          <cell r="B8090">
            <v>730069</v>
          </cell>
          <cell r="C8090" t="str">
            <v>Z3</v>
          </cell>
          <cell r="D8090" t="str">
            <v>ZONA 3 EUROPA</v>
          </cell>
          <cell r="E8090" t="str">
            <v>B</v>
          </cell>
          <cell r="F8090" t="str">
            <v>DOC30a35</v>
          </cell>
          <cell r="G8090" t="str">
            <v>B</v>
          </cell>
          <cell r="H8090">
            <v>93.38</v>
          </cell>
        </row>
        <row r="8091">
          <cell r="A8091" t="str">
            <v>1;B;Z3;B;DOC35a40</v>
          </cell>
          <cell r="B8091">
            <v>730069</v>
          </cell>
          <cell r="C8091" t="str">
            <v>Z3</v>
          </cell>
          <cell r="D8091" t="str">
            <v>ZONA 3 EUROPA</v>
          </cell>
          <cell r="E8091" t="str">
            <v>B</v>
          </cell>
          <cell r="F8091" t="str">
            <v>DOC35a40</v>
          </cell>
          <cell r="G8091" t="str">
            <v>B</v>
          </cell>
          <cell r="H8091">
            <v>103.66</v>
          </cell>
        </row>
        <row r="8092">
          <cell r="A8092" t="str">
            <v>1;B;Z3;B;MUE00a01</v>
          </cell>
          <cell r="B8092">
            <v>730069</v>
          </cell>
          <cell r="C8092" t="str">
            <v>Z3</v>
          </cell>
          <cell r="D8092" t="str">
            <v>ZONA 3 EUROPA</v>
          </cell>
          <cell r="E8092" t="str">
            <v>B</v>
          </cell>
          <cell r="F8092" t="str">
            <v>MUE00a01</v>
          </cell>
          <cell r="G8092" t="str">
            <v>B</v>
          </cell>
          <cell r="H8092">
            <v>24.94</v>
          </cell>
        </row>
        <row r="8093">
          <cell r="A8093" t="str">
            <v>1;B;Z3;B;MUE01a02</v>
          </cell>
          <cell r="B8093">
            <v>730069</v>
          </cell>
          <cell r="C8093" t="str">
            <v>Z3</v>
          </cell>
          <cell r="D8093" t="str">
            <v>ZONA 3 EUROPA</v>
          </cell>
          <cell r="E8093" t="str">
            <v>B</v>
          </cell>
          <cell r="F8093" t="str">
            <v>MUE01a02</v>
          </cell>
          <cell r="G8093" t="str">
            <v>B</v>
          </cell>
          <cell r="H8093">
            <v>25.82</v>
          </cell>
        </row>
        <row r="8094">
          <cell r="A8094" t="str">
            <v>1;B;Z3;B;MUE02a05</v>
          </cell>
          <cell r="B8094">
            <v>730069</v>
          </cell>
          <cell r="C8094" t="str">
            <v>Z3</v>
          </cell>
          <cell r="D8094" t="str">
            <v>ZONA 3 EUROPA</v>
          </cell>
          <cell r="E8094" t="str">
            <v>B</v>
          </cell>
          <cell r="F8094" t="str">
            <v>MUE02a05</v>
          </cell>
          <cell r="G8094" t="str">
            <v>B</v>
          </cell>
          <cell r="H8094">
            <v>32.35</v>
          </cell>
        </row>
        <row r="8095">
          <cell r="A8095" t="str">
            <v>1;B;Z3;B;MUE05a10</v>
          </cell>
          <cell r="B8095">
            <v>730069</v>
          </cell>
          <cell r="C8095" t="str">
            <v>Z3</v>
          </cell>
          <cell r="D8095" t="str">
            <v>ZONA 3 EUROPA</v>
          </cell>
          <cell r="E8095" t="str">
            <v>B</v>
          </cell>
          <cell r="F8095" t="str">
            <v>MUE05a10</v>
          </cell>
          <cell r="G8095" t="str">
            <v>B</v>
          </cell>
          <cell r="H8095">
            <v>40.54</v>
          </cell>
        </row>
        <row r="8096">
          <cell r="A8096" t="str">
            <v>1;B;Z3;B;MUE10a15</v>
          </cell>
          <cell r="B8096">
            <v>730069</v>
          </cell>
          <cell r="C8096" t="str">
            <v>Z3</v>
          </cell>
          <cell r="D8096" t="str">
            <v>ZONA 3 EUROPA</v>
          </cell>
          <cell r="E8096" t="str">
            <v>B</v>
          </cell>
          <cell r="F8096" t="str">
            <v>MUE10a15</v>
          </cell>
          <cell r="G8096" t="str">
            <v>B</v>
          </cell>
          <cell r="H8096">
            <v>52.24</v>
          </cell>
        </row>
        <row r="8097">
          <cell r="A8097" t="str">
            <v>1;B;Z3;B;MUE15a20</v>
          </cell>
          <cell r="B8097">
            <v>730069</v>
          </cell>
          <cell r="C8097" t="str">
            <v>Z3</v>
          </cell>
          <cell r="D8097" t="str">
            <v>ZONA 3 EUROPA</v>
          </cell>
          <cell r="E8097" t="str">
            <v>B</v>
          </cell>
          <cell r="F8097" t="str">
            <v>MUE15a20</v>
          </cell>
          <cell r="G8097" t="str">
            <v>B</v>
          </cell>
          <cell r="H8097">
            <v>62.52</v>
          </cell>
        </row>
        <row r="8098">
          <cell r="A8098" t="str">
            <v>1;B;Z3;B;MUE20a25</v>
          </cell>
          <cell r="B8098">
            <v>730069</v>
          </cell>
          <cell r="C8098" t="str">
            <v>Z3</v>
          </cell>
          <cell r="D8098" t="str">
            <v>ZONA 3 EUROPA</v>
          </cell>
          <cell r="E8098" t="str">
            <v>B</v>
          </cell>
          <cell r="F8098" t="str">
            <v>MUE20a25</v>
          </cell>
          <cell r="G8098" t="str">
            <v>B</v>
          </cell>
          <cell r="H8098">
            <v>72.81</v>
          </cell>
        </row>
        <row r="8099">
          <cell r="A8099" t="str">
            <v>1;B;Z3;B;MUE25a30</v>
          </cell>
          <cell r="B8099">
            <v>730069</v>
          </cell>
          <cell r="C8099" t="str">
            <v>Z3</v>
          </cell>
          <cell r="D8099" t="str">
            <v>ZONA 3 EUROPA</v>
          </cell>
          <cell r="E8099" t="str">
            <v>B</v>
          </cell>
          <cell r="F8099" t="str">
            <v>MUE25a30</v>
          </cell>
          <cell r="G8099" t="str">
            <v>B</v>
          </cell>
          <cell r="H8099">
            <v>83.1</v>
          </cell>
        </row>
        <row r="8100">
          <cell r="A8100" t="str">
            <v>1;B;Z3;B;MUE30a35</v>
          </cell>
          <cell r="B8100">
            <v>730069</v>
          </cell>
          <cell r="C8100" t="str">
            <v>Z3</v>
          </cell>
          <cell r="D8100" t="str">
            <v>ZONA 3 EUROPA</v>
          </cell>
          <cell r="E8100" t="str">
            <v>B</v>
          </cell>
          <cell r="F8100" t="str">
            <v>MUE30a35</v>
          </cell>
          <cell r="G8100" t="str">
            <v>B</v>
          </cell>
          <cell r="H8100">
            <v>93.38</v>
          </cell>
        </row>
        <row r="8101">
          <cell r="A8101" t="str">
            <v>1;B;Z3;B;MUE35a40</v>
          </cell>
          <cell r="B8101">
            <v>730069</v>
          </cell>
          <cell r="C8101" t="str">
            <v>Z3</v>
          </cell>
          <cell r="D8101" t="str">
            <v>ZONA 3 EUROPA</v>
          </cell>
          <cell r="E8101" t="str">
            <v>B</v>
          </cell>
          <cell r="F8101" t="str">
            <v>MUE35a40</v>
          </cell>
          <cell r="G8101" t="str">
            <v>B</v>
          </cell>
          <cell r="H8101">
            <v>103.66</v>
          </cell>
        </row>
        <row r="8102">
          <cell r="A8102" t="str">
            <v>1;A;Z4;B;DOC00a01</v>
          </cell>
          <cell r="B8102">
            <v>730069</v>
          </cell>
          <cell r="C8102" t="str">
            <v>Z4</v>
          </cell>
          <cell r="D8102" t="str">
            <v>ZONA 4 EUROPA</v>
          </cell>
          <cell r="E8102" t="str">
            <v>A</v>
          </cell>
          <cell r="F8102" t="str">
            <v>DOC00a01</v>
          </cell>
          <cell r="G8102" t="str">
            <v>B</v>
          </cell>
          <cell r="H8102">
            <v>45.14</v>
          </cell>
        </row>
        <row r="8103">
          <cell r="A8103" t="str">
            <v>1;A;Z4;B;DOC01a02</v>
          </cell>
          <cell r="B8103">
            <v>730069</v>
          </cell>
          <cell r="C8103" t="str">
            <v>Z4</v>
          </cell>
          <cell r="D8103" t="str">
            <v>ZONA 4 EUROPA</v>
          </cell>
          <cell r="E8103" t="str">
            <v>A</v>
          </cell>
          <cell r="F8103" t="str">
            <v>DOC01a02</v>
          </cell>
          <cell r="G8103" t="str">
            <v>B</v>
          </cell>
          <cell r="H8103">
            <v>54.16</v>
          </cell>
        </row>
        <row r="8104">
          <cell r="A8104" t="str">
            <v>1;A;Z4;B;DOC02a05</v>
          </cell>
          <cell r="B8104">
            <v>730069</v>
          </cell>
          <cell r="C8104" t="str">
            <v>Z4</v>
          </cell>
          <cell r="D8104" t="str">
            <v>ZONA 4 EUROPA</v>
          </cell>
          <cell r="E8104" t="str">
            <v>A</v>
          </cell>
          <cell r="F8104" t="str">
            <v>DOC02a05</v>
          </cell>
          <cell r="G8104" t="str">
            <v>B</v>
          </cell>
          <cell r="H8104">
            <v>58.52</v>
          </cell>
        </row>
        <row r="8105">
          <cell r="A8105" t="str">
            <v>1;A;Z4;B;DOC05a10</v>
          </cell>
          <cell r="B8105">
            <v>730069</v>
          </cell>
          <cell r="C8105" t="str">
            <v>Z4</v>
          </cell>
          <cell r="D8105" t="str">
            <v>ZONA 4 EUROPA</v>
          </cell>
          <cell r="E8105" t="str">
            <v>A</v>
          </cell>
          <cell r="F8105" t="str">
            <v>DOC05a10</v>
          </cell>
          <cell r="G8105" t="str">
            <v>B</v>
          </cell>
          <cell r="H8105">
            <v>71.959999999999994</v>
          </cell>
        </row>
        <row r="8106">
          <cell r="A8106" t="str">
            <v>1;A;Z4;B;DOC10a15</v>
          </cell>
          <cell r="B8106">
            <v>730069</v>
          </cell>
          <cell r="C8106" t="str">
            <v>Z4</v>
          </cell>
          <cell r="D8106" t="str">
            <v>ZONA 4 EUROPA</v>
          </cell>
          <cell r="E8106" t="str">
            <v>A</v>
          </cell>
          <cell r="F8106" t="str">
            <v>DOC10a15</v>
          </cell>
          <cell r="G8106" t="str">
            <v>B</v>
          </cell>
          <cell r="H8106">
            <v>84.5</v>
          </cell>
        </row>
        <row r="8107">
          <cell r="A8107" t="str">
            <v>1;A;Z4;B;DOC15a20</v>
          </cell>
          <cell r="B8107">
            <v>730069</v>
          </cell>
          <cell r="C8107" t="str">
            <v>Z4</v>
          </cell>
          <cell r="D8107" t="str">
            <v>ZONA 4 EUROPA</v>
          </cell>
          <cell r="E8107" t="str">
            <v>A</v>
          </cell>
          <cell r="F8107" t="str">
            <v>DOC15a20</v>
          </cell>
          <cell r="G8107" t="str">
            <v>B</v>
          </cell>
          <cell r="H8107">
            <v>107.41</v>
          </cell>
        </row>
        <row r="8108">
          <cell r="A8108" t="str">
            <v>1;A;Z4;B;DOC20a25</v>
          </cell>
          <cell r="B8108">
            <v>730069</v>
          </cell>
          <cell r="C8108" t="str">
            <v>Z4</v>
          </cell>
          <cell r="D8108" t="str">
            <v>ZONA 4 EUROPA</v>
          </cell>
          <cell r="E8108" t="str">
            <v>A</v>
          </cell>
          <cell r="F8108" t="str">
            <v>DOC20a25</v>
          </cell>
          <cell r="G8108" t="str">
            <v>B</v>
          </cell>
          <cell r="H8108">
            <v>115.74</v>
          </cell>
        </row>
        <row r="8109">
          <cell r="A8109" t="str">
            <v>1;A;Z4;B;DOC25a30</v>
          </cell>
          <cell r="B8109">
            <v>730069</v>
          </cell>
          <cell r="C8109" t="str">
            <v>Z4</v>
          </cell>
          <cell r="D8109" t="str">
            <v>ZONA 4 EUROPA</v>
          </cell>
          <cell r="E8109" t="str">
            <v>A</v>
          </cell>
          <cell r="F8109" t="str">
            <v>DOC25a30</v>
          </cell>
          <cell r="G8109" t="str">
            <v>B</v>
          </cell>
          <cell r="H8109">
            <v>124.06</v>
          </cell>
        </row>
        <row r="8110">
          <cell r="A8110" t="str">
            <v>1;A;Z4;B;DOC30a35</v>
          </cell>
          <cell r="B8110">
            <v>730069</v>
          </cell>
          <cell r="C8110" t="str">
            <v>Z4</v>
          </cell>
          <cell r="D8110" t="str">
            <v>ZONA 4 EUROPA</v>
          </cell>
          <cell r="E8110" t="str">
            <v>A</v>
          </cell>
          <cell r="F8110" t="str">
            <v>DOC30a35</v>
          </cell>
          <cell r="G8110" t="str">
            <v>B</v>
          </cell>
          <cell r="H8110">
            <v>132.38999999999999</v>
          </cell>
        </row>
        <row r="8111">
          <cell r="A8111" t="str">
            <v>1;A;Z4;B;DOC35a40</v>
          </cell>
          <cell r="B8111">
            <v>730069</v>
          </cell>
          <cell r="C8111" t="str">
            <v>Z4</v>
          </cell>
          <cell r="D8111" t="str">
            <v>ZONA 4 EUROPA</v>
          </cell>
          <cell r="E8111" t="str">
            <v>A</v>
          </cell>
          <cell r="F8111" t="str">
            <v>DOC35a40</v>
          </cell>
          <cell r="G8111" t="str">
            <v>B</v>
          </cell>
          <cell r="H8111">
            <v>140.71</v>
          </cell>
        </row>
        <row r="8112">
          <cell r="A8112" t="str">
            <v>1;A;Z4;F;</v>
          </cell>
          <cell r="B8112">
            <v>730069</v>
          </cell>
          <cell r="C8112" t="str">
            <v>Z4</v>
          </cell>
          <cell r="D8112" t="str">
            <v>ZONA 4 EUROPA</v>
          </cell>
          <cell r="E8112" t="str">
            <v>A</v>
          </cell>
          <cell r="F8112" t="str">
            <v/>
          </cell>
          <cell r="G8112" t="str">
            <v>F</v>
          </cell>
          <cell r="H8112">
            <v>12.28</v>
          </cell>
        </row>
        <row r="8113">
          <cell r="A8113" t="str">
            <v>1;A;Z4;B;MUE00a01</v>
          </cell>
          <cell r="B8113">
            <v>730069</v>
          </cell>
          <cell r="C8113" t="str">
            <v>Z4</v>
          </cell>
          <cell r="D8113" t="str">
            <v>ZONA 4 EUROPA</v>
          </cell>
          <cell r="E8113" t="str">
            <v>A</v>
          </cell>
          <cell r="F8113" t="str">
            <v>MUE00a01</v>
          </cell>
          <cell r="G8113" t="str">
            <v>B</v>
          </cell>
          <cell r="H8113">
            <v>45.14</v>
          </cell>
        </row>
        <row r="8114">
          <cell r="A8114" t="str">
            <v>1;A;Z4;B;MUE01a02</v>
          </cell>
          <cell r="B8114">
            <v>730069</v>
          </cell>
          <cell r="C8114" t="str">
            <v>Z4</v>
          </cell>
          <cell r="D8114" t="str">
            <v>ZONA 4 EUROPA</v>
          </cell>
          <cell r="E8114" t="str">
            <v>A</v>
          </cell>
          <cell r="F8114" t="str">
            <v>MUE01a02</v>
          </cell>
          <cell r="G8114" t="str">
            <v>B</v>
          </cell>
          <cell r="H8114">
            <v>54.16</v>
          </cell>
        </row>
        <row r="8115">
          <cell r="A8115" t="str">
            <v>1;A;Z4;B;MUE02a05</v>
          </cell>
          <cell r="B8115">
            <v>730069</v>
          </cell>
          <cell r="C8115" t="str">
            <v>Z4</v>
          </cell>
          <cell r="D8115" t="str">
            <v>ZONA 4 EUROPA</v>
          </cell>
          <cell r="E8115" t="str">
            <v>A</v>
          </cell>
          <cell r="F8115" t="str">
            <v>MUE02a05</v>
          </cell>
          <cell r="G8115" t="str">
            <v>B</v>
          </cell>
          <cell r="H8115">
            <v>58.52</v>
          </cell>
        </row>
        <row r="8116">
          <cell r="A8116" t="str">
            <v>1;A;Z4;B;MUE05a10</v>
          </cell>
          <cell r="B8116">
            <v>730069</v>
          </cell>
          <cell r="C8116" t="str">
            <v>Z4</v>
          </cell>
          <cell r="D8116" t="str">
            <v>ZONA 4 EUROPA</v>
          </cell>
          <cell r="E8116" t="str">
            <v>A</v>
          </cell>
          <cell r="F8116" t="str">
            <v>MUE05a10</v>
          </cell>
          <cell r="G8116" t="str">
            <v>B</v>
          </cell>
          <cell r="H8116">
            <v>71.959999999999994</v>
          </cell>
        </row>
        <row r="8117">
          <cell r="A8117" t="str">
            <v>1;A;Z4;B;MUE10a15</v>
          </cell>
          <cell r="B8117">
            <v>730069</v>
          </cell>
          <cell r="C8117" t="str">
            <v>Z4</v>
          </cell>
          <cell r="D8117" t="str">
            <v>ZONA 4 EUROPA</v>
          </cell>
          <cell r="E8117" t="str">
            <v>A</v>
          </cell>
          <cell r="F8117" t="str">
            <v>MUE10a15</v>
          </cell>
          <cell r="G8117" t="str">
            <v>B</v>
          </cell>
          <cell r="H8117">
            <v>84.5</v>
          </cell>
        </row>
        <row r="8118">
          <cell r="A8118" t="str">
            <v>1;A;Z4;B;MUE15a20</v>
          </cell>
          <cell r="B8118">
            <v>730069</v>
          </cell>
          <cell r="C8118" t="str">
            <v>Z4</v>
          </cell>
          <cell r="D8118" t="str">
            <v>ZONA 4 EUROPA</v>
          </cell>
          <cell r="E8118" t="str">
            <v>A</v>
          </cell>
          <cell r="F8118" t="str">
            <v>MUE15a20</v>
          </cell>
          <cell r="G8118" t="str">
            <v>B</v>
          </cell>
          <cell r="H8118">
            <v>107.41</v>
          </cell>
        </row>
        <row r="8119">
          <cell r="A8119" t="str">
            <v>1;A;Z4;B;MUE20a25</v>
          </cell>
          <cell r="B8119">
            <v>730069</v>
          </cell>
          <cell r="C8119" t="str">
            <v>Z4</v>
          </cell>
          <cell r="D8119" t="str">
            <v>ZONA 4 EUROPA</v>
          </cell>
          <cell r="E8119" t="str">
            <v>A</v>
          </cell>
          <cell r="F8119" t="str">
            <v>MUE20a25</v>
          </cell>
          <cell r="G8119" t="str">
            <v>B</v>
          </cell>
          <cell r="H8119">
            <v>115.74</v>
          </cell>
        </row>
        <row r="8120">
          <cell r="A8120" t="str">
            <v>1;A;Z4;B;MUE25a30</v>
          </cell>
          <cell r="B8120">
            <v>730069</v>
          </cell>
          <cell r="C8120" t="str">
            <v>Z4</v>
          </cell>
          <cell r="D8120" t="str">
            <v>ZONA 4 EUROPA</v>
          </cell>
          <cell r="E8120" t="str">
            <v>A</v>
          </cell>
          <cell r="F8120" t="str">
            <v>MUE25a30</v>
          </cell>
          <cell r="G8120" t="str">
            <v>B</v>
          </cell>
          <cell r="H8120">
            <v>124.06</v>
          </cell>
        </row>
        <row r="8121">
          <cell r="A8121" t="str">
            <v>1;A;Z4;B;MUE30a35</v>
          </cell>
          <cell r="B8121">
            <v>730069</v>
          </cell>
          <cell r="C8121" t="str">
            <v>Z4</v>
          </cell>
          <cell r="D8121" t="str">
            <v>ZONA 4 EUROPA</v>
          </cell>
          <cell r="E8121" t="str">
            <v>A</v>
          </cell>
          <cell r="F8121" t="str">
            <v>MUE30a35</v>
          </cell>
          <cell r="G8121" t="str">
            <v>B</v>
          </cell>
          <cell r="H8121">
            <v>132.38999999999999</v>
          </cell>
        </row>
        <row r="8122">
          <cell r="A8122" t="str">
            <v>1;A;Z4;B;MUE35a40</v>
          </cell>
          <cell r="B8122">
            <v>730069</v>
          </cell>
          <cell r="C8122" t="str">
            <v>Z4</v>
          </cell>
          <cell r="D8122" t="str">
            <v>ZONA 4 EUROPA</v>
          </cell>
          <cell r="E8122" t="str">
            <v>A</v>
          </cell>
          <cell r="F8122" t="str">
            <v>MUE35a40</v>
          </cell>
          <cell r="G8122" t="str">
            <v>B</v>
          </cell>
          <cell r="H8122">
            <v>140.71</v>
          </cell>
        </row>
        <row r="8123">
          <cell r="A8123" t="str">
            <v>1;A;Z4;F;</v>
          </cell>
          <cell r="B8123">
            <v>730069</v>
          </cell>
          <cell r="C8123" t="str">
            <v>Z4</v>
          </cell>
          <cell r="D8123" t="str">
            <v>ZONA 4 EUROPA</v>
          </cell>
          <cell r="E8123" t="str">
            <v>A</v>
          </cell>
          <cell r="F8123" t="str">
            <v/>
          </cell>
          <cell r="G8123" t="str">
            <v>F</v>
          </cell>
          <cell r="H8123">
            <v>12.28</v>
          </cell>
        </row>
        <row r="8124">
          <cell r="A8124" t="str">
            <v>1;B;Z4;B;DOC00a01</v>
          </cell>
          <cell r="B8124">
            <v>730069</v>
          </cell>
          <cell r="C8124" t="str">
            <v>Z4</v>
          </cell>
          <cell r="D8124" t="str">
            <v>ZONA 4 EUROPA</v>
          </cell>
          <cell r="E8124" t="str">
            <v>B</v>
          </cell>
          <cell r="F8124" t="str">
            <v>DOC00a01</v>
          </cell>
          <cell r="G8124" t="str">
            <v>B</v>
          </cell>
          <cell r="H8124">
            <v>46.49</v>
          </cell>
        </row>
        <row r="8125">
          <cell r="A8125" t="str">
            <v>1;B;Z4;B;DOC01a02</v>
          </cell>
          <cell r="B8125">
            <v>730069</v>
          </cell>
          <cell r="C8125" t="str">
            <v>Z4</v>
          </cell>
          <cell r="D8125" t="str">
            <v>ZONA 4 EUROPA</v>
          </cell>
          <cell r="E8125" t="str">
            <v>B</v>
          </cell>
          <cell r="F8125" t="str">
            <v>DOC01a02</v>
          </cell>
          <cell r="G8125" t="str">
            <v>B</v>
          </cell>
          <cell r="H8125">
            <v>55.79</v>
          </cell>
        </row>
        <row r="8126">
          <cell r="A8126" t="str">
            <v>1;B;Z4;B;DOC02a05</v>
          </cell>
          <cell r="B8126">
            <v>730069</v>
          </cell>
          <cell r="C8126" t="str">
            <v>Z4</v>
          </cell>
          <cell r="D8126" t="str">
            <v>ZONA 4 EUROPA</v>
          </cell>
          <cell r="E8126" t="str">
            <v>B</v>
          </cell>
          <cell r="F8126" t="str">
            <v>DOC02a05</v>
          </cell>
          <cell r="G8126" t="str">
            <v>B</v>
          </cell>
          <cell r="H8126">
            <v>60.27</v>
          </cell>
        </row>
        <row r="8127">
          <cell r="A8127" t="str">
            <v>1;B;Z4;B;DOC05a10</v>
          </cell>
          <cell r="B8127">
            <v>730069</v>
          </cell>
          <cell r="C8127" t="str">
            <v>Z4</v>
          </cell>
          <cell r="D8127" t="str">
            <v>ZONA 4 EUROPA</v>
          </cell>
          <cell r="E8127" t="str">
            <v>B</v>
          </cell>
          <cell r="F8127" t="str">
            <v>DOC05a10</v>
          </cell>
          <cell r="G8127" t="str">
            <v>B</v>
          </cell>
          <cell r="H8127">
            <v>74.12</v>
          </cell>
        </row>
        <row r="8128">
          <cell r="A8128" t="str">
            <v>1;B;Z4;B;DOC10a15</v>
          </cell>
          <cell r="B8128">
            <v>730069</v>
          </cell>
          <cell r="C8128" t="str">
            <v>Z4</v>
          </cell>
          <cell r="D8128" t="str">
            <v>ZONA 4 EUROPA</v>
          </cell>
          <cell r="E8128" t="str">
            <v>B</v>
          </cell>
          <cell r="F8128" t="str">
            <v>DOC10a15</v>
          </cell>
          <cell r="G8128" t="str">
            <v>B</v>
          </cell>
          <cell r="H8128">
            <v>87.04</v>
          </cell>
        </row>
        <row r="8129">
          <cell r="A8129" t="str">
            <v>1;B;Z4;B;DOC15a20</v>
          </cell>
          <cell r="B8129">
            <v>730069</v>
          </cell>
          <cell r="C8129" t="str">
            <v>Z4</v>
          </cell>
          <cell r="D8129" t="str">
            <v>ZONA 4 EUROPA</v>
          </cell>
          <cell r="E8129" t="str">
            <v>B</v>
          </cell>
          <cell r="F8129" t="str">
            <v>DOC15a20</v>
          </cell>
          <cell r="G8129" t="str">
            <v>B</v>
          </cell>
          <cell r="H8129">
            <v>110.64</v>
          </cell>
        </row>
        <row r="8130">
          <cell r="A8130" t="str">
            <v>1;B;Z4;B;DOC20a25</v>
          </cell>
          <cell r="B8130">
            <v>730069</v>
          </cell>
          <cell r="C8130" t="str">
            <v>Z4</v>
          </cell>
          <cell r="D8130" t="str">
            <v>ZONA 4 EUROPA</v>
          </cell>
          <cell r="E8130" t="str">
            <v>B</v>
          </cell>
          <cell r="F8130" t="str">
            <v>DOC20a25</v>
          </cell>
          <cell r="G8130" t="str">
            <v>B</v>
          </cell>
          <cell r="H8130">
            <v>119.22</v>
          </cell>
        </row>
        <row r="8131">
          <cell r="A8131" t="str">
            <v>1;B;Z4;B;DOC25a30</v>
          </cell>
          <cell r="B8131">
            <v>730069</v>
          </cell>
          <cell r="C8131" t="str">
            <v>Z4</v>
          </cell>
          <cell r="D8131" t="str">
            <v>ZONA 4 EUROPA</v>
          </cell>
          <cell r="E8131" t="str">
            <v>B</v>
          </cell>
          <cell r="F8131" t="str">
            <v>DOC25a30</v>
          </cell>
          <cell r="G8131" t="str">
            <v>B</v>
          </cell>
          <cell r="H8131">
            <v>127.78</v>
          </cell>
        </row>
        <row r="8132">
          <cell r="A8132" t="str">
            <v>1;B;Z4;B;DOC30a35</v>
          </cell>
          <cell r="B8132">
            <v>730069</v>
          </cell>
          <cell r="C8132" t="str">
            <v>Z4</v>
          </cell>
          <cell r="D8132" t="str">
            <v>ZONA 4 EUROPA</v>
          </cell>
          <cell r="E8132" t="str">
            <v>B</v>
          </cell>
          <cell r="F8132" t="str">
            <v>DOC30a35</v>
          </cell>
          <cell r="G8132" t="str">
            <v>B</v>
          </cell>
          <cell r="H8132">
            <v>136.35</v>
          </cell>
        </row>
        <row r="8133">
          <cell r="A8133" t="str">
            <v>1;B;Z4;B;DOC35a40</v>
          </cell>
          <cell r="B8133">
            <v>730069</v>
          </cell>
          <cell r="C8133" t="str">
            <v>Z4</v>
          </cell>
          <cell r="D8133" t="str">
            <v>ZONA 4 EUROPA</v>
          </cell>
          <cell r="E8133" t="str">
            <v>B</v>
          </cell>
          <cell r="F8133" t="str">
            <v>DOC35a40</v>
          </cell>
          <cell r="G8133" t="str">
            <v>B</v>
          </cell>
          <cell r="H8133">
            <v>144.93</v>
          </cell>
        </row>
        <row r="8134">
          <cell r="A8134" t="str">
            <v>1;B;Z4;B;MUE00a01</v>
          </cell>
          <cell r="B8134">
            <v>730069</v>
          </cell>
          <cell r="C8134" t="str">
            <v>Z4</v>
          </cell>
          <cell r="D8134" t="str">
            <v>ZONA 4 EUROPA</v>
          </cell>
          <cell r="E8134" t="str">
            <v>B</v>
          </cell>
          <cell r="F8134" t="str">
            <v>MUE00a01</v>
          </cell>
          <cell r="G8134" t="str">
            <v>B</v>
          </cell>
          <cell r="H8134">
            <v>46.49</v>
          </cell>
        </row>
        <row r="8135">
          <cell r="A8135" t="str">
            <v>1;B;Z4;B;MUE01a02</v>
          </cell>
          <cell r="B8135">
            <v>730069</v>
          </cell>
          <cell r="C8135" t="str">
            <v>Z4</v>
          </cell>
          <cell r="D8135" t="str">
            <v>ZONA 4 EUROPA</v>
          </cell>
          <cell r="E8135" t="str">
            <v>B</v>
          </cell>
          <cell r="F8135" t="str">
            <v>MUE01a02</v>
          </cell>
          <cell r="G8135" t="str">
            <v>B</v>
          </cell>
          <cell r="H8135">
            <v>55.79</v>
          </cell>
        </row>
        <row r="8136">
          <cell r="A8136" t="str">
            <v>1;B;Z4;B;MUE02a05</v>
          </cell>
          <cell r="B8136">
            <v>730069</v>
          </cell>
          <cell r="C8136" t="str">
            <v>Z4</v>
          </cell>
          <cell r="D8136" t="str">
            <v>ZONA 4 EUROPA</v>
          </cell>
          <cell r="E8136" t="str">
            <v>B</v>
          </cell>
          <cell r="F8136" t="str">
            <v>MUE02a05</v>
          </cell>
          <cell r="G8136" t="str">
            <v>B</v>
          </cell>
          <cell r="H8136">
            <v>60.27</v>
          </cell>
        </row>
        <row r="8137">
          <cell r="A8137" t="str">
            <v>1;B;Z4;B;MUE05a10</v>
          </cell>
          <cell r="B8137">
            <v>730069</v>
          </cell>
          <cell r="C8137" t="str">
            <v>Z4</v>
          </cell>
          <cell r="D8137" t="str">
            <v>ZONA 4 EUROPA</v>
          </cell>
          <cell r="E8137" t="str">
            <v>B</v>
          </cell>
          <cell r="F8137" t="str">
            <v>MUE05a10</v>
          </cell>
          <cell r="G8137" t="str">
            <v>B</v>
          </cell>
          <cell r="H8137">
            <v>74.12</v>
          </cell>
        </row>
        <row r="8138">
          <cell r="A8138" t="str">
            <v>1;B;Z4;B;MUE10a15</v>
          </cell>
          <cell r="B8138">
            <v>730069</v>
          </cell>
          <cell r="C8138" t="str">
            <v>Z4</v>
          </cell>
          <cell r="D8138" t="str">
            <v>ZONA 4 EUROPA</v>
          </cell>
          <cell r="E8138" t="str">
            <v>B</v>
          </cell>
          <cell r="F8138" t="str">
            <v>MUE10a15</v>
          </cell>
          <cell r="G8138" t="str">
            <v>B</v>
          </cell>
          <cell r="H8138">
            <v>87.04</v>
          </cell>
        </row>
        <row r="8139">
          <cell r="A8139" t="str">
            <v>1;B;Z4;B;MUE15a20</v>
          </cell>
          <cell r="B8139">
            <v>730069</v>
          </cell>
          <cell r="C8139" t="str">
            <v>Z4</v>
          </cell>
          <cell r="D8139" t="str">
            <v>ZONA 4 EUROPA</v>
          </cell>
          <cell r="E8139" t="str">
            <v>B</v>
          </cell>
          <cell r="F8139" t="str">
            <v>MUE15a20</v>
          </cell>
          <cell r="G8139" t="str">
            <v>B</v>
          </cell>
          <cell r="H8139">
            <v>110.64</v>
          </cell>
        </row>
        <row r="8140">
          <cell r="A8140" t="str">
            <v>1;B;Z4;B;MUE20a25</v>
          </cell>
          <cell r="B8140">
            <v>730069</v>
          </cell>
          <cell r="C8140" t="str">
            <v>Z4</v>
          </cell>
          <cell r="D8140" t="str">
            <v>ZONA 4 EUROPA</v>
          </cell>
          <cell r="E8140" t="str">
            <v>B</v>
          </cell>
          <cell r="F8140" t="str">
            <v>MUE20a25</v>
          </cell>
          <cell r="G8140" t="str">
            <v>B</v>
          </cell>
          <cell r="H8140">
            <v>119.22</v>
          </cell>
        </row>
        <row r="8141">
          <cell r="A8141" t="str">
            <v>1;B;Z4;B;MUE25a30</v>
          </cell>
          <cell r="B8141">
            <v>730069</v>
          </cell>
          <cell r="C8141" t="str">
            <v>Z4</v>
          </cell>
          <cell r="D8141" t="str">
            <v>ZONA 4 EUROPA</v>
          </cell>
          <cell r="E8141" t="str">
            <v>B</v>
          </cell>
          <cell r="F8141" t="str">
            <v>MUE25a30</v>
          </cell>
          <cell r="G8141" t="str">
            <v>B</v>
          </cell>
          <cell r="H8141">
            <v>127.78</v>
          </cell>
        </row>
        <row r="8142">
          <cell r="A8142" t="str">
            <v>1;B;Z4;B;MUE30a35</v>
          </cell>
          <cell r="B8142">
            <v>730069</v>
          </cell>
          <cell r="C8142" t="str">
            <v>Z4</v>
          </cell>
          <cell r="D8142" t="str">
            <v>ZONA 4 EUROPA</v>
          </cell>
          <cell r="E8142" t="str">
            <v>B</v>
          </cell>
          <cell r="F8142" t="str">
            <v>MUE30a35</v>
          </cell>
          <cell r="G8142" t="str">
            <v>B</v>
          </cell>
          <cell r="H8142">
            <v>136.35</v>
          </cell>
        </row>
        <row r="8143">
          <cell r="A8143" t="str">
            <v>1;B;Z4;B;MUE35a40</v>
          </cell>
          <cell r="B8143">
            <v>730069</v>
          </cell>
          <cell r="C8143" t="str">
            <v>Z4</v>
          </cell>
          <cell r="D8143" t="str">
            <v>ZONA 4 EUROPA</v>
          </cell>
          <cell r="E8143" t="str">
            <v>B</v>
          </cell>
          <cell r="F8143" t="str">
            <v>MUE35a40</v>
          </cell>
          <cell r="G8143" t="str">
            <v>B</v>
          </cell>
          <cell r="H8143">
            <v>144.93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72"/>
  <sheetViews>
    <sheetView showGridLines="0" tabSelected="1" workbookViewId="0">
      <selection activeCell="K4" sqref="K4"/>
    </sheetView>
  </sheetViews>
  <sheetFormatPr baseColWidth="10" defaultRowHeight="15" x14ac:dyDescent="0.25"/>
  <cols>
    <col min="1" max="1" width="13.85546875" style="1" bestFit="1" customWidth="1"/>
    <col min="2" max="2" width="15.28515625" style="1" bestFit="1" customWidth="1"/>
    <col min="3" max="7" width="13.7109375" style="1" bestFit="1" customWidth="1"/>
    <col min="8" max="9" width="13.85546875" style="1" bestFit="1" customWidth="1"/>
    <col min="10" max="11" width="13.85546875" style="6" bestFit="1" customWidth="1"/>
    <col min="12" max="256" width="13.85546875" style="1" bestFit="1" customWidth="1"/>
    <col min="257" max="257" width="13.85546875" bestFit="1" customWidth="1"/>
    <col min="258" max="258" width="15.28515625" bestFit="1" customWidth="1"/>
    <col min="259" max="263" width="13.7109375" bestFit="1" customWidth="1"/>
    <col min="264" max="513" width="13.85546875" bestFit="1" customWidth="1"/>
    <col min="514" max="514" width="15.28515625" bestFit="1" customWidth="1"/>
    <col min="515" max="519" width="13.7109375" bestFit="1" customWidth="1"/>
    <col min="520" max="769" width="13.85546875" bestFit="1" customWidth="1"/>
    <col min="770" max="770" width="15.28515625" bestFit="1" customWidth="1"/>
    <col min="771" max="775" width="13.7109375" bestFit="1" customWidth="1"/>
    <col min="776" max="1025" width="13.85546875" bestFit="1" customWidth="1"/>
    <col min="1026" max="1026" width="15.28515625" bestFit="1" customWidth="1"/>
    <col min="1027" max="1031" width="13.7109375" bestFit="1" customWidth="1"/>
    <col min="1032" max="1281" width="13.85546875" bestFit="1" customWidth="1"/>
    <col min="1282" max="1282" width="15.28515625" bestFit="1" customWidth="1"/>
    <col min="1283" max="1287" width="13.7109375" bestFit="1" customWidth="1"/>
    <col min="1288" max="1537" width="13.85546875" bestFit="1" customWidth="1"/>
    <col min="1538" max="1538" width="15.28515625" bestFit="1" customWidth="1"/>
    <col min="1539" max="1543" width="13.7109375" bestFit="1" customWidth="1"/>
    <col min="1544" max="1793" width="13.85546875" bestFit="1" customWidth="1"/>
    <col min="1794" max="1794" width="15.28515625" bestFit="1" customWidth="1"/>
    <col min="1795" max="1799" width="13.7109375" bestFit="1" customWidth="1"/>
    <col min="1800" max="2049" width="13.85546875" bestFit="1" customWidth="1"/>
    <col min="2050" max="2050" width="15.28515625" bestFit="1" customWidth="1"/>
    <col min="2051" max="2055" width="13.7109375" bestFit="1" customWidth="1"/>
    <col min="2056" max="2305" width="13.85546875" bestFit="1" customWidth="1"/>
    <col min="2306" max="2306" width="15.28515625" bestFit="1" customWidth="1"/>
    <col min="2307" max="2311" width="13.7109375" bestFit="1" customWidth="1"/>
    <col min="2312" max="2561" width="13.85546875" bestFit="1" customWidth="1"/>
    <col min="2562" max="2562" width="15.28515625" bestFit="1" customWidth="1"/>
    <col min="2563" max="2567" width="13.7109375" bestFit="1" customWidth="1"/>
    <col min="2568" max="2817" width="13.85546875" bestFit="1" customWidth="1"/>
    <col min="2818" max="2818" width="15.28515625" bestFit="1" customWidth="1"/>
    <col min="2819" max="2823" width="13.7109375" bestFit="1" customWidth="1"/>
    <col min="2824" max="3073" width="13.85546875" bestFit="1" customWidth="1"/>
    <col min="3074" max="3074" width="15.28515625" bestFit="1" customWidth="1"/>
    <col min="3075" max="3079" width="13.7109375" bestFit="1" customWidth="1"/>
    <col min="3080" max="3329" width="13.85546875" bestFit="1" customWidth="1"/>
    <col min="3330" max="3330" width="15.28515625" bestFit="1" customWidth="1"/>
    <col min="3331" max="3335" width="13.7109375" bestFit="1" customWidth="1"/>
    <col min="3336" max="3585" width="13.85546875" bestFit="1" customWidth="1"/>
    <col min="3586" max="3586" width="15.28515625" bestFit="1" customWidth="1"/>
    <col min="3587" max="3591" width="13.7109375" bestFit="1" customWidth="1"/>
    <col min="3592" max="3841" width="13.85546875" bestFit="1" customWidth="1"/>
    <col min="3842" max="3842" width="15.28515625" bestFit="1" customWidth="1"/>
    <col min="3843" max="3847" width="13.7109375" bestFit="1" customWidth="1"/>
    <col min="3848" max="4097" width="13.85546875" bestFit="1" customWidth="1"/>
    <col min="4098" max="4098" width="15.28515625" bestFit="1" customWidth="1"/>
    <col min="4099" max="4103" width="13.7109375" bestFit="1" customWidth="1"/>
    <col min="4104" max="4353" width="13.85546875" bestFit="1" customWidth="1"/>
    <col min="4354" max="4354" width="15.28515625" bestFit="1" customWidth="1"/>
    <col min="4355" max="4359" width="13.7109375" bestFit="1" customWidth="1"/>
    <col min="4360" max="4609" width="13.85546875" bestFit="1" customWidth="1"/>
    <col min="4610" max="4610" width="15.28515625" bestFit="1" customWidth="1"/>
    <col min="4611" max="4615" width="13.7109375" bestFit="1" customWidth="1"/>
    <col min="4616" max="4865" width="13.85546875" bestFit="1" customWidth="1"/>
    <col min="4866" max="4866" width="15.28515625" bestFit="1" customWidth="1"/>
    <col min="4867" max="4871" width="13.7109375" bestFit="1" customWidth="1"/>
    <col min="4872" max="5121" width="13.85546875" bestFit="1" customWidth="1"/>
    <col min="5122" max="5122" width="15.28515625" bestFit="1" customWidth="1"/>
    <col min="5123" max="5127" width="13.7109375" bestFit="1" customWidth="1"/>
    <col min="5128" max="5377" width="13.85546875" bestFit="1" customWidth="1"/>
    <col min="5378" max="5378" width="15.28515625" bestFit="1" customWidth="1"/>
    <col min="5379" max="5383" width="13.7109375" bestFit="1" customWidth="1"/>
    <col min="5384" max="5633" width="13.85546875" bestFit="1" customWidth="1"/>
    <col min="5634" max="5634" width="15.28515625" bestFit="1" customWidth="1"/>
    <col min="5635" max="5639" width="13.7109375" bestFit="1" customWidth="1"/>
    <col min="5640" max="5889" width="13.85546875" bestFit="1" customWidth="1"/>
    <col min="5890" max="5890" width="15.28515625" bestFit="1" customWidth="1"/>
    <col min="5891" max="5895" width="13.7109375" bestFit="1" customWidth="1"/>
    <col min="5896" max="6145" width="13.85546875" bestFit="1" customWidth="1"/>
    <col min="6146" max="6146" width="15.28515625" bestFit="1" customWidth="1"/>
    <col min="6147" max="6151" width="13.7109375" bestFit="1" customWidth="1"/>
    <col min="6152" max="6401" width="13.85546875" bestFit="1" customWidth="1"/>
    <col min="6402" max="6402" width="15.28515625" bestFit="1" customWidth="1"/>
    <col min="6403" max="6407" width="13.7109375" bestFit="1" customWidth="1"/>
    <col min="6408" max="6657" width="13.85546875" bestFit="1" customWidth="1"/>
    <col min="6658" max="6658" width="15.28515625" bestFit="1" customWidth="1"/>
    <col min="6659" max="6663" width="13.7109375" bestFit="1" customWidth="1"/>
    <col min="6664" max="6913" width="13.85546875" bestFit="1" customWidth="1"/>
    <col min="6914" max="6914" width="15.28515625" bestFit="1" customWidth="1"/>
    <col min="6915" max="6919" width="13.7109375" bestFit="1" customWidth="1"/>
    <col min="6920" max="7169" width="13.85546875" bestFit="1" customWidth="1"/>
    <col min="7170" max="7170" width="15.28515625" bestFit="1" customWidth="1"/>
    <col min="7171" max="7175" width="13.7109375" bestFit="1" customWidth="1"/>
    <col min="7176" max="7425" width="13.85546875" bestFit="1" customWidth="1"/>
    <col min="7426" max="7426" width="15.28515625" bestFit="1" customWidth="1"/>
    <col min="7427" max="7431" width="13.7109375" bestFit="1" customWidth="1"/>
    <col min="7432" max="7681" width="13.85546875" bestFit="1" customWidth="1"/>
    <col min="7682" max="7682" width="15.28515625" bestFit="1" customWidth="1"/>
    <col min="7683" max="7687" width="13.7109375" bestFit="1" customWidth="1"/>
    <col min="7688" max="7937" width="13.85546875" bestFit="1" customWidth="1"/>
    <col min="7938" max="7938" width="15.28515625" bestFit="1" customWidth="1"/>
    <col min="7939" max="7943" width="13.7109375" bestFit="1" customWidth="1"/>
    <col min="7944" max="8193" width="13.85546875" bestFit="1" customWidth="1"/>
    <col min="8194" max="8194" width="15.28515625" bestFit="1" customWidth="1"/>
    <col min="8195" max="8199" width="13.7109375" bestFit="1" customWidth="1"/>
    <col min="8200" max="8449" width="13.85546875" bestFit="1" customWidth="1"/>
    <col min="8450" max="8450" width="15.28515625" bestFit="1" customWidth="1"/>
    <col min="8451" max="8455" width="13.7109375" bestFit="1" customWidth="1"/>
    <col min="8456" max="8705" width="13.85546875" bestFit="1" customWidth="1"/>
    <col min="8706" max="8706" width="15.28515625" bestFit="1" customWidth="1"/>
    <col min="8707" max="8711" width="13.7109375" bestFit="1" customWidth="1"/>
    <col min="8712" max="8961" width="13.85546875" bestFit="1" customWidth="1"/>
    <col min="8962" max="8962" width="15.28515625" bestFit="1" customWidth="1"/>
    <col min="8963" max="8967" width="13.7109375" bestFit="1" customWidth="1"/>
    <col min="8968" max="9217" width="13.85546875" bestFit="1" customWidth="1"/>
    <col min="9218" max="9218" width="15.28515625" bestFit="1" customWidth="1"/>
    <col min="9219" max="9223" width="13.7109375" bestFit="1" customWidth="1"/>
    <col min="9224" max="9473" width="13.85546875" bestFit="1" customWidth="1"/>
    <col min="9474" max="9474" width="15.28515625" bestFit="1" customWidth="1"/>
    <col min="9475" max="9479" width="13.7109375" bestFit="1" customWidth="1"/>
    <col min="9480" max="9729" width="13.85546875" bestFit="1" customWidth="1"/>
    <col min="9730" max="9730" width="15.28515625" bestFit="1" customWidth="1"/>
    <col min="9731" max="9735" width="13.7109375" bestFit="1" customWidth="1"/>
    <col min="9736" max="9985" width="13.85546875" bestFit="1" customWidth="1"/>
    <col min="9986" max="9986" width="15.28515625" bestFit="1" customWidth="1"/>
    <col min="9987" max="9991" width="13.7109375" bestFit="1" customWidth="1"/>
    <col min="9992" max="10241" width="13.85546875" bestFit="1" customWidth="1"/>
    <col min="10242" max="10242" width="15.28515625" bestFit="1" customWidth="1"/>
    <col min="10243" max="10247" width="13.7109375" bestFit="1" customWidth="1"/>
    <col min="10248" max="10497" width="13.85546875" bestFit="1" customWidth="1"/>
    <col min="10498" max="10498" width="15.28515625" bestFit="1" customWidth="1"/>
    <col min="10499" max="10503" width="13.7109375" bestFit="1" customWidth="1"/>
    <col min="10504" max="10753" width="13.85546875" bestFit="1" customWidth="1"/>
    <col min="10754" max="10754" width="15.28515625" bestFit="1" customWidth="1"/>
    <col min="10755" max="10759" width="13.7109375" bestFit="1" customWidth="1"/>
    <col min="10760" max="11009" width="13.85546875" bestFit="1" customWidth="1"/>
    <col min="11010" max="11010" width="15.28515625" bestFit="1" customWidth="1"/>
    <col min="11011" max="11015" width="13.7109375" bestFit="1" customWidth="1"/>
    <col min="11016" max="11265" width="13.85546875" bestFit="1" customWidth="1"/>
    <col min="11266" max="11266" width="15.28515625" bestFit="1" customWidth="1"/>
    <col min="11267" max="11271" width="13.7109375" bestFit="1" customWidth="1"/>
    <col min="11272" max="11521" width="13.85546875" bestFit="1" customWidth="1"/>
    <col min="11522" max="11522" width="15.28515625" bestFit="1" customWidth="1"/>
    <col min="11523" max="11527" width="13.7109375" bestFit="1" customWidth="1"/>
    <col min="11528" max="11777" width="13.85546875" bestFit="1" customWidth="1"/>
    <col min="11778" max="11778" width="15.28515625" bestFit="1" customWidth="1"/>
    <col min="11779" max="11783" width="13.7109375" bestFit="1" customWidth="1"/>
    <col min="11784" max="12033" width="13.85546875" bestFit="1" customWidth="1"/>
    <col min="12034" max="12034" width="15.28515625" bestFit="1" customWidth="1"/>
    <col min="12035" max="12039" width="13.7109375" bestFit="1" customWidth="1"/>
    <col min="12040" max="12289" width="13.85546875" bestFit="1" customWidth="1"/>
    <col min="12290" max="12290" width="15.28515625" bestFit="1" customWidth="1"/>
    <col min="12291" max="12295" width="13.7109375" bestFit="1" customWidth="1"/>
    <col min="12296" max="12545" width="13.85546875" bestFit="1" customWidth="1"/>
    <col min="12546" max="12546" width="15.28515625" bestFit="1" customWidth="1"/>
    <col min="12547" max="12551" width="13.7109375" bestFit="1" customWidth="1"/>
    <col min="12552" max="12801" width="13.85546875" bestFit="1" customWidth="1"/>
    <col min="12802" max="12802" width="15.28515625" bestFit="1" customWidth="1"/>
    <col min="12803" max="12807" width="13.7109375" bestFit="1" customWidth="1"/>
    <col min="12808" max="13057" width="13.85546875" bestFit="1" customWidth="1"/>
    <col min="13058" max="13058" width="15.28515625" bestFit="1" customWidth="1"/>
    <col min="13059" max="13063" width="13.7109375" bestFit="1" customWidth="1"/>
    <col min="13064" max="13313" width="13.85546875" bestFit="1" customWidth="1"/>
    <col min="13314" max="13314" width="15.28515625" bestFit="1" customWidth="1"/>
    <col min="13315" max="13319" width="13.7109375" bestFit="1" customWidth="1"/>
    <col min="13320" max="13569" width="13.85546875" bestFit="1" customWidth="1"/>
    <col min="13570" max="13570" width="15.28515625" bestFit="1" customWidth="1"/>
    <col min="13571" max="13575" width="13.7109375" bestFit="1" customWidth="1"/>
    <col min="13576" max="13825" width="13.85546875" bestFit="1" customWidth="1"/>
    <col min="13826" max="13826" width="15.28515625" bestFit="1" customWidth="1"/>
    <col min="13827" max="13831" width="13.7109375" bestFit="1" customWidth="1"/>
    <col min="13832" max="14081" width="13.85546875" bestFit="1" customWidth="1"/>
    <col min="14082" max="14082" width="15.28515625" bestFit="1" customWidth="1"/>
    <col min="14083" max="14087" width="13.7109375" bestFit="1" customWidth="1"/>
    <col min="14088" max="14337" width="13.85546875" bestFit="1" customWidth="1"/>
    <col min="14338" max="14338" width="15.28515625" bestFit="1" customWidth="1"/>
    <col min="14339" max="14343" width="13.7109375" bestFit="1" customWidth="1"/>
    <col min="14344" max="14593" width="13.85546875" bestFit="1" customWidth="1"/>
    <col min="14594" max="14594" width="15.28515625" bestFit="1" customWidth="1"/>
    <col min="14595" max="14599" width="13.7109375" bestFit="1" customWidth="1"/>
    <col min="14600" max="14849" width="13.85546875" bestFit="1" customWidth="1"/>
    <col min="14850" max="14850" width="15.28515625" bestFit="1" customWidth="1"/>
    <col min="14851" max="14855" width="13.7109375" bestFit="1" customWidth="1"/>
    <col min="14856" max="15105" width="13.85546875" bestFit="1" customWidth="1"/>
    <col min="15106" max="15106" width="15.28515625" bestFit="1" customWidth="1"/>
    <col min="15107" max="15111" width="13.7109375" bestFit="1" customWidth="1"/>
    <col min="15112" max="15361" width="13.85546875" bestFit="1" customWidth="1"/>
    <col min="15362" max="15362" width="15.28515625" bestFit="1" customWidth="1"/>
    <col min="15363" max="15367" width="13.7109375" bestFit="1" customWidth="1"/>
    <col min="15368" max="15617" width="13.85546875" bestFit="1" customWidth="1"/>
    <col min="15618" max="15618" width="15.28515625" bestFit="1" customWidth="1"/>
    <col min="15619" max="15623" width="13.7109375" bestFit="1" customWidth="1"/>
    <col min="15624" max="15873" width="13.85546875" bestFit="1" customWidth="1"/>
    <col min="15874" max="15874" width="15.28515625" bestFit="1" customWidth="1"/>
    <col min="15875" max="15879" width="13.7109375" bestFit="1" customWidth="1"/>
    <col min="15880" max="16129" width="13.85546875" bestFit="1" customWidth="1"/>
    <col min="16130" max="16130" width="15.28515625" bestFit="1" customWidth="1"/>
    <col min="16131" max="16135" width="13.7109375" bestFit="1" customWidth="1"/>
    <col min="16136" max="16384" width="13.85546875" bestFit="1" customWidth="1"/>
  </cols>
  <sheetData>
    <row r="1" spans="1:256" s="2" customFormat="1" ht="30.95" customHeight="1" x14ac:dyDescent="0.5">
      <c r="A1" s="1" t="s">
        <v>0</v>
      </c>
      <c r="D1" s="3"/>
      <c r="E1" s="4" t="str">
        <f>CONCATENATE("TARIFAS",[1]Datos!$A$2)</f>
        <v>TARIFAS2026</v>
      </c>
      <c r="F1" s="4"/>
      <c r="H1" s="4"/>
      <c r="J1" s="5"/>
      <c r="K1" s="6"/>
    </row>
    <row r="2" spans="1:256" s="2" customFormat="1" ht="30.95" customHeight="1" thickBot="1" x14ac:dyDescent="0.6">
      <c r="C2"/>
      <c r="D2" s="7"/>
      <c r="E2" s="8" t="s">
        <v>1</v>
      </c>
      <c r="F2" s="8"/>
      <c r="G2" s="9"/>
      <c r="H2" s="10"/>
      <c r="J2" s="5"/>
      <c r="K2" s="6"/>
    </row>
    <row r="3" spans="1:256" ht="19.899999999999999" customHeight="1" thickTop="1" x14ac:dyDescent="0.25">
      <c r="A3" s="11"/>
      <c r="B3" s="11"/>
      <c r="C3" s="11"/>
      <c r="D3" s="11"/>
      <c r="E3" s="11"/>
      <c r="F3" s="11"/>
      <c r="G3" s="11"/>
      <c r="H3" s="12"/>
      <c r="J3" s="13"/>
      <c r="K3" s="13"/>
    </row>
    <row r="4" spans="1:256" ht="53.25" customHeight="1" x14ac:dyDescent="0.25">
      <c r="A4" s="14" t="s">
        <v>2</v>
      </c>
      <c r="B4" s="14"/>
      <c r="C4" s="14"/>
      <c r="D4" s="14"/>
      <c r="E4" s="14"/>
      <c r="F4" s="14"/>
      <c r="G4" s="14"/>
      <c r="H4" s="14"/>
      <c r="J4" s="13"/>
      <c r="K4" s="13"/>
    </row>
    <row r="5" spans="1:256" ht="19.899999999999999" customHeight="1" x14ac:dyDescent="0.25">
      <c r="B5" s="15"/>
      <c r="J5" s="16"/>
    </row>
    <row r="6" spans="1:256" ht="19.899999999999999" customHeight="1" x14ac:dyDescent="0.25">
      <c r="A6" s="17"/>
      <c r="B6" s="17"/>
      <c r="C6" s="18" t="s">
        <v>3</v>
      </c>
      <c r="D6" s="18"/>
      <c r="E6" s="18"/>
      <c r="F6" s="18"/>
      <c r="G6" s="19"/>
      <c r="H6" s="16"/>
      <c r="I6" s="5"/>
      <c r="J6" s="1"/>
      <c r="K6" s="1"/>
      <c r="IV6"/>
    </row>
    <row r="7" spans="1:256" ht="19.7" customHeight="1" thickBot="1" x14ac:dyDescent="0.3">
      <c r="A7" s="20" t="s">
        <v>4</v>
      </c>
      <c r="B7" s="21"/>
      <c r="C7" s="22" t="s">
        <v>5</v>
      </c>
      <c r="D7" s="23"/>
      <c r="E7" s="5"/>
      <c r="F7" s="6"/>
      <c r="J7" s="1"/>
      <c r="K7" s="1"/>
      <c r="IS7"/>
      <c r="IT7"/>
      <c r="IU7"/>
      <c r="IV7"/>
    </row>
    <row r="8" spans="1:256" ht="19.899999999999999" customHeight="1" x14ac:dyDescent="0.25">
      <c r="A8" s="24" t="s">
        <v>6</v>
      </c>
      <c r="B8" s="25" t="s">
        <v>7</v>
      </c>
      <c r="C8" s="26">
        <f>_xlfn.IFNA(VLOOKUP("1;08;P;B;BAG",[1]Datos!$A$1:$H$20000,8,FALSE),"")</f>
        <v>4.2</v>
      </c>
      <c r="D8" s="27"/>
      <c r="E8" s="13"/>
      <c r="F8" s="5"/>
      <c r="J8" s="1"/>
      <c r="K8" s="1"/>
      <c r="IS8"/>
      <c r="IT8"/>
      <c r="IU8"/>
      <c r="IV8"/>
    </row>
    <row r="9" spans="1:256" ht="19.899999999999999" customHeight="1" x14ac:dyDescent="0.25">
      <c r="A9" s="24"/>
      <c r="B9" s="28" t="s">
        <v>8</v>
      </c>
      <c r="C9" s="29">
        <f>_xlfn.IFNA(VLOOKUP("1;08;P;B;PAQ00a02",[1]Datos!$A$1:$H$20000,8,FALSE),_xlfn.IFNA(VLOOKUP("1;08;P;B;PAQ00a05",[1]Datos!$A$1:$H$20000,8,FALSE),""))</f>
        <v>4.2</v>
      </c>
      <c r="D9" s="27"/>
      <c r="E9" s="13"/>
      <c r="F9" s="5"/>
      <c r="J9" s="1"/>
      <c r="K9" s="1"/>
      <c r="IS9"/>
      <c r="IT9"/>
      <c r="IU9"/>
      <c r="IV9"/>
    </row>
    <row r="10" spans="1:256" ht="19.899999999999999" customHeight="1" x14ac:dyDescent="0.25">
      <c r="A10" s="24"/>
      <c r="B10" s="28" t="s">
        <v>9</v>
      </c>
      <c r="C10" s="29">
        <f>_xlfn.IFNA(VLOOKUP("1;08;P;B;PAQ02a05",[1]Datos!$A$1:$H$20000,8,FALSE),_xlfn.IFNA(VLOOKUP("1;08;P;B;PAQ00a05",[1]Datos!$A$1:$H$20000,8,FALSE),""))</f>
        <v>5.78</v>
      </c>
      <c r="D10" s="30"/>
      <c r="E10" s="16"/>
      <c r="F10" s="5"/>
      <c r="J10" s="1"/>
      <c r="K10" s="1"/>
      <c r="IS10"/>
      <c r="IT10"/>
      <c r="IU10"/>
      <c r="IV10"/>
    </row>
    <row r="11" spans="1:256" ht="19.899999999999999" customHeight="1" x14ac:dyDescent="0.25">
      <c r="A11" s="24"/>
      <c r="B11" s="28" t="s">
        <v>10</v>
      </c>
      <c r="C11" s="29">
        <f>_xlfn.IFNA(VLOOKUP("1;08;P;B;PAQ05a10",[1]Datos!$A$1:$H$20000,8,FALSE),"")</f>
        <v>7.25</v>
      </c>
      <c r="D11" s="27"/>
      <c r="E11" s="13"/>
      <c r="F11" s="5"/>
      <c r="J11" s="1"/>
      <c r="K11" s="1"/>
      <c r="IS11"/>
      <c r="IT11"/>
      <c r="IU11"/>
      <c r="IV11"/>
    </row>
    <row r="12" spans="1:256" ht="20.100000000000001" customHeight="1" x14ac:dyDescent="0.25">
      <c r="A12" s="24"/>
      <c r="B12" s="28" t="s">
        <v>11</v>
      </c>
      <c r="C12" s="29">
        <f>_xlfn.IFNA(VLOOKUP("1;08;P;B;PAQ10a15",[1]Datos!$A$1:$H$20000,8,FALSE),"")</f>
        <v>10.29</v>
      </c>
      <c r="D12" s="27"/>
      <c r="E12" s="13"/>
      <c r="F12" s="5"/>
      <c r="J12" s="1"/>
      <c r="K12" s="1"/>
      <c r="IS12"/>
      <c r="IT12"/>
      <c r="IU12"/>
      <c r="IV12"/>
    </row>
    <row r="13" spans="1:256" ht="20.100000000000001" customHeight="1" x14ac:dyDescent="0.25">
      <c r="A13" s="24"/>
      <c r="B13" s="28" t="s">
        <v>12</v>
      </c>
      <c r="C13" s="29">
        <f>_xlfn.IFNA(VLOOKUP("1;08;P;B;PAQ15a20",[1]Datos!$A$1:$H$20000,8,FALSE),"")</f>
        <v>13.02</v>
      </c>
      <c r="D13" s="27"/>
      <c r="E13" s="13"/>
      <c r="F13" s="5"/>
      <c r="J13" s="1"/>
      <c r="K13" s="1"/>
      <c r="IS13"/>
      <c r="IT13"/>
      <c r="IU13"/>
      <c r="IV13"/>
    </row>
    <row r="14" spans="1:256" ht="20.100000000000001" customHeight="1" x14ac:dyDescent="0.25">
      <c r="A14" s="24"/>
      <c r="B14" s="28" t="s">
        <v>13</v>
      </c>
      <c r="C14" s="29">
        <f>_xlfn.IFNA(VLOOKUP("1;08;P;B;PAQ20a25",[1]Datos!$A$1:$H$20000,8,FALSE),"")</f>
        <v>15.96</v>
      </c>
      <c r="D14" s="27"/>
      <c r="E14" s="13"/>
      <c r="F14" s="5"/>
      <c r="J14" s="1"/>
      <c r="K14" s="1"/>
      <c r="IS14"/>
      <c r="IT14"/>
      <c r="IU14"/>
      <c r="IV14"/>
    </row>
    <row r="15" spans="1:256" ht="20.100000000000001" customHeight="1" x14ac:dyDescent="0.25">
      <c r="A15" s="24"/>
      <c r="B15" s="28" t="s">
        <v>14</v>
      </c>
      <c r="C15" s="29">
        <f>_xlfn.IFNA(VLOOKUP("1;08;P;B;PAQ25a30",[1]Datos!$A$1:$H$20000,8,FALSE),"")</f>
        <v>18.899999999999999</v>
      </c>
      <c r="D15" s="27"/>
      <c r="E15" s="13"/>
      <c r="F15" s="5"/>
      <c r="J15" s="1"/>
      <c r="K15" s="1"/>
      <c r="IS15"/>
      <c r="IT15"/>
      <c r="IU15"/>
      <c r="IV15"/>
    </row>
    <row r="16" spans="1:256" ht="20.100000000000001" customHeight="1" x14ac:dyDescent="0.25">
      <c r="A16" s="24"/>
      <c r="B16" s="28" t="s">
        <v>15</v>
      </c>
      <c r="C16" s="29">
        <f>_xlfn.IFNA(VLOOKUP("1;08;P;B;PAQ30a35",[1]Datos!$A$1:$H$20000,8,FALSE),"")</f>
        <v>21.84</v>
      </c>
      <c r="D16" s="27"/>
      <c r="E16" s="13"/>
      <c r="F16" s="5"/>
      <c r="J16" s="1"/>
      <c r="K16" s="1"/>
      <c r="IS16"/>
      <c r="IT16"/>
      <c r="IU16"/>
      <c r="IV16"/>
    </row>
    <row r="17" spans="1:256" ht="20.100000000000001" customHeight="1" x14ac:dyDescent="0.25">
      <c r="A17" s="24"/>
      <c r="B17" s="28" t="s">
        <v>16</v>
      </c>
      <c r="C17" s="29">
        <f>_xlfn.IFNA(VLOOKUP("1;08;P;B;PAQ35a40",[1]Datos!$A$1:$H$20000,8,FALSE),"")</f>
        <v>24.78</v>
      </c>
      <c r="D17" s="27"/>
      <c r="E17" s="13"/>
      <c r="F17" s="5"/>
      <c r="J17" s="1"/>
      <c r="K17" s="1"/>
      <c r="IS17"/>
      <c r="IT17"/>
      <c r="IU17"/>
      <c r="IV17"/>
    </row>
    <row r="18" spans="1:256" ht="20.100000000000001" customHeight="1" x14ac:dyDescent="0.25">
      <c r="A18" s="24"/>
      <c r="B18" s="31" t="s">
        <v>17</v>
      </c>
      <c r="C18" s="29">
        <f>_xlfn.IFNA(VLOOKUP("1;08;P;F;",[1]Datos!$A$1:$H$20000,8,FALSE),"")</f>
        <v>3.68</v>
      </c>
      <c r="D18" s="27"/>
      <c r="E18" s="13"/>
      <c r="F18" s="5"/>
      <c r="J18" s="1"/>
      <c r="K18" s="1"/>
      <c r="IS18"/>
      <c r="IT18"/>
      <c r="IU18"/>
      <c r="IV18"/>
    </row>
    <row r="19" spans="1:256" ht="20.100000000000001" customHeight="1" x14ac:dyDescent="0.25">
      <c r="A19" s="24"/>
      <c r="B19" s="31" t="s">
        <v>18</v>
      </c>
      <c r="C19" s="29">
        <f>_xlfn.IFNA(VLOOKUP("1;08;P;P;",[1]Datos!$A$1:$H$20000,8,FALSE),"")</f>
        <v>3.68</v>
      </c>
      <c r="D19" s="27"/>
      <c r="E19" s="13"/>
      <c r="F19" s="5"/>
      <c r="J19" s="1"/>
      <c r="K19" s="1"/>
      <c r="IS19"/>
      <c r="IT19"/>
      <c r="IU19"/>
      <c r="IV19"/>
    </row>
    <row r="20" spans="1:256" ht="20.100000000000001" customHeight="1" x14ac:dyDescent="0.25">
      <c r="A20" s="24"/>
      <c r="B20" s="32" t="s">
        <v>19</v>
      </c>
      <c r="C20" s="33">
        <f>_xlfn.IFNA(VLOOKUP("1;08;P;E;",[1]Datos!$A$1:$H$20000,8,FALSE),"")</f>
        <v>4.7300000000000004</v>
      </c>
      <c r="D20" s="27"/>
      <c r="E20" s="13"/>
      <c r="F20" s="5"/>
      <c r="J20" s="1"/>
      <c r="K20" s="1"/>
      <c r="IS20"/>
      <c r="IT20"/>
      <c r="IU20"/>
      <c r="IV20"/>
    </row>
    <row r="21" spans="1:256" ht="20.100000000000001" customHeight="1" thickBot="1" x14ac:dyDescent="0.3">
      <c r="A21" s="34"/>
      <c r="B21" s="34"/>
      <c r="C21" s="35"/>
      <c r="D21" s="27"/>
      <c r="E21" s="13"/>
      <c r="F21" s="5"/>
      <c r="J21" s="1"/>
      <c r="K21" s="1"/>
      <c r="IS21"/>
      <c r="IT21"/>
      <c r="IU21"/>
      <c r="IV21"/>
    </row>
    <row r="22" spans="1:256" ht="19.899999999999999" customHeight="1" x14ac:dyDescent="0.25">
      <c r="A22" s="24" t="s">
        <v>20</v>
      </c>
      <c r="B22" s="25" t="s">
        <v>7</v>
      </c>
      <c r="C22" s="26">
        <f>_xlfn.IFNA(VLOOKUP("1;08;R;B;BAG",[1]Datos!$A$1:$H$20000,8,FALSE),"")</f>
        <v>4.2</v>
      </c>
      <c r="D22" s="27"/>
      <c r="E22" s="16"/>
      <c r="F22" s="5"/>
      <c r="J22" s="1"/>
      <c r="K22" s="1"/>
      <c r="IS22"/>
      <c r="IT22"/>
      <c r="IU22"/>
      <c r="IV22"/>
    </row>
    <row r="23" spans="1:256" ht="19.899999999999999" customHeight="1" x14ac:dyDescent="0.25">
      <c r="A23" s="24"/>
      <c r="B23" s="28" t="s">
        <v>8</v>
      </c>
      <c r="C23" s="29">
        <f>_xlfn.IFNA(VLOOKUP("1;08;R;B;PAQ00a02",[1]Datos!$A$1:$H$20000,8,FALSE),_xlfn.IFNA(VLOOKUP("1;08;R;B;PAQ00a05",[1]Datos!$A$1:$H$20000,8,FALSE),""))</f>
        <v>4.2</v>
      </c>
      <c r="D23" s="27"/>
      <c r="E23" s="16"/>
      <c r="F23" s="5"/>
      <c r="J23" s="1"/>
      <c r="K23" s="1"/>
      <c r="IS23"/>
      <c r="IT23"/>
      <c r="IU23"/>
      <c r="IV23"/>
    </row>
    <row r="24" spans="1:256" ht="19.899999999999999" customHeight="1" x14ac:dyDescent="0.25">
      <c r="A24" s="24"/>
      <c r="B24" s="28" t="s">
        <v>9</v>
      </c>
      <c r="C24" s="29">
        <f>_xlfn.IFNA(VLOOKUP("1;08;R;B;PAQ02a05",[1]Datos!$A$1:$H$20000,8,FALSE),_xlfn.IFNA(VLOOKUP("1;08;R;B;PAQ00a05",[1]Datos!$A$1:$H$20000,8,FALSE),""))</f>
        <v>5.78</v>
      </c>
      <c r="D24" s="27"/>
      <c r="E24" s="5"/>
      <c r="F24" s="5"/>
      <c r="J24" s="1"/>
      <c r="K24" s="1"/>
      <c r="IS24"/>
      <c r="IT24"/>
      <c r="IU24"/>
      <c r="IV24"/>
    </row>
    <row r="25" spans="1:256" ht="19.899999999999999" customHeight="1" x14ac:dyDescent="0.25">
      <c r="A25" s="24"/>
      <c r="B25" s="28" t="s">
        <v>10</v>
      </c>
      <c r="C25" s="29">
        <f>_xlfn.IFNA(VLOOKUP("1;08;R;B;PAQ05a10",[1]Datos!$A$1:$H$20000,8,FALSE),"")</f>
        <v>7.25</v>
      </c>
      <c r="D25" s="27"/>
      <c r="E25" s="16"/>
      <c r="F25" s="5"/>
      <c r="J25" s="1"/>
      <c r="K25" s="1"/>
      <c r="IS25"/>
      <c r="IT25"/>
      <c r="IU25"/>
      <c r="IV25"/>
    </row>
    <row r="26" spans="1:256" ht="20.100000000000001" customHeight="1" x14ac:dyDescent="0.25">
      <c r="A26" s="24"/>
      <c r="B26" s="28" t="s">
        <v>11</v>
      </c>
      <c r="C26" s="29">
        <f>_xlfn.IFNA(VLOOKUP("1;08;R;B;PAQ10a15",[1]Datos!$A$1:$H$20000,8,FALSE),"")</f>
        <v>10.29</v>
      </c>
      <c r="D26" s="27"/>
      <c r="E26" s="5"/>
      <c r="F26" s="5"/>
      <c r="J26" s="1"/>
      <c r="K26" s="1"/>
      <c r="IS26"/>
      <c r="IT26"/>
      <c r="IU26"/>
      <c r="IV26"/>
    </row>
    <row r="27" spans="1:256" ht="20.100000000000001" customHeight="1" x14ac:dyDescent="0.25">
      <c r="A27" s="24"/>
      <c r="B27" s="28" t="s">
        <v>12</v>
      </c>
      <c r="C27" s="29">
        <f>_xlfn.IFNA(VLOOKUP("1;08;R;B;PAQ15a20",[1]Datos!$A$1:$H$20000,8,FALSE),"")</f>
        <v>13.02</v>
      </c>
      <c r="D27" s="27"/>
      <c r="E27" s="5"/>
      <c r="F27" s="5"/>
      <c r="J27" s="1"/>
      <c r="K27" s="1"/>
      <c r="IS27"/>
      <c r="IT27"/>
      <c r="IU27"/>
      <c r="IV27"/>
    </row>
    <row r="28" spans="1:256" ht="20.100000000000001" customHeight="1" x14ac:dyDescent="0.25">
      <c r="A28" s="24"/>
      <c r="B28" s="28" t="s">
        <v>13</v>
      </c>
      <c r="C28" s="29">
        <f>_xlfn.IFNA(VLOOKUP("1;08;R;B;PAQ20a25",[1]Datos!$A$1:$H$20000,8,FALSE),"")</f>
        <v>15.96</v>
      </c>
      <c r="D28" s="27"/>
      <c r="E28" s="5"/>
      <c r="F28" s="5"/>
      <c r="J28" s="1"/>
      <c r="K28" s="1"/>
      <c r="IS28"/>
      <c r="IT28"/>
      <c r="IU28"/>
      <c r="IV28"/>
    </row>
    <row r="29" spans="1:256" ht="20.100000000000001" customHeight="1" x14ac:dyDescent="0.25">
      <c r="A29" s="24"/>
      <c r="B29" s="28" t="s">
        <v>14</v>
      </c>
      <c r="C29" s="29">
        <f>_xlfn.IFNA(VLOOKUP("1;08;R;B;PAQ25a30",[1]Datos!$A$1:$H$20000,8,FALSE),"")</f>
        <v>18.899999999999999</v>
      </c>
      <c r="D29" s="27"/>
      <c r="E29" s="5"/>
      <c r="F29" s="5"/>
      <c r="J29" s="1"/>
      <c r="K29" s="1"/>
      <c r="IS29"/>
      <c r="IT29"/>
      <c r="IU29"/>
      <c r="IV29"/>
    </row>
    <row r="30" spans="1:256" ht="20.100000000000001" customHeight="1" x14ac:dyDescent="0.25">
      <c r="A30" s="24"/>
      <c r="B30" s="28" t="s">
        <v>15</v>
      </c>
      <c r="C30" s="29">
        <f>_xlfn.IFNA(VLOOKUP("1;08;R;B;PAQ30a35",[1]Datos!$A$1:$H$20000,8,FALSE),"")</f>
        <v>21.84</v>
      </c>
      <c r="D30" s="27"/>
      <c r="E30" s="5"/>
      <c r="F30" s="5"/>
      <c r="J30" s="1"/>
      <c r="K30" s="1"/>
      <c r="IS30"/>
      <c r="IT30"/>
      <c r="IU30"/>
      <c r="IV30"/>
    </row>
    <row r="31" spans="1:256" ht="20.100000000000001" customHeight="1" x14ac:dyDescent="0.25">
      <c r="A31" s="24"/>
      <c r="B31" s="28" t="s">
        <v>16</v>
      </c>
      <c r="C31" s="29">
        <f>_xlfn.IFNA(VLOOKUP("1;08;R;B;PAQ35a40",[1]Datos!$A$1:$H$20000,8,FALSE),"")</f>
        <v>24.78</v>
      </c>
      <c r="D31" s="27"/>
      <c r="E31" s="5"/>
      <c r="F31" s="5"/>
      <c r="J31" s="1"/>
      <c r="K31" s="1"/>
      <c r="IS31"/>
      <c r="IT31"/>
      <c r="IU31"/>
      <c r="IV31"/>
    </row>
    <row r="32" spans="1:256" ht="20.100000000000001" customHeight="1" x14ac:dyDescent="0.25">
      <c r="A32" s="24"/>
      <c r="B32" s="31" t="s">
        <v>17</v>
      </c>
      <c r="C32" s="29">
        <f>_xlfn.IFNA(VLOOKUP("1;08;R;F;",[1]Datos!$A$1:$H$20000,8,FALSE),"")</f>
        <v>3.68</v>
      </c>
      <c r="D32" s="27"/>
      <c r="E32" s="5"/>
      <c r="F32" s="5"/>
      <c r="J32" s="1"/>
      <c r="K32" s="1"/>
      <c r="IS32"/>
      <c r="IT32"/>
      <c r="IU32"/>
      <c r="IV32"/>
    </row>
    <row r="33" spans="1:256" ht="20.100000000000001" customHeight="1" x14ac:dyDescent="0.25">
      <c r="A33" s="24"/>
      <c r="B33" s="31" t="s">
        <v>18</v>
      </c>
      <c r="C33" s="29">
        <f>_xlfn.IFNA(VLOOKUP("1;08;R;P;",[1]Datos!$A$1:$H$20000,8,FALSE),"")</f>
        <v>3.68</v>
      </c>
      <c r="D33" s="27"/>
      <c r="E33" s="5"/>
      <c r="F33" s="5"/>
      <c r="J33" s="1"/>
      <c r="K33" s="1"/>
      <c r="IS33"/>
      <c r="IT33"/>
      <c r="IU33"/>
      <c r="IV33"/>
    </row>
    <row r="34" spans="1:256" ht="20.100000000000001" customHeight="1" x14ac:dyDescent="0.25">
      <c r="A34" s="24"/>
      <c r="B34" s="36" t="s">
        <v>19</v>
      </c>
      <c r="C34" s="37">
        <f>_xlfn.IFNA(VLOOKUP("1;08;R;E;",[1]Datos!$A$1:$H$20000,8,FALSE),"")</f>
        <v>4.7300000000000004</v>
      </c>
      <c r="D34" s="27"/>
      <c r="E34" s="5"/>
      <c r="F34" s="5"/>
      <c r="J34" s="1"/>
      <c r="K34" s="1"/>
      <c r="IS34"/>
      <c r="IT34"/>
      <c r="IU34"/>
      <c r="IV34"/>
    </row>
    <row r="35" spans="1:256" ht="20.100000000000001" customHeight="1" thickBot="1" x14ac:dyDescent="0.3">
      <c r="A35" s="34"/>
      <c r="B35" s="34"/>
      <c r="C35" s="35"/>
      <c r="D35" s="27"/>
      <c r="E35" s="27"/>
      <c r="F35" s="5"/>
      <c r="G35" s="5"/>
      <c r="J35" s="1"/>
      <c r="K35" s="1"/>
      <c r="IT35"/>
      <c r="IU35"/>
      <c r="IV35"/>
    </row>
    <row r="36" spans="1:256" ht="19.899999999999999" customHeight="1" x14ac:dyDescent="0.25">
      <c r="A36" s="24" t="s">
        <v>21</v>
      </c>
      <c r="B36" s="25" t="s">
        <v>7</v>
      </c>
      <c r="C36" s="26">
        <f>_xlfn.IFNA(VLOOKUP("1;08;N;B;BAG",[1]Datos!$A$1:$H$20000,8,FALSE),"")</f>
        <v>4.2</v>
      </c>
      <c r="D36" s="27"/>
      <c r="E36" s="27"/>
      <c r="F36" s="16"/>
      <c r="G36" s="5"/>
      <c r="J36" s="1"/>
      <c r="K36" s="1"/>
      <c r="IT36"/>
      <c r="IU36"/>
      <c r="IV36"/>
    </row>
    <row r="37" spans="1:256" ht="19.899999999999999" customHeight="1" x14ac:dyDescent="0.25">
      <c r="A37" s="24"/>
      <c r="B37" s="28" t="s">
        <v>8</v>
      </c>
      <c r="C37" s="29">
        <f>_xlfn.IFNA(VLOOKUP("1;08;N;B;PAQ00a02",[1]Datos!$A$1:$H$20000,8,FALSE),_xlfn.IFNA(VLOOKUP("1;08;N;B;PAQ00a05",[1]Datos!$A$1:$H$20000,8,FALSE),""))</f>
        <v>4.2</v>
      </c>
      <c r="D37" s="27"/>
      <c r="E37" s="27"/>
      <c r="F37" s="13"/>
      <c r="G37" s="5"/>
      <c r="J37" s="1"/>
      <c r="K37" s="1"/>
      <c r="IT37"/>
      <c r="IU37"/>
      <c r="IV37"/>
    </row>
    <row r="38" spans="1:256" ht="19.899999999999999" customHeight="1" x14ac:dyDescent="0.25">
      <c r="A38" s="24"/>
      <c r="B38" s="28" t="s">
        <v>9</v>
      </c>
      <c r="C38" s="29">
        <f>_xlfn.IFNA(VLOOKUP("1;08;N;B;PAQ02a05",[1]Datos!$A$1:$H$20000,8,FALSE),_xlfn.IFNA(VLOOKUP("1;08;N;B;PAQ00a05",[1]Datos!$A$1:$H$20000,8,FALSE),""))</f>
        <v>5.78</v>
      </c>
      <c r="D38" s="27"/>
      <c r="E38" s="27"/>
      <c r="F38" s="13"/>
      <c r="G38" s="5"/>
      <c r="J38" s="1"/>
      <c r="K38" s="1"/>
      <c r="IT38"/>
      <c r="IU38"/>
      <c r="IV38"/>
    </row>
    <row r="39" spans="1:256" ht="19.899999999999999" customHeight="1" x14ac:dyDescent="0.25">
      <c r="A39" s="24"/>
      <c r="B39" s="28" t="s">
        <v>10</v>
      </c>
      <c r="C39" s="29">
        <f>_xlfn.IFNA(VLOOKUP("1;08;N;B;PAQ05a10",[1]Datos!$A$1:$H$20000,8,FALSE),"")</f>
        <v>7.25</v>
      </c>
      <c r="D39" s="27"/>
      <c r="E39" s="27"/>
      <c r="F39" s="13"/>
      <c r="G39" s="5"/>
      <c r="J39" s="1"/>
      <c r="K39" s="1"/>
      <c r="IT39"/>
      <c r="IU39"/>
      <c r="IV39"/>
    </row>
    <row r="40" spans="1:256" ht="20.100000000000001" customHeight="1" x14ac:dyDescent="0.25">
      <c r="A40" s="24"/>
      <c r="B40" s="28" t="s">
        <v>11</v>
      </c>
      <c r="C40" s="29">
        <f>_xlfn.IFNA(VLOOKUP("1;08;N;B;PAQ10a15",[1]Datos!$A$1:$H$20000,8,FALSE),"")</f>
        <v>10.29</v>
      </c>
      <c r="D40" s="27"/>
      <c r="F40" s="5"/>
      <c r="J40" s="1"/>
      <c r="K40" s="1"/>
      <c r="IT40"/>
      <c r="IU40"/>
      <c r="IV40"/>
    </row>
    <row r="41" spans="1:256" ht="20.100000000000001" customHeight="1" x14ac:dyDescent="0.25">
      <c r="A41" s="24"/>
      <c r="B41" s="28" t="s">
        <v>12</v>
      </c>
      <c r="C41" s="29">
        <f>_xlfn.IFNA(VLOOKUP("1;08;N;B;PAQ15a20",[1]Datos!$A$1:$H$20000,8,FALSE),"")</f>
        <v>13.02</v>
      </c>
      <c r="D41" s="27"/>
      <c r="F41" s="5"/>
      <c r="J41" s="1"/>
      <c r="K41" s="1"/>
      <c r="IT41"/>
      <c r="IU41"/>
      <c r="IV41"/>
    </row>
    <row r="42" spans="1:256" ht="20.100000000000001" customHeight="1" x14ac:dyDescent="0.25">
      <c r="A42" s="24"/>
      <c r="B42" s="28" t="s">
        <v>13</v>
      </c>
      <c r="C42" s="29">
        <f>_xlfn.IFNA(VLOOKUP("1;08;N;B;PAQ20a25",[1]Datos!$A$1:$H$20000,8,FALSE),"")</f>
        <v>15.96</v>
      </c>
      <c r="D42" s="27"/>
      <c r="F42" s="5"/>
      <c r="J42" s="1"/>
      <c r="K42" s="1"/>
      <c r="IT42"/>
      <c r="IU42"/>
      <c r="IV42"/>
    </row>
    <row r="43" spans="1:256" ht="20.100000000000001" customHeight="1" x14ac:dyDescent="0.25">
      <c r="A43" s="24"/>
      <c r="B43" s="28" t="s">
        <v>14</v>
      </c>
      <c r="C43" s="29">
        <f>_xlfn.IFNA(VLOOKUP("1;08;N;B;PAQ25a30",[1]Datos!$A$1:$H$20000,8,FALSE),"")</f>
        <v>18.899999999999999</v>
      </c>
      <c r="D43" s="27"/>
      <c r="F43" s="5"/>
      <c r="J43" s="1"/>
      <c r="K43" s="1"/>
      <c r="IT43"/>
      <c r="IU43"/>
      <c r="IV43"/>
    </row>
    <row r="44" spans="1:256" ht="20.100000000000001" customHeight="1" x14ac:dyDescent="0.25">
      <c r="A44" s="24"/>
      <c r="B44" s="28" t="s">
        <v>15</v>
      </c>
      <c r="C44" s="29">
        <f>_xlfn.IFNA(VLOOKUP("1;08;N;B;PAQ30a35",[1]Datos!$A$1:$H$20000,8,FALSE),"")</f>
        <v>21.84</v>
      </c>
      <c r="D44" s="27"/>
      <c r="F44" s="5"/>
      <c r="J44" s="1"/>
      <c r="K44" s="1"/>
      <c r="IT44"/>
      <c r="IU44"/>
      <c r="IV44"/>
    </row>
    <row r="45" spans="1:256" ht="20.100000000000001" customHeight="1" x14ac:dyDescent="0.25">
      <c r="A45" s="24"/>
      <c r="B45" s="28" t="s">
        <v>16</v>
      </c>
      <c r="C45" s="29">
        <f>_xlfn.IFNA(VLOOKUP("1;08;N;B;PAQ35a40",[1]Datos!$A$1:$H$20000,8,FALSE),"")</f>
        <v>24.78</v>
      </c>
      <c r="D45" s="27"/>
      <c r="F45" s="5"/>
      <c r="J45" s="1"/>
      <c r="K45" s="1"/>
      <c r="IT45"/>
      <c r="IU45"/>
      <c r="IV45"/>
    </row>
    <row r="46" spans="1:256" ht="20.100000000000001" customHeight="1" x14ac:dyDescent="0.25">
      <c r="A46" s="24"/>
      <c r="B46" s="31" t="s">
        <v>17</v>
      </c>
      <c r="C46" s="29">
        <f>_xlfn.IFNA(VLOOKUP("1;08;N;F;",[1]Datos!$A$1:$H$20000,8,FALSE),"")</f>
        <v>3.68</v>
      </c>
      <c r="D46" s="27"/>
      <c r="E46" s="27"/>
      <c r="F46" s="5"/>
      <c r="G46" s="5"/>
      <c r="J46" s="1"/>
      <c r="K46" s="1"/>
      <c r="IT46"/>
      <c r="IU46"/>
      <c r="IV46"/>
    </row>
    <row r="47" spans="1:256" ht="20.100000000000001" customHeight="1" x14ac:dyDescent="0.25">
      <c r="A47" s="24"/>
      <c r="B47" s="31" t="s">
        <v>18</v>
      </c>
      <c r="C47" s="29">
        <f>_xlfn.IFNA(VLOOKUP("1;08;N;P;",[1]Datos!$A$1:$H$20000,8,FALSE),"")</f>
        <v>3.68</v>
      </c>
      <c r="D47" s="27"/>
      <c r="E47" s="27"/>
      <c r="F47" s="5"/>
      <c r="G47" s="5"/>
      <c r="J47" s="1"/>
      <c r="K47" s="1"/>
      <c r="IT47"/>
      <c r="IU47"/>
      <c r="IV47"/>
    </row>
    <row r="48" spans="1:256" ht="20.100000000000001" customHeight="1" x14ac:dyDescent="0.25">
      <c r="A48" s="24"/>
      <c r="B48" s="32" t="s">
        <v>19</v>
      </c>
      <c r="C48" s="33">
        <f>_xlfn.IFNA(VLOOKUP("1;08;N;E;",[1]Datos!$A$1:$H$20000,8,FALSE),"")</f>
        <v>4.7300000000000004</v>
      </c>
      <c r="D48" s="37"/>
      <c r="F48" s="5"/>
      <c r="J48" s="1"/>
      <c r="K48" s="1"/>
      <c r="IT48"/>
      <c r="IU48"/>
      <c r="IV48"/>
    </row>
    <row r="49" spans="1:11" s="38" customFormat="1" ht="20.100000000000001" customHeight="1" x14ac:dyDescent="0.2"/>
    <row r="50" spans="1:11" s="40" customFormat="1" ht="15" customHeight="1" x14ac:dyDescent="0.25">
      <c r="A50" s="39" t="s">
        <v>22</v>
      </c>
      <c r="B50" s="39"/>
      <c r="C50" s="39"/>
      <c r="D50" s="39"/>
      <c r="E50" s="39"/>
      <c r="F50" s="39"/>
      <c r="G50" s="39"/>
      <c r="H50" s="39"/>
    </row>
    <row r="51" spans="1:11" s="40" customFormat="1" ht="15" customHeight="1" x14ac:dyDescent="0.25">
      <c r="A51" s="39" t="s">
        <v>23</v>
      </c>
      <c r="B51" s="39"/>
      <c r="C51" s="39"/>
      <c r="D51" s="39"/>
      <c r="E51" s="39"/>
      <c r="F51" s="39"/>
      <c r="G51" s="39"/>
      <c r="H51" s="39"/>
    </row>
    <row r="52" spans="1:11" s="40" customFormat="1" ht="14.25" customHeight="1" x14ac:dyDescent="0.25">
      <c r="A52" s="41" t="s">
        <v>24</v>
      </c>
      <c r="B52" s="41"/>
      <c r="C52" s="41"/>
      <c r="D52" s="41"/>
      <c r="E52" s="41"/>
      <c r="F52" s="41"/>
      <c r="G52" s="39"/>
      <c r="H52" s="39"/>
    </row>
    <row r="53" spans="1:11" s="40" customFormat="1" ht="15" customHeight="1" x14ac:dyDescent="0.25">
      <c r="A53" s="42" t="s">
        <v>25</v>
      </c>
      <c r="B53" s="42"/>
      <c r="C53" s="42"/>
      <c r="D53" s="42"/>
      <c r="E53" s="42"/>
      <c r="F53" s="42"/>
      <c r="G53" s="42"/>
      <c r="H53" s="42"/>
    </row>
    <row r="54" spans="1:11" s="40" customFormat="1" ht="15" customHeight="1" x14ac:dyDescent="0.25">
      <c r="A54" s="43" t="s">
        <v>26</v>
      </c>
      <c r="B54" s="43"/>
      <c r="C54" s="43"/>
      <c r="D54" s="43"/>
      <c r="E54" s="43"/>
      <c r="F54" s="43"/>
      <c r="G54" s="42"/>
      <c r="H54" s="42"/>
    </row>
    <row r="55" spans="1:11" s="40" customFormat="1" ht="15" customHeight="1" x14ac:dyDescent="0.25">
      <c r="A55" s="42" t="str">
        <f>CONCATENATE("Estos precios no incluyen el seguro de mercancía ni el I.V.A., y son válidos desde ",[1]Datos!$B$2," hasta el ",[1]Datos!$C$2,".")</f>
        <v>Estos precios no incluyen el seguro de mercancía ni el I.V.A., y son válidos desde 01/01/2026 hasta el 31/12/2026.</v>
      </c>
      <c r="B55" s="42"/>
      <c r="C55" s="42"/>
      <c r="D55" s="42"/>
      <c r="E55" s="42"/>
      <c r="F55" s="42"/>
      <c r="G55" s="42"/>
      <c r="H55" s="42"/>
    </row>
    <row r="56" spans="1:11" s="40" customFormat="1" ht="15" customHeight="1" x14ac:dyDescent="0.25">
      <c r="A56" s="42" t="s">
        <v>27</v>
      </c>
      <c r="B56" s="42"/>
      <c r="C56" s="42"/>
      <c r="D56" s="42"/>
      <c r="E56" s="42"/>
      <c r="F56" s="42"/>
      <c r="G56" s="42"/>
      <c r="H56" s="42"/>
    </row>
    <row r="57" spans="1:11" s="44" customFormat="1" ht="14.1" customHeight="1" x14ac:dyDescent="0.25"/>
    <row r="58" spans="1:11" s="44" customFormat="1" ht="14.1" customHeight="1" x14ac:dyDescent="0.25"/>
    <row r="59" spans="1:11" s="44" customFormat="1" ht="14.1" customHeight="1" x14ac:dyDescent="0.25">
      <c r="F59" s="45"/>
    </row>
    <row r="60" spans="1:11" s="44" customFormat="1" ht="14.1" customHeight="1" x14ac:dyDescent="0.25">
      <c r="A60" s="46" t="s">
        <v>28</v>
      </c>
      <c r="B60" s="46"/>
      <c r="C60" s="46"/>
      <c r="G60" s="47" t="s">
        <v>29</v>
      </c>
      <c r="H60" s="47"/>
    </row>
    <row r="61" spans="1:11" s="44" customFormat="1" ht="14.1" customHeight="1" x14ac:dyDescent="0.25">
      <c r="A61" s="48"/>
    </row>
    <row r="62" spans="1:11" s="44" customFormat="1" ht="14.1" customHeight="1" x14ac:dyDescent="0.25"/>
    <row r="63" spans="1:11" s="44" customFormat="1" ht="14.1" customHeight="1" x14ac:dyDescent="0.25">
      <c r="A63"/>
      <c r="B63"/>
      <c r="C63"/>
      <c r="D63"/>
      <c r="E63"/>
      <c r="F63"/>
      <c r="G63" s="49"/>
      <c r="H63" s="49"/>
    </row>
    <row r="64" spans="1:11" ht="14.1" customHeight="1" x14ac:dyDescent="0.25">
      <c r="G64" s="49"/>
      <c r="H64" s="49"/>
      <c r="J64" s="1"/>
      <c r="K64" s="1"/>
    </row>
    <row r="65" spans="1:11" ht="14.1" customHeight="1" x14ac:dyDescent="0.25">
      <c r="A65"/>
      <c r="B65"/>
      <c r="C65"/>
      <c r="D65"/>
      <c r="E65"/>
      <c r="F65"/>
      <c r="J65" s="1"/>
      <c r="K65" s="1"/>
    </row>
    <row r="66" spans="1:11" s="50" customFormat="1" ht="12.2" customHeight="1" x14ac:dyDescent="0.25">
      <c r="A66"/>
      <c r="B66"/>
      <c r="C66"/>
      <c r="D66"/>
      <c r="E66"/>
      <c r="F66"/>
      <c r="G66" s="1"/>
      <c r="H66" s="1"/>
      <c r="J66" s="51"/>
      <c r="K66" s="51"/>
    </row>
    <row r="67" spans="1:11" s="50" customFormat="1" ht="12.2" customHeight="1" x14ac:dyDescent="0.25">
      <c r="A67"/>
      <c r="B67"/>
      <c r="C67"/>
      <c r="D67"/>
      <c r="E67"/>
      <c r="F67"/>
      <c r="G67"/>
      <c r="H67"/>
      <c r="J67" s="51"/>
      <c r="K67" s="51"/>
    </row>
    <row r="68" spans="1:11" s="50" customFormat="1" ht="12.2" customHeight="1" x14ac:dyDescent="0.25">
      <c r="A68"/>
      <c r="B68"/>
      <c r="C68"/>
      <c r="D68"/>
      <c r="E68"/>
      <c r="F68"/>
      <c r="G68"/>
      <c r="H68"/>
      <c r="J68" s="51"/>
      <c r="K68" s="51"/>
    </row>
    <row r="69" spans="1:11" s="50" customFormat="1" ht="12.2" customHeight="1" x14ac:dyDescent="0.25">
      <c r="A69"/>
      <c r="B69"/>
      <c r="C69"/>
      <c r="D69"/>
      <c r="E69"/>
      <c r="F69"/>
      <c r="G69"/>
      <c r="H69"/>
      <c r="J69" s="51"/>
      <c r="K69" s="51"/>
    </row>
    <row r="70" spans="1:11" s="50" customFormat="1" ht="12.2" customHeight="1" x14ac:dyDescent="0.25">
      <c r="A70"/>
      <c r="B70"/>
      <c r="C70"/>
      <c r="D70"/>
      <c r="E70"/>
      <c r="F70"/>
      <c r="G70"/>
      <c r="H70"/>
      <c r="J70" s="51"/>
      <c r="K70" s="51"/>
    </row>
    <row r="71" spans="1:11" ht="12.2" customHeight="1" x14ac:dyDescent="0.25">
      <c r="G71"/>
      <c r="H71"/>
    </row>
    <row r="72" spans="1:11" x14ac:dyDescent="0.25">
      <c r="G72"/>
      <c r="H72"/>
    </row>
  </sheetData>
  <mergeCells count="13">
    <mergeCell ref="A60:C60"/>
    <mergeCell ref="A21:B21"/>
    <mergeCell ref="A22:A34"/>
    <mergeCell ref="A35:B35"/>
    <mergeCell ref="A36:A48"/>
    <mergeCell ref="A52:F52"/>
    <mergeCell ref="A54:F54"/>
    <mergeCell ref="E2:F2"/>
    <mergeCell ref="A4:H4"/>
    <mergeCell ref="A6:B6"/>
    <mergeCell ref="C6:F6"/>
    <mergeCell ref="A7:B7"/>
    <mergeCell ref="A8:A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Calidad 3014</cp:lastModifiedBy>
  <dcterms:created xsi:type="dcterms:W3CDTF">2015-06-05T18:19:34Z</dcterms:created>
  <dcterms:modified xsi:type="dcterms:W3CDTF">2026-04-22T14:57:11Z</dcterms:modified>
</cp:coreProperties>
</file>